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ten-my.sharepoint.com/personal/marielli_neves_thomsonreuters_com/Documents/Desktop/"/>
    </mc:Choice>
  </mc:AlternateContent>
  <xr:revisionPtr revIDLastSave="0" documentId="8_{4B940EB4-EC2C-4C30-8840-C85D0D7A9AF3}" xr6:coauthVersionLast="47" xr6:coauthVersionMax="47" xr10:uidLastSave="{00000000-0000-0000-0000-000000000000}"/>
  <bookViews>
    <workbookView xWindow="-120" yWindow="-120" windowWidth="29040" windowHeight="15720" firstSheet="60" activeTab="60" xr2:uid="{24F8D716-B721-47FD-91DB-BCBECDFEEC93}"/>
  </bookViews>
  <sheets>
    <sheet name="Janeiro 2024 - Escrita" sheetId="1" r:id="rId1"/>
    <sheet name="Janeiro 2024 - Importação" sheetId="2" r:id="rId2"/>
    <sheet name="Fevereiro 2024 - Escrita" sheetId="3" r:id="rId3"/>
    <sheet name="Fevereiro 2024 - Importação" sheetId="4" r:id="rId4"/>
    <sheet name="Março 2024 - Escrita" sheetId="5" r:id="rId5"/>
    <sheet name="Março 2024 - Importação" sheetId="6" r:id="rId6"/>
    <sheet name="Abril 2024 - Escrita" sheetId="8" r:id="rId7"/>
    <sheet name="Abril 2024 - Importação" sheetId="9" r:id="rId8"/>
    <sheet name="Maio 2024 - Escrita" sheetId="10" r:id="rId9"/>
    <sheet name="Maio 2024 - Importação" sheetId="11" r:id="rId10"/>
    <sheet name="Junho 2024 - Escrita" sheetId="12" r:id="rId11"/>
    <sheet name="Junho 2024 - Importação" sheetId="14" r:id="rId12"/>
    <sheet name="Julho 2024 - Escrita" sheetId="15" r:id="rId13"/>
    <sheet name="Julho 2024 - Importação" sheetId="16" r:id="rId14"/>
    <sheet name="Agosto 2024 - Escrita" sheetId="17" r:id="rId15"/>
    <sheet name="Agosto 2024 - Importação" sheetId="18" r:id="rId16"/>
    <sheet name="Setembro 2024 - Escrita" sheetId="19" r:id="rId17"/>
    <sheet name="Setembro 2024 - Importação" sheetId="20" r:id="rId18"/>
    <sheet name="Outubro 2024 - Escrita" sheetId="21" r:id="rId19"/>
    <sheet name="Outubro 2024 - Importação" sheetId="22" r:id="rId20"/>
    <sheet name="Novembro 2024 - Escrita" sheetId="23" r:id="rId21"/>
    <sheet name="Novembro 2024 - Importação" sheetId="24" r:id="rId22"/>
    <sheet name="Resumo2024" sheetId="7" r:id="rId23"/>
    <sheet name="Janeiro 2025 - Escrita" sheetId="26" r:id="rId24"/>
    <sheet name="Janeiro 2025 - Importação" sheetId="25" r:id="rId25"/>
    <sheet name="Fevereiro 2025 - Escrita" sheetId="28" r:id="rId26"/>
    <sheet name="Fevereiro 2025 - Importação" sheetId="30" r:id="rId27"/>
    <sheet name="Março 2025 - Escrita" sheetId="29" r:id="rId28"/>
    <sheet name="Março 2025 - Importação" sheetId="31" r:id="rId29"/>
    <sheet name="Abril 2025 - Escrita" sheetId="32" r:id="rId30"/>
    <sheet name="Abril 2025 - Importação" sheetId="34" r:id="rId31"/>
    <sheet name="Maio 2025 - Escrita " sheetId="33" r:id="rId32"/>
    <sheet name="Maio 2025 - Importação" sheetId="35" r:id="rId33"/>
    <sheet name="Junho 2025 - Escrita " sheetId="36" r:id="rId34"/>
    <sheet name="Junho 2025 - Importação" sheetId="38" r:id="rId35"/>
    <sheet name="Julho 2025 - Escrita" sheetId="37" r:id="rId36"/>
    <sheet name="Julho 2025 - Importação" sheetId="39" r:id="rId37"/>
    <sheet name="Agosto 2025 - Escrita" sheetId="41" r:id="rId38"/>
    <sheet name="Agosto 2025 - Importação" sheetId="42" r:id="rId39"/>
    <sheet name="Setembro 2025 - Escrita" sheetId="43" r:id="rId40"/>
    <sheet name="Setembro 2025 - Importação" sheetId="46" r:id="rId41"/>
    <sheet name="Outubro 2025 - Escrita" sheetId="45" r:id="rId42"/>
    <sheet name="Outubro 2025 - Importação" sheetId="47" r:id="rId43"/>
    <sheet name="Novembro 2025 - Escrita" sheetId="48" r:id="rId44"/>
    <sheet name="Novembro 2025 - Importação" sheetId="49" r:id="rId45"/>
    <sheet name="Dezembro 2025 - Escrita" sheetId="54" r:id="rId46"/>
    <sheet name="Dezembro 2025 - Importação" sheetId="50" r:id="rId47"/>
    <sheet name="Resumo2025" sheetId="27" r:id="rId48"/>
    <sheet name="Janeiro 2026 - Escrita" sheetId="53" r:id="rId49"/>
    <sheet name="Janeiro 2026 - Importação " sheetId="52" r:id="rId50"/>
    <sheet name="Fevereiro 2026 - Escrita" sheetId="55" r:id="rId51"/>
    <sheet name="Fevereiro 2026 - Importação " sheetId="57" r:id="rId52"/>
    <sheet name="Março 2026 - Escrita" sheetId="58" r:id="rId53"/>
    <sheet name="Março 2026 - Importação" sheetId="59" r:id="rId54"/>
    <sheet name="Abril 2026 - Escrita" sheetId="60" r:id="rId55"/>
    <sheet name="Abril 2026 - Importação" sheetId="61" r:id="rId56"/>
    <sheet name="Maio 2026 - Escrita" sheetId="62" r:id="rId57"/>
    <sheet name="Maio 2026 - Importação" sheetId="63" r:id="rId58"/>
    <sheet name="Junho 2026 - Escrita" sheetId="64" r:id="rId59"/>
    <sheet name="Junho 2026 - Importação" sheetId="65" r:id="rId60"/>
    <sheet name="Julho 2026 - Escrita" sheetId="66" r:id="rId61"/>
    <sheet name="Julho 2026 - Importação" sheetId="67" r:id="rId62"/>
    <sheet name="NEs GRAVES" sheetId="56" r:id="rId63"/>
    <sheet name="Graficos" sheetId="40" r:id="rId6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7" l="1"/>
  <c r="D15" i="67"/>
  <c r="D19" i="66"/>
  <c r="D18" i="66"/>
  <c r="D34" i="40"/>
  <c r="B20" i="40"/>
  <c r="C19" i="40"/>
  <c r="B19" i="40"/>
  <c r="B35" i="40"/>
  <c r="E74" i="40"/>
  <c r="E71" i="40"/>
  <c r="E70" i="40"/>
  <c r="E69" i="40"/>
  <c r="E68" i="40"/>
  <c r="E67" i="40"/>
  <c r="B76" i="40"/>
  <c r="N61" i="40"/>
  <c r="N60" i="40"/>
  <c r="N59" i="40"/>
  <c r="N58" i="40"/>
  <c r="N57" i="40"/>
  <c r="N54" i="40"/>
  <c r="B72" i="40" s="1"/>
  <c r="N53" i="40"/>
  <c r="B69" i="40" s="1"/>
  <c r="N52" i="40"/>
  <c r="B74" i="40" s="1"/>
  <c r="N51" i="40"/>
  <c r="B67" i="40" s="1"/>
  <c r="N50" i="40"/>
  <c r="B68" i="40" s="1"/>
  <c r="N49" i="40"/>
  <c r="B73" i="40" s="1"/>
  <c r="N48" i="40"/>
  <c r="B70" i="40" s="1"/>
  <c r="N47" i="40"/>
  <c r="B75" i="40" s="1"/>
  <c r="N46" i="40"/>
  <c r="B71" i="40" s="1"/>
  <c r="B34" i="40"/>
  <c r="C34" i="40"/>
  <c r="F34" i="40"/>
  <c r="D27" i="40"/>
  <c r="E34" i="40"/>
  <c r="G34" i="40"/>
  <c r="E18" i="40"/>
  <c r="C18" i="40"/>
  <c r="B18" i="40"/>
  <c r="G7" i="40"/>
  <c r="F6" i="40"/>
  <c r="D14" i="65"/>
  <c r="D13" i="65"/>
  <c r="D19" i="64"/>
  <c r="D18" i="64"/>
  <c r="F12" i="40"/>
  <c r="A9" i="62"/>
  <c r="D14" i="63"/>
  <c r="D13" i="63"/>
  <c r="D20" i="62"/>
  <c r="D19" i="62"/>
  <c r="D14" i="61"/>
  <c r="D13" i="61"/>
  <c r="D39" i="27"/>
  <c r="C39" i="27"/>
  <c r="D42" i="27"/>
  <c r="C44" i="27"/>
  <c r="D44" i="27" s="1"/>
  <c r="E16" i="58"/>
  <c r="E12" i="59"/>
  <c r="D20" i="60"/>
  <c r="D19" i="60"/>
  <c r="D14" i="59"/>
  <c r="D13" i="59"/>
  <c r="D16" i="58"/>
  <c r="D15" i="58"/>
  <c r="D17" i="55"/>
  <c r="D14" i="57"/>
  <c r="D13" i="57"/>
  <c r="D16" i="55"/>
  <c r="C3" i="7"/>
  <c r="M10" i="27"/>
  <c r="J15" i="27"/>
  <c r="C14" i="27"/>
  <c r="G14" i="27" s="1"/>
  <c r="B14" i="27"/>
  <c r="D16" i="54"/>
  <c r="D15" i="54"/>
  <c r="C13" i="27"/>
  <c r="B13" i="27"/>
  <c r="B15" i="27" s="1"/>
  <c r="D16" i="53"/>
  <c r="D15" i="53"/>
  <c r="D14" i="52"/>
  <c r="D13" i="52"/>
  <c r="D14" i="50"/>
  <c r="D13" i="50"/>
  <c r="D14" i="49"/>
  <c r="D13" i="49"/>
  <c r="D14" i="48"/>
  <c r="D13" i="48"/>
  <c r="D14" i="47"/>
  <c r="D13" i="47"/>
  <c r="D14" i="46"/>
  <c r="D13" i="46"/>
  <c r="D14" i="45"/>
  <c r="D13" i="45"/>
  <c r="D14" i="43"/>
  <c r="D13" i="43"/>
  <c r="D14" i="42"/>
  <c r="D13" i="42"/>
  <c r="D14" i="41"/>
  <c r="D13" i="41"/>
  <c r="G27" i="40"/>
  <c r="G28" i="40"/>
  <c r="G29" i="40"/>
  <c r="G30" i="40"/>
  <c r="G31" i="40"/>
  <c r="G32" i="40"/>
  <c r="G33" i="40"/>
  <c r="D32" i="40"/>
  <c r="F33" i="40"/>
  <c r="D33" i="40"/>
  <c r="F32" i="40"/>
  <c r="F31" i="40"/>
  <c r="D31" i="40"/>
  <c r="F30" i="40"/>
  <c r="D30" i="40"/>
  <c r="F29" i="40"/>
  <c r="D29" i="40"/>
  <c r="F28" i="40"/>
  <c r="D28" i="40"/>
  <c r="F27" i="40"/>
  <c r="G26" i="40"/>
  <c r="F26" i="40"/>
  <c r="D26" i="40"/>
  <c r="G25" i="40"/>
  <c r="F25" i="40"/>
  <c r="D25" i="40"/>
  <c r="F24" i="40"/>
  <c r="D24" i="40"/>
  <c r="F23" i="40"/>
  <c r="D23" i="40"/>
  <c r="F22" i="40"/>
  <c r="D22" i="40"/>
  <c r="G17" i="40"/>
  <c r="F17" i="40"/>
  <c r="D17" i="40"/>
  <c r="G16" i="40"/>
  <c r="F16" i="40"/>
  <c r="D16" i="40"/>
  <c r="G15" i="40"/>
  <c r="F15" i="40"/>
  <c r="D15" i="40"/>
  <c r="F14" i="40"/>
  <c r="D14" i="40"/>
  <c r="F13" i="40"/>
  <c r="D13" i="40"/>
  <c r="G12" i="40"/>
  <c r="D12" i="40"/>
  <c r="G11" i="40"/>
  <c r="F11" i="40"/>
  <c r="D11" i="40"/>
  <c r="G10" i="40"/>
  <c r="F10" i="40"/>
  <c r="D10" i="40"/>
  <c r="G9" i="40"/>
  <c r="F9" i="40"/>
  <c r="D9" i="40"/>
  <c r="G8" i="40"/>
  <c r="F8" i="40"/>
  <c r="D8" i="40"/>
  <c r="F7" i="40"/>
  <c r="D7" i="40"/>
  <c r="G6" i="40"/>
  <c r="G18" i="40" s="1"/>
  <c r="D6" i="40"/>
  <c r="G20" i="27"/>
  <c r="G21" i="27"/>
  <c r="G22" i="27"/>
  <c r="G23" i="27"/>
  <c r="G24" i="27"/>
  <c r="G25" i="27"/>
  <c r="G26" i="27"/>
  <c r="G27" i="27"/>
  <c r="G28" i="27"/>
  <c r="G29" i="27"/>
  <c r="G30" i="27"/>
  <c r="G19" i="27"/>
  <c r="E31" i="27"/>
  <c r="G4" i="27"/>
  <c r="G5" i="27"/>
  <c r="G6" i="27"/>
  <c r="G7" i="27"/>
  <c r="G8" i="27"/>
  <c r="G9" i="27"/>
  <c r="G10" i="27"/>
  <c r="G11" i="27"/>
  <c r="G12" i="27"/>
  <c r="G13" i="27"/>
  <c r="G3" i="27"/>
  <c r="G15" i="27" s="1"/>
  <c r="E15" i="27"/>
  <c r="D20" i="27"/>
  <c r="D21" i="27"/>
  <c r="D22" i="27"/>
  <c r="D23" i="27"/>
  <c r="D24" i="27"/>
  <c r="D25" i="27"/>
  <c r="D26" i="27"/>
  <c r="D27" i="27"/>
  <c r="D28" i="27"/>
  <c r="D29" i="27"/>
  <c r="D30" i="27"/>
  <c r="D19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4" i="27"/>
  <c r="F5" i="27"/>
  <c r="F6" i="27"/>
  <c r="F7" i="27"/>
  <c r="F8" i="27"/>
  <c r="F9" i="27"/>
  <c r="F10" i="27"/>
  <c r="F11" i="27"/>
  <c r="F12" i="27"/>
  <c r="F14" i="27"/>
  <c r="F3" i="27"/>
  <c r="D4" i="27"/>
  <c r="D5" i="27"/>
  <c r="D6" i="27"/>
  <c r="D7" i="27"/>
  <c r="D8" i="27"/>
  <c r="D9" i="27"/>
  <c r="D10" i="27"/>
  <c r="D11" i="27"/>
  <c r="D12" i="27"/>
  <c r="D13" i="27"/>
  <c r="D14" i="27"/>
  <c r="D3" i="27"/>
  <c r="C31" i="27"/>
  <c r="B31" i="27"/>
  <c r="C36" i="27" s="1"/>
  <c r="D14" i="39"/>
  <c r="D13" i="39"/>
  <c r="E14" i="38"/>
  <c r="E13" i="38"/>
  <c r="D14" i="37"/>
  <c r="D13" i="37"/>
  <c r="D14" i="36"/>
  <c r="D13" i="36"/>
  <c r="E17" i="35"/>
  <c r="E16" i="35"/>
  <c r="D17" i="34"/>
  <c r="D16" i="34"/>
  <c r="D13" i="33"/>
  <c r="D12" i="33"/>
  <c r="D13" i="32"/>
  <c r="D12" i="32"/>
  <c r="E17" i="31"/>
  <c r="E16" i="31"/>
  <c r="E17" i="30"/>
  <c r="E16" i="30"/>
  <c r="D12" i="29"/>
  <c r="D11" i="29"/>
  <c r="D13" i="28"/>
  <c r="D12" i="28"/>
  <c r="D13" i="26"/>
  <c r="D12" i="26"/>
  <c r="E17" i="25"/>
  <c r="E16" i="25"/>
  <c r="D17" i="24"/>
  <c r="D16" i="24"/>
  <c r="D19" i="23"/>
  <c r="D18" i="23"/>
  <c r="D17" i="22"/>
  <c r="D16" i="22"/>
  <c r="D19" i="21"/>
  <c r="D18" i="21"/>
  <c r="D17" i="20"/>
  <c r="D16" i="20"/>
  <c r="D16" i="19"/>
  <c r="D15" i="19"/>
  <c r="D17" i="18"/>
  <c r="D16" i="18"/>
  <c r="D16" i="17"/>
  <c r="D15" i="17"/>
  <c r="D17" i="16"/>
  <c r="D16" i="16"/>
  <c r="D21" i="15"/>
  <c r="D20" i="15"/>
  <c r="D17" i="14"/>
  <c r="D16" i="14"/>
  <c r="D23" i="10"/>
  <c r="D21" i="12"/>
  <c r="D20" i="12"/>
  <c r="D20" i="11"/>
  <c r="D19" i="11"/>
  <c r="D22" i="10"/>
  <c r="D19" i="9"/>
  <c r="D18" i="8"/>
  <c r="D17" i="8"/>
  <c r="D18" i="6"/>
  <c r="D17" i="6"/>
  <c r="D18" i="5"/>
  <c r="D17" i="5"/>
  <c r="D19" i="3"/>
  <c r="D18" i="3"/>
  <c r="D18" i="4"/>
  <c r="D17" i="4"/>
  <c r="D20" i="9"/>
  <c r="D18" i="1"/>
  <c r="D19" i="1"/>
  <c r="D18" i="2"/>
  <c r="D17" i="2"/>
  <c r="D18" i="40" l="1"/>
  <c r="F18" i="40"/>
  <c r="D31" i="27"/>
  <c r="F31" i="27"/>
  <c r="C15" i="27"/>
  <c r="F13" i="27"/>
  <c r="G31" i="27"/>
  <c r="C38" i="27" l="1"/>
  <c r="D38" i="27" s="1"/>
  <c r="G34" i="27"/>
  <c r="C37" i="27"/>
  <c r="D37" i="27" s="1"/>
  <c r="D15" i="27"/>
  <c r="F15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Neves, Marielli (TR Product)</author>
  </authors>
  <commentList>
    <comment ref="J23" authorId="0" shapeId="0" xr:uid="{DD7758DF-9252-4429-A0CE-87A02BC4E135}">
      <text>
        <r>
          <rPr>
            <sz val="11"/>
            <color theme="1"/>
            <rFont val="Calibri"/>
            <family val="2"/>
            <scheme val="minor"/>
          </rPr>
          <t>- Levou em consideração o F2 da tela de rendimentos
- Achou que o comportamento seria pela folha, alteração do REINF saiu em cima e foi feito a definição rápido
- Não tratou o botão Sócios
- Reflexo nos relatórios com vínculo ao código do fornecedor
- Não foi feito comunicação com os gerentes
- Não foi validado as informações com a GD</t>
        </r>
      </text>
    </comment>
    <comment ref="J31" authorId="0" shapeId="0" xr:uid="{8CBB2A32-4186-4237-8925-93C56A2DD0B3}">
      <text>
        <r>
          <rPr>
            <sz val="11"/>
            <color theme="1"/>
            <rFont val="Calibri"/>
            <family val="2"/>
            <scheme val="minor"/>
          </rPr>
          <t>- Levou em consideração o F2 da tela de rendimentos
- Achou que o comportamento seria pela folha, alteração do REINF saiu em cima e foi feito a definição rápido
- Não tratou o botão Sócios
- Reflexo nos relatórios com vínculo ao código do fornecedor
- Não foi feito comunicação com os gerentes
- Não foi validado as informações com a GD</t>
        </r>
      </text>
    </comment>
  </commentList>
</comments>
</file>

<file path=xl/sharedStrings.xml><?xml version="1.0" encoding="utf-8"?>
<sst xmlns="http://schemas.openxmlformats.org/spreadsheetml/2006/main" count="2027" uniqueCount="408">
  <si>
    <t>LEVANTAMENTO DE NEs COM DEFINIÇÃO DO MÓDULO ESCRITA FISCAL - VERSÃO DE JANEIRO/2024 (10.4A-01)</t>
  </si>
  <si>
    <t>NE</t>
  </si>
  <si>
    <t>SAI Origem</t>
  </si>
  <si>
    <t>Ano SAI Origem</t>
  </si>
  <si>
    <t>Tipo SAI Origem</t>
  </si>
  <si>
    <t>Responsável PSAI</t>
  </si>
  <si>
    <t>Responsável SAI</t>
  </si>
  <si>
    <t>Análise dos Erros</t>
  </si>
  <si>
    <t>SAL</t>
  </si>
  <si>
    <t>Felipi Ferreira</t>
  </si>
  <si>
    <t>Bruna</t>
  </si>
  <si>
    <t>Falha na análise da legislação - Alteração apenas para determinados CNAEs.</t>
  </si>
  <si>
    <t>SAIL</t>
  </si>
  <si>
    <t>-</t>
  </si>
  <si>
    <t>Bárbara Mello</t>
  </si>
  <si>
    <t>Marielli</t>
  </si>
  <si>
    <t>Cálculo Fomentar/Produzir alterado o relatório e não avaliado todos os reflexos (Pagamento de Impostos) que montam considerando os valores do relatório.</t>
  </si>
  <si>
    <t>não possui</t>
  </si>
  <si>
    <t>Filipe Santos</t>
  </si>
  <si>
    <t>Giovani</t>
  </si>
  <si>
    <t>Alteração na escrituração das notas e não foi tratado o registro C170 do SPED Fiscal.</t>
  </si>
  <si>
    <t>Total de NEs liberadas</t>
  </si>
  <si>
    <t>NE's com definição</t>
  </si>
  <si>
    <t>NeE's com definição recentes</t>
  </si>
  <si>
    <t>LEVANTAMENTO DE NEs COM DEFINIÇÃO DO MÓDULO IMPORTAÇÃO PADRÃO - VERSÃO DE JANEIRO/2024 (10.4A-01)</t>
  </si>
  <si>
    <t>Analise dos Erros</t>
  </si>
  <si>
    <t>SAM</t>
  </si>
  <si>
    <t>Sabrine</t>
  </si>
  <si>
    <t>Victor</t>
  </si>
  <si>
    <t>NÃO TIVEMOS NE COM DEFINIÇÃO NESSA VERSÃO</t>
  </si>
  <si>
    <t>NE's com definição recentes</t>
  </si>
  <si>
    <t>LEVANTAMENTO DE NEs COM DEFINIÇÃO DO MÓDULO ESCRITA FISCAL - VERSÃO DE FAVEREIRO/2024 (10.4A-02)</t>
  </si>
  <si>
    <t>Daniela</t>
  </si>
  <si>
    <t>Patrícia</t>
  </si>
  <si>
    <t>Renan</t>
  </si>
  <si>
    <t>Lais</t>
  </si>
  <si>
    <t>Não foi pensado no comportamento do botão "Outros dados" para Matriz e Filial.</t>
  </si>
  <si>
    <t>LEVANTAMENTO DE NEs COM DEFINIÇÃO DO MÓDULO IMPORTAÇÃO PADRÃO - VERSÃO DE FAVEREIRO/2024 (10.4A-02)</t>
  </si>
  <si>
    <t>LEVANTAMENTO DE NEs COM DEFINIÇÃO DO MÓDULO ESCRITA FISCAL - VERSÃO DE MARÇO/2024 (10.4A-03)</t>
  </si>
  <si>
    <t xml:space="preserve">Giovani </t>
  </si>
  <si>
    <t>A dedução do imposto 63 não considera o período do pagamento.</t>
  </si>
  <si>
    <t xml:space="preserve">Lais </t>
  </si>
  <si>
    <t>Definição incompleta referente ao código do item.</t>
  </si>
  <si>
    <t>LEVANTAMENTO DE NEs COM DEFINIÇÃO DO MÓDULO IMPORTAÇÃO PADRÃO - VERSÃO DE MARÇO/2024 (10.4A-03)</t>
  </si>
  <si>
    <t>Richardson</t>
  </si>
  <si>
    <t>Erro de threads.</t>
  </si>
  <si>
    <t>LEVANTAMENTO DE NEs COM DEFINIÇÃO DO MÓDULO ESCRITA FISCAL - VERSÃO DE Abril/2024 (10.4A-04)</t>
  </si>
  <si>
    <t>Patrícia Machado</t>
  </si>
  <si>
    <t>Mariana S.</t>
  </si>
  <si>
    <t>Bárbara Melo</t>
  </si>
  <si>
    <t>Prever o mesmo produto mais de uma vez na nota. Tratar as mesmas validações na Escrita e Importação.</t>
  </si>
  <si>
    <t>Tributos federais - Sempre avaliar os reflexos na Folha.</t>
  </si>
  <si>
    <t>Juliana</t>
  </si>
  <si>
    <t>NE Interna.</t>
  </si>
  <si>
    <t>Campos novos - Analisar se o campo terá que sempre ser gerado, ou vai existir possibilidade de gerar ou não.</t>
  </si>
  <si>
    <t>Patrícia C.</t>
  </si>
  <si>
    <t>Edgar</t>
  </si>
  <si>
    <t>LEVANTAMENTO DE NEs COM DEFINIÇÃO DO MÓDULO IMPORTAÇÃO PADRÃO - VERSÃO DE Abril/2024 (10.4A-04)</t>
  </si>
  <si>
    <t>NE interna.</t>
  </si>
  <si>
    <t>Carolina</t>
  </si>
  <si>
    <t>LEVANTAMENTO DE NEs COM DEFINIÇÃO DO MÓDULO ESCRITA FISCAL - VERSÃO DE Maio/2024 (10.4A-05)</t>
  </si>
  <si>
    <t>Cibele</t>
  </si>
  <si>
    <t>Definições para alterar a escrituração sem detalhar os registros que não devem gerar mais.</t>
  </si>
  <si>
    <t>Faltou detalhar nas rotinas a consideração de Retificadora ou Original do DAS API.</t>
  </si>
  <si>
    <t>Gestta Processos, não foi definido que a conclusão de relatórios deve ser no próprio relatório conforme padrão. Falta de conhecimento.</t>
  </si>
  <si>
    <t>Rafaela</t>
  </si>
  <si>
    <t>Definido a consideração dos sócios de forma anual não considerando o período do informativo.</t>
  </si>
  <si>
    <t>Foi definido de forma incorreta quando o valor da Folha de Salários for zerado em algum período.</t>
  </si>
  <si>
    <t>Não foi definido o comportamento quando a empresa Filial é inativa. Não tinha a condição para teste.</t>
  </si>
  <si>
    <t>LEVANTAMENTO DE NEs COM DEFINIÇÃO DO MÓDULO IMPORTAÇÃO PADRÃO - VERSÃO DE Maio/2024 (10.4A-05)</t>
  </si>
  <si>
    <t>LEVANTAMENTO DE NEs COM DEFINIÇÃO DO MÓDULO ESCRITA FISCAL - VERSÃO DE Junho/2024 (10.4A-06)</t>
  </si>
  <si>
    <t>LEVANTAMENTO DE NEs COM DEFINIÇÃO DO MÓDULO IMPORTAÇÃO PADRÃO - VERSÃO DE JUNHO/2024 (10.4A-06)</t>
  </si>
  <si>
    <t>LEVANTAMENTO DE NEs COM DEFINIÇÃO DO MÓDULO ESCRITA FISCAL - VERSÃO DE JULHO/2024 (10.4A-07)</t>
  </si>
  <si>
    <t>Copiando comportamentos de outras definições, sem confirmar se está correto.</t>
  </si>
  <si>
    <t>Não detalhou a consideração dos novos CFOPs junto com as espécies das notas.</t>
  </si>
  <si>
    <t>Detalhado os registros do SPED referente ao cadastro do produto e esquecido o registro 0220.</t>
  </si>
  <si>
    <t>Mariana F.</t>
  </si>
  <si>
    <t>Detalhar o demonstrativo/relatórios considerando todas as regras definidas na apuração.</t>
  </si>
  <si>
    <t>LEVANTAMENTO DE NEs COM DEFINIÇÃO DO MÓDULO IMPORTAÇÃO PADRÃO - VERSÃO DE JULHO/2024 (10.4A-07)</t>
  </si>
  <si>
    <t>LEVANTAMENTO DE NEs COM DEFINIÇÃO DO MÓDULO ESCRITA FISCAL - VERSÃO DE AGOSTO/2024 (10.4A-08)</t>
  </si>
  <si>
    <t>Não tratado o regerar lançamentos contábeis para o novo valor da nota.</t>
  </si>
  <si>
    <t>Interna</t>
  </si>
  <si>
    <t>LEVANTAMENTO DE NEs COM DEFINIÇÃO DO MÓDULO IMPORTAÇÃO PADRÃO - VERSÃO DE AGOSTO/2024 (10.4A-08)</t>
  </si>
  <si>
    <t>LEVANTAMENTO DE NEs COM DEFINIÇÃO DO MÓDULO ESCRITA FISCAL - VERSÃO DE SETEMBRO/2024 (10.4A-09)</t>
  </si>
  <si>
    <t>Definição para atualização de banco, quando o campo é uma combo deve ser avaliado se vai existir a possibilidade do campo estar desabilitado e como tem que tratar na atualização.</t>
  </si>
  <si>
    <t>LEVANTAMENTO DE NEs COM DEFINIÇÃO DO MÓDULO IMPORTAÇÃO PADRÃO - VERSÃO DE SETEMBRO/2024 (10.4A-09)</t>
  </si>
  <si>
    <t>LEVANTAMENTO DE NEs COM DEFINIÇÃO DO MÓDULO ESCRITA FISCAL - VERSÃO DE OUTUBRO/2024 (10.4A-10)</t>
  </si>
  <si>
    <t>Juliana/Luciana</t>
  </si>
  <si>
    <t>Não foi definido todas as formas de contabilização. Por nota e na Integração não considerando a opção "Gera lançamentos contábeis por nota.</t>
  </si>
  <si>
    <t>Não foi observado que alguns campos definidos não eram campos obrigatórios, e não definiu quando não tiver informação.</t>
  </si>
  <si>
    <t>Utilitários.</t>
  </si>
  <si>
    <t>Crítico</t>
  </si>
  <si>
    <t>Não foi definido corretamente o registro da DCIP conforme o subtipo da operação. Subtipo estono de débito / registro outros créditos.</t>
  </si>
  <si>
    <t>Bárbara L</t>
  </si>
  <si>
    <t>Não foi definido as mesmas regras no SPED que foram definidas para o cálculo. Marcação do parâmetros detalhado na apuração e não no SPED.</t>
  </si>
  <si>
    <t>Não foi entendido que o comportamento da versão de mercado não se encaixava para a nova situação.</t>
  </si>
  <si>
    <t>Não foi tratado o movimento de contrato imobiliário na SAI origem. Definiu o 1900 considerando todos os movimentos de saídas/serviços, menos contrato.</t>
  </si>
  <si>
    <t>Para o registro C191 deve ser avaliado com a UF se deve ser gerado o registro para entradas e saídas devido a obrigatriedade.</t>
  </si>
  <si>
    <t>Luciana</t>
  </si>
  <si>
    <t>Não foi avaliado o CFOP interrestadual, caso ouvese duas notas com os CFOP 1.xxx e 2.xxx teria realizado a definição correta, e analise do manual do informativo.</t>
  </si>
  <si>
    <t>Grave</t>
  </si>
  <si>
    <t>Priscila</t>
  </si>
  <si>
    <t>Foi tratado um registro como reflexo e não era reflexos e quando o desenvolvimento alertou não analisou de forma correta e também não validou com o especialista.</t>
  </si>
  <si>
    <t>Não tratou Falha na revisão sem confirmar com o especialista na alteração dos campos, não foi tratado os registros os registros M400 e M800.</t>
  </si>
  <si>
    <t>Interna.</t>
  </si>
  <si>
    <t>NEs liberadas</t>
  </si>
  <si>
    <t>NEs com definição</t>
  </si>
  <si>
    <t>Percentual</t>
  </si>
  <si>
    <t>NEs por analistas</t>
  </si>
  <si>
    <t>NEs por especialistas</t>
  </si>
  <si>
    <t>LEVANTAMENTO DE NEs COM DEFINIÇÃO DO MÓDULO ESCRITA FISCAL - VERSÃO DE JANEIRO/2025 (10.5A-01)</t>
  </si>
  <si>
    <t>LEVANTAMENTO DE NEs COM DEFINIÇÃO DO MÓDULO IMPORTAÇÃO PADRÃO - VERSÃO DE JANEIRO/2025 (10.5A-01)</t>
  </si>
  <si>
    <t>Não</t>
  </si>
  <si>
    <t>Foi definido incorretamente a consideração da opção "Deduzir o valor do imposto IPI da base de cálculo" no cálculo do imposto 27.</t>
  </si>
  <si>
    <t>Definição ausente. Não foi analisada com a devida atenção da Escrita 71749</t>
  </si>
  <si>
    <t>Felipi de Oliveira Ferreira</t>
  </si>
  <si>
    <t>Patricia Wesler de Costa</t>
  </si>
  <si>
    <t>Faltou fazer uma analise com resolução baixa</t>
  </si>
  <si>
    <t>Priscila Pereira Silva</t>
  </si>
  <si>
    <t>Giovani Sangaletti Cunha</t>
  </si>
  <si>
    <t>Não foi definida a opção do acumulador</t>
  </si>
  <si>
    <t>Vanessa Custodia Martins</t>
  </si>
  <si>
    <t>Não foi definida com a opção desmarcada   "[  ] Gera lançamentos contábeis por nota", deverá gerar a contabilização por apuração, em "Movimentos/Integração Contábil".</t>
  </si>
  <si>
    <t>Thais Nunes de Souza</t>
  </si>
  <si>
    <t>Esquecido de fazer um tratamento de uma mensagem</t>
  </si>
  <si>
    <t>Não foi gerado a SAI de reflexo para importação</t>
  </si>
  <si>
    <t>Edegar</t>
  </si>
  <si>
    <t>Barbara Fernanda Leite</t>
  </si>
  <si>
    <t>Lais Benetti de Andrade</t>
  </si>
  <si>
    <t>Ajustado a definição para atender o comportametno do site</t>
  </si>
  <si>
    <t>Clarice Hendler Magnus</t>
  </si>
  <si>
    <t>faltou definir os registros H005, H0101 e H030</t>
  </si>
  <si>
    <t>Marcio</t>
  </si>
  <si>
    <t>Daniel</t>
  </si>
  <si>
    <t>Definição não informada</t>
  </si>
  <si>
    <t>Renan das Neves Maiato</t>
  </si>
  <si>
    <t>Victor Velho Ferreira</t>
  </si>
  <si>
    <t>Não foi avaliado todos impactos</t>
  </si>
  <si>
    <t>Sem origem informada</t>
  </si>
  <si>
    <t>n/a</t>
  </si>
  <si>
    <t>NE Interna</t>
  </si>
  <si>
    <t>Tamara</t>
  </si>
  <si>
    <t>Mariana Sartori</t>
  </si>
  <si>
    <t>Vanessa Martins</t>
  </si>
  <si>
    <t>Patricia Wesler Costa</t>
  </si>
  <si>
    <t>Edegar Souza cruz</t>
  </si>
  <si>
    <t>Juliana Kuerten</t>
  </si>
  <si>
    <t>Patricia wesler</t>
  </si>
  <si>
    <t>Francine</t>
  </si>
  <si>
    <t>Vanessa</t>
  </si>
  <si>
    <t>Os arquivos que tinhamos na implementação não possuiam esta TAG, apesar de ela constar no manual</t>
  </si>
  <si>
    <t>Sim</t>
  </si>
  <si>
    <t>Jennifer</t>
  </si>
  <si>
    <t>SAI de NE da Escrita que refletiu na importação</t>
  </si>
  <si>
    <t>Denner</t>
  </si>
  <si>
    <t>Marilha</t>
  </si>
  <si>
    <t>Não encontrada</t>
  </si>
  <si>
    <t>LEVANTAMENTO DE NEs COM DEFINIÇÃO DO MÓDULO ESCRITA FISCAL - VERSÃO DE JUNHO/2025 (10.5A-06)</t>
  </si>
  <si>
    <t>Laís</t>
  </si>
  <si>
    <t>No registro D700, campo 13 do SPED Fiscal definiu para considerar o valor do campo "Valor Serviço", sendo o correto considerar a "Base de cálculo" da linha do imposto 1-ICMS</t>
  </si>
  <si>
    <t>Não tem SAI de origem.</t>
  </si>
  <si>
    <t>Mariana</t>
  </si>
  <si>
    <t>Não foi definido a contabilização do ICMS referente ao crédito nas aquisições de Simples Nacional.</t>
  </si>
  <si>
    <t>Aline (Contábil.)</t>
  </si>
  <si>
    <t>Daniel (Contabil.)</t>
  </si>
  <si>
    <t>Quando criada a janela de conciliação de contas pelo módulo Contabilidade, não foi definido o comportamento no utilitário regerar para que não fossem gerados lançamentos com conta conciliada.</t>
  </si>
  <si>
    <t>A definição não previu a alteração no acumulador, que também impacta no CFOP no caso de estar marcado "Discriminar CFOP para o lançamento"</t>
  </si>
  <si>
    <t>LEVANTAMENTO DE NEs COM DEFINIÇÃO DO MÓDULO IMPORTAÇÃO PADRÃO - VERSÃO DE JUNHO/2025 (10.5A-06)</t>
  </si>
  <si>
    <t>Não foi previsto o ajuste feito nas parcelas para o imposto Funrural</t>
  </si>
  <si>
    <t>Definição da SAI utiliza uma fórmula diferente para o campo do valor do imposto</t>
  </si>
  <si>
    <t>LEVANTAMENTO DE NEs COM DEFINIÇÃO DO MÓDULO ESCRITA FISCAL - VERSÃO DE JULHO/2025 (10.5A-07)</t>
  </si>
  <si>
    <t>Mateus</t>
  </si>
  <si>
    <t>Não foi prevista a situação para geração do EFD Contribuições onde o CTe substituído não possuir valor de PIS/COFINS</t>
  </si>
  <si>
    <t>Não foi definido a contabilização do estorno do valor da nota do CT-e substituído (foi previsto apenas o estorno dos impostos)</t>
  </si>
  <si>
    <t>Sibeli</t>
  </si>
  <si>
    <t>Definição incompleta na contabilização do estorno de crédito de ICMS nas operações com CP.</t>
  </si>
  <si>
    <t>Não foi considerado na definição a opção "Deduzir</t>
  </si>
  <si>
    <t>LEVANTAMENTO DE NEs COM DEFINIÇÃO DO MÓDULO IMPORTAÇÃO PADRÃO - VERSÃO DE JULHO/2025 (10.5A-07)</t>
  </si>
  <si>
    <t>LEVANTAMENTO DE NEs COM DEFINIÇÃO DO MÓDULO ESCRITA FISCAL - VERSÃO DE AGOSTO/2025 (10.5A-08)</t>
  </si>
  <si>
    <t>SAI-95847</t>
  </si>
  <si>
    <t>SAI-89930</t>
  </si>
  <si>
    <t>Problema de experiência do usuário, onde os usuários não compreenderam que o novo fluxo exigia confirmar a tela filha e gravar a tela mãe, onde a reclamação foi que o sistema não vinculava as contas.</t>
  </si>
  <si>
    <t>SAI-95720</t>
  </si>
  <si>
    <t>SAI-93539</t>
  </si>
  <si>
    <t>Giana</t>
  </si>
  <si>
    <t>NE interna</t>
  </si>
  <si>
    <t>SAI-95737</t>
  </si>
  <si>
    <t>SAI-94870</t>
  </si>
  <si>
    <t>Fabio</t>
  </si>
  <si>
    <t>Patricia</t>
  </si>
  <si>
    <t>Na definição da SAI não foi previsto definição para a opção "Apuração consolidada conforme Art. 55 §5º</t>
  </si>
  <si>
    <t>SAI-95619</t>
  </si>
  <si>
    <t>SAI-78961</t>
  </si>
  <si>
    <t xml:space="preserve">Juliana </t>
  </si>
  <si>
    <t>Faltou definição para a tag FolhaSalario no mês de abertura da empresa.</t>
  </si>
  <si>
    <t>SAI-93923</t>
  </si>
  <si>
    <t>SAI-60788</t>
  </si>
  <si>
    <t>Não foi considerado que na guia "Entradas" poderia haver mais de 1 linha de ICMS, ocasionando valor incorreto no SPED.</t>
  </si>
  <si>
    <t>LEVANTAMENTO DE NEs COM DEFINIÇÃO DO MÓDULO IMPORTAÇÃO PADRÃO - VERSÃO DE AGOSTO/2025 (10.5A-08)</t>
  </si>
  <si>
    <t>SAI-95047</t>
  </si>
  <si>
    <t>SAI-82065</t>
  </si>
  <si>
    <t>Retirado a mensagem de validação "CNPJ da chave é diferente do CNPJ da SCP"</t>
  </si>
  <si>
    <t>SAI-94633</t>
  </si>
  <si>
    <t>SAI-32508</t>
  </si>
  <si>
    <t>Complemento de definição quando marcado a opção "Gera documento de Utilização de beneficio - DUB-ICMS"</t>
  </si>
  <si>
    <t>Situação não definida</t>
  </si>
  <si>
    <t>LEVANTAMENTO DE NEs COM DEFINIÇÃO DO MÓDULO ESCRITA FISCAL - VERSÃO DE SETEMBRO/2025 (10.5A-09)</t>
  </si>
  <si>
    <t>Rafaela Sampaio</t>
  </si>
  <si>
    <t>Para o código RS000013 não é obrigatório o preenchindo da guia "Detalhamento"</t>
  </si>
  <si>
    <t>Fábio</t>
  </si>
  <si>
    <t>Não foi definida a geração do registro E115 para o código de ajuste RJ028001</t>
  </si>
  <si>
    <t>Não foi citado na definição que a condição deveria se aplicar também para filiais</t>
  </si>
  <si>
    <t>Não foi previsto o caso do crédito presumido ser menor que a devolução e estorno pela entrada</t>
  </si>
  <si>
    <t>Rafaela Ribeiro</t>
  </si>
  <si>
    <t>Para o imposto 63 não foi definida a ordem correta da onde pegar a natureza do rendimento quando o fato gerador for 'pagamento'</t>
  </si>
  <si>
    <t>Daniela Eyng</t>
  </si>
  <si>
    <t>Na SAI 67944 não foi previsto o caso específico para MG que gera os valores de isentas e outras na guia "Estadual\Geral"</t>
  </si>
  <si>
    <t>LEVANTAMENTO DE NEs COM DEFINIÇÃO DO MÓDULO IMPORTAÇÃO PADRÃO - VERSÃO DE SETEMBRO/2025 (10.5A-09)</t>
  </si>
  <si>
    <t>Ghisi</t>
  </si>
  <si>
    <t>LEVANTAMENTO DE NEs COM DEFINIÇÃO DO MÓDULO ESCRITA FISCAL - VERSÃO DE OUTUBRO/2025 (10.5A-10)</t>
  </si>
  <si>
    <t>Karoline</t>
  </si>
  <si>
    <t>Definição da SAI origem deixou de gerar um código que ainda estava vigente e tinha que gerar em algumas situações</t>
  </si>
  <si>
    <t>A SAI origem não deixou claro a condição que deveria funcionar também quando existisse base de cálculo informada para o ICMS</t>
  </si>
  <si>
    <t>Antonio</t>
  </si>
  <si>
    <t>Na SAI origem define para a opção habilitar quando tiver notas com espécie NFCe-, mas nesse caso somente a filial tinha, sendo assim na matriz não habilita, porém o informativo é gerado na matriz.</t>
  </si>
  <si>
    <t>Igor</t>
  </si>
  <si>
    <t>Nenhuma SAI define a condição de códigos de recolhimento diferentes para o 22 e 23, com fato gerador 'data de saída'.</t>
  </si>
  <si>
    <t>SAI origem não define o comportamento do agrupamento no relatório quando possuir o mesmo produto informado mais de uma vez.</t>
  </si>
  <si>
    <t>O cálculo é feito com 4 casas mas o relatório da memória demonstra 2, dessa forma os valores não ficavam corretos.</t>
  </si>
  <si>
    <t>Caroline</t>
  </si>
  <si>
    <t>A definção que "provocou" o erro, foi decidia em conjunto com o desenvolvimento, pois são casos muito específicos e técnicos do cliente Focus</t>
  </si>
  <si>
    <t>Sem responsável</t>
  </si>
  <si>
    <t>SAI muito antiga, quando não tinha definições</t>
  </si>
  <si>
    <t>Erick</t>
  </si>
  <si>
    <t>LEVANTAMENTO DE NEs COM DEFINIÇÃO DO MÓDULO ESCRITA FISCAL - VERSÃO DE NOVEMBRO/2025 (10.5A-11)</t>
  </si>
  <si>
    <t>Não foi previsto casos onde houvesse ICMS desonerado, porém sem SUBTRI informado (CST de SUBTRI)</t>
  </si>
  <si>
    <t>Flavia</t>
  </si>
  <si>
    <t>Não foi colocado na SAI origem o demonstrativo, porém ajustando a apuração o demonstrativo não é alterado, o desenvolvedor precisa entrar no relatório opara fazer alteração</t>
  </si>
  <si>
    <t>A definição é para no relatório considerar todos os impostos da apuração, mas o correto seria não considerar os impostos 183 e 184</t>
  </si>
  <si>
    <t>Joziani</t>
  </si>
  <si>
    <t>Não foram tratados alguns CFOPs no quadro V</t>
  </si>
  <si>
    <t>alguns</t>
  </si>
  <si>
    <t>Situação não tratada na SAI origem</t>
  </si>
  <si>
    <t>A fórmula do cálculo do DIFALI por nota estava incorreta</t>
  </si>
  <si>
    <t>Rogério</t>
  </si>
  <si>
    <t>Não foi tratada a integração com o tipo "Sintético"</t>
  </si>
  <si>
    <t>95510/96708/96174</t>
  </si>
  <si>
    <t>NE Interna, itens da reforma tributária</t>
  </si>
  <si>
    <t>Marieli</t>
  </si>
  <si>
    <t>LEVANTAMENTO DE NEs COM DEFINIÇÃO DO MÓDULO ESCRITA FISCAL - VERSÃO DE DEZEMBRO/2025 (10.5A-12)</t>
  </si>
  <si>
    <t>A SAI origem não menciona que os registros 45 e 47 não devem ser gerados para os CFOPs 1.663, 1.664, 2.663, 2.664, 5.663, 5.664, 5.665, 5.666, 6.663, 6.664, 6.665, 6.666.</t>
  </si>
  <si>
    <t>SAI de origem não definiu que deveria tratar caracteres especiais no nome da empresa.</t>
  </si>
  <si>
    <t>Não foi definido para buscar pelo NCM completo e após o NCM parcial.</t>
  </si>
  <si>
    <t>Definição para o cálculo da CBS e IBS para não considerar os impostos 22-PIS Retido e 23-COFINS Retida.</t>
  </si>
  <si>
    <t>Reflexo não definido</t>
  </si>
  <si>
    <t>94676/94678</t>
  </si>
  <si>
    <t>Escrita</t>
  </si>
  <si>
    <t>Versão</t>
  </si>
  <si>
    <t>Percentual 2024/2025</t>
  </si>
  <si>
    <t>Definição Antiga</t>
  </si>
  <si>
    <t>Percentual Geral</t>
  </si>
  <si>
    <t>NEs Com Definição 2024/2025</t>
  </si>
  <si>
    <t>Janeiro</t>
  </si>
  <si>
    <t>Fevereiro</t>
  </si>
  <si>
    <t>Março</t>
  </si>
  <si>
    <t>Bárbara Leite</t>
  </si>
  <si>
    <t>Abril</t>
  </si>
  <si>
    <t>Maio</t>
  </si>
  <si>
    <t>Junho</t>
  </si>
  <si>
    <t>Julho</t>
  </si>
  <si>
    <t>Agosto</t>
  </si>
  <si>
    <t>Total</t>
  </si>
  <si>
    <t>Setembro</t>
  </si>
  <si>
    <t>Outubro</t>
  </si>
  <si>
    <t>Novembro</t>
  </si>
  <si>
    <t>Dezembro</t>
  </si>
  <si>
    <t>Matheus</t>
  </si>
  <si>
    <t>TOTAL:</t>
  </si>
  <si>
    <t>Importação</t>
  </si>
  <si>
    <t>Total  Geral</t>
  </si>
  <si>
    <t>NE's sem origem ou origem igual/anterior a 2022</t>
  </si>
  <si>
    <t>NE's sem origem ou origem igual/anterior a 2023</t>
  </si>
  <si>
    <t>LEVANTAMENTO DE NEs COM DEFINIÇÃO DO MÓDULO ESCRITA FISCAL - VERSÃO DE JANEIRO/2026 (10.6A-01)</t>
  </si>
  <si>
    <t>Considera</t>
  </si>
  <si>
    <t>Flávia</t>
  </si>
  <si>
    <t>Não vejo que seja um erro da GP, apesar de ter definição. Entendo que o desenvolvimento deveria ter passado a limitação.</t>
  </si>
  <si>
    <t>Faltou definição de quando não existir o imposto 55 no lançamento e a base de cálculo do ICMS for diferente de zero</t>
  </si>
  <si>
    <t>Faltou definir o utilitário de alterar notas e outros lançamentos.</t>
  </si>
  <si>
    <t>Não existia definição de como devria ser o comportamento dos registros M100 e M500 em casos que no período possua apenas devolução de compras, sem crédito</t>
  </si>
  <si>
    <t>Não existe na tabela do Reinf o país 'Inglaterra', então tem que gerar o código do reino unido.</t>
  </si>
  <si>
    <t>Não existia definição de quando o percentual do ICMS fosse gerado.</t>
  </si>
  <si>
    <t>Não foi tratado o utilitário.</t>
  </si>
  <si>
    <t>Débora</t>
  </si>
  <si>
    <t>Não foi definido zeramento.</t>
  </si>
  <si>
    <t>Carolina Esmeraldino</t>
  </si>
  <si>
    <t>Victor Ferreira</t>
  </si>
  <si>
    <t>Não foi revisado a SAI para retirar a opção de importar o cancelamento</t>
  </si>
  <si>
    <t>Não foi definido a situação de outros valores para itens que não possuem CST de ICMS</t>
  </si>
  <si>
    <t>Priscila Silva</t>
  </si>
  <si>
    <t>Bruna Ferro</t>
  </si>
  <si>
    <t>Não foi definido o ponto de verificação no percentual de redução do ICMS</t>
  </si>
  <si>
    <t>LEVANTAMENTO DE NEs COM DEFINIÇÃO DO MÓDULO ESCRITA FISCAL - VERSÃO DE FEVEREIRO/2026 (10.6A-02)</t>
  </si>
  <si>
    <t>Percentual não definido na SAI de origem</t>
  </si>
  <si>
    <t>SAI revisada e tirada a definição.</t>
  </si>
  <si>
    <t>LEVANTAMENTO DE NEs COM DEFINIÇÃO DO MÓDULO IMPORTAÇÃO PADRÃO - VERSÃO DE FEVEREIRO/2026 (10.6A-02)</t>
  </si>
  <si>
    <t>SAM Imp</t>
  </si>
  <si>
    <t>A SAI origem não possuía definição para contexto de matriz/filial com compartilhamento de contas.</t>
  </si>
  <si>
    <t>---</t>
  </si>
  <si>
    <t>--</t>
  </si>
  <si>
    <t>SAM Escrita</t>
  </si>
  <si>
    <t>SAI Origem provavelmente foi a SAI que criou o importador ou que criou o imposto 49</t>
  </si>
  <si>
    <t>LEVANTAMENTO DE NEs COM DEFINIÇÃO DO MÓDULO ESCRITA FISCAL - VERSÃO DE MARÇO/2026 (10.6A-02)</t>
  </si>
  <si>
    <t>Felipi</t>
  </si>
  <si>
    <t>Criou regra com vinculo do imposto no acumulador ao invés de olhar diretamente a nota. Importa o imposto e não tem no acumulador.</t>
  </si>
  <si>
    <t>Alterações do SPED que vinculou os impostos CBS/IBS ao acumulador ao invés de olhar a nota.</t>
  </si>
  <si>
    <t>Majoração mais que 100% documento não fiscal.</t>
  </si>
  <si>
    <t>Causa já reportada no RDM da majoração</t>
  </si>
  <si>
    <t>Vinculo incorreto com o Fornecedor.</t>
  </si>
  <si>
    <t>Causa já reportada NE crítica</t>
  </si>
  <si>
    <t>Foi definido comportamento para Sócio Ostensiva e SCPs Lucro Real. Não foi tratado uma delas sendo LP e que teria nota lançada na Escrita</t>
  </si>
  <si>
    <t>Uma variável não analisada e prevista</t>
  </si>
  <si>
    <t>Não corrigiu o comprovante que não gerou o sócio.</t>
  </si>
  <si>
    <t>Causa já reportada NE grave</t>
  </si>
  <si>
    <t>Definido percentual de 11,09% e não 11,9%.</t>
  </si>
  <si>
    <t>Falha na definição.</t>
  </si>
  <si>
    <t>LEVANTAMENTO DE NEs COM DEFINIÇÃO DO MÓDULO IMPORTAÇÃO PADRÃO - VERSÃO DE MARÇO/2026 (10.6A-03)</t>
  </si>
  <si>
    <t>LEVANTAMENTO DE NEs COM DEFINIÇÃO DO MÓDULO ESCRITA FISCAL - VERSÃO DE ABRIL/2026 (10.6A-02)</t>
  </si>
  <si>
    <t>SAI origem considerava 6 casas decimais no cálculo, foi necessário aumentar para 20</t>
  </si>
  <si>
    <t>Não foi definido o reflexo totalizador da DIME quando possui saldo credor.</t>
  </si>
  <si>
    <t>Não foi definido nos relatórios para desconsiderar a opção do acumulador nas notas de devolução de compra.</t>
  </si>
  <si>
    <t>LEVANTAMENTO DE NEs COM DEFINIÇÃO DO MÓDULO IMPORTAÇÃO PADRÃO - VERSÃO DE ABRIL/2026 (10.6A-03)</t>
  </si>
  <si>
    <t>LEVANTAMENTO DE NEs COM DEFINIÇÃO DO MÓDULO ESCRITA FISCAL - VERSÃO DE MAIO/2026 (10.6A-05)</t>
  </si>
  <si>
    <t>Não considerou que os relatórios podem ser emitidos mais de um imposto junto e criou mensagem que bloqueou esse comportamento.</t>
  </si>
  <si>
    <t>Não foi tratado mensagem na API considerando a possibilidade de bloqueio temporário no DW</t>
  </si>
  <si>
    <t>Não foi detalhado os movimentos que deveriam refletir no relatório.</t>
  </si>
  <si>
    <t>Não avaliou o comportamento da versão de mercado para definir um campo que já tínhamos em outro ponto no sistema.</t>
  </si>
  <si>
    <t>LEVANTAMENTO DE NEs COM DEFINIÇÃO DO MÓDULO IMPORTAÇÃO PADRÃO - VERSÃO DE MAIO/2026 (10.6A-05)</t>
  </si>
  <si>
    <t>Não foi definido a alíquota de ISS para a guia "Itens"</t>
  </si>
  <si>
    <t>Definimos os campos necessários e os demais devia manter mercado, porém o manter mercado do campo "Cod. Rec" quando o imposto estiver "Lançado por produto" caia numa rotina específica e ficou incorreto. Entendemos que nesse caso houve também erro do teste</t>
  </si>
  <si>
    <t>Não foi incluído validação de verificação do nome do País ao identificar o município</t>
  </si>
  <si>
    <t xml:space="preserve">SAM </t>
  </si>
  <si>
    <t>Comportamento indetectável devido a NFS-e possuir um fluxo um pouco diferente da NF-e ao baixar do Web Service da Receita</t>
  </si>
  <si>
    <t>Na integração contábil é refeito o cálculo dos impostos e não foi previsto na SAI origem, nem com o levantamento da GD e não tem SAI com definição.</t>
  </si>
  <si>
    <t>Foi esquecido de tratar o relatório do Resumo dos impostos.</t>
  </si>
  <si>
    <t xml:space="preserve">Mateus </t>
  </si>
  <si>
    <t>Foi retirado o comportamento da definição na SAI origem com conversa com a GD, e não avaliado qual correção poderia ser feita.</t>
  </si>
  <si>
    <t>Definiu incorretamente considerando a data da competência do arquivo e não do pagamento e o exemplo não tratou a condição do cliente.</t>
  </si>
  <si>
    <t>Bárbara T.</t>
  </si>
  <si>
    <t>Não foi avaliado a opção "Gerar lançamento na conta cliente/fornecedor para parcelas pagas a vista".</t>
  </si>
  <si>
    <t>Bárbara L.</t>
  </si>
  <si>
    <t>Não foi definido corretamente a regra de importar de anos anteriores as informações de Outros dados DEFIS API.</t>
  </si>
  <si>
    <r>
      <rPr>
        <sz val="11"/>
        <color rgb="FF000000"/>
        <rFont val="Calibri"/>
        <scheme val="minor"/>
      </rPr>
      <t xml:space="preserve">Não foi tratado o informativo DIEF. Precisamos ainda continuar tratando? </t>
    </r>
    <r>
      <rPr>
        <b/>
        <sz val="11"/>
        <color rgb="FF000000"/>
        <rFont val="Calibri"/>
        <scheme val="minor"/>
      </rPr>
      <t>Não deveria ter definição.</t>
    </r>
  </si>
  <si>
    <t>Antiga.</t>
  </si>
  <si>
    <t>Felipi F</t>
  </si>
  <si>
    <t>Foi alterado o comportamento da versão de mercado da apuração dos impostos de SCP. Revisão feita sem conferir comportamento de todos os impostos.</t>
  </si>
  <si>
    <t>Não foi tratado os impostos 18-ISS Retido e 26-INSS Retido</t>
  </si>
  <si>
    <t>Não tratou a Declaração Mensal e Recibo através da publicação feita pelo Onvio Processos, quando a atividade for publicada pela DAS API Integra Contador.</t>
  </si>
  <si>
    <t>VERSÃO DE JANEIRO DE 2026</t>
  </si>
  <si>
    <t>Assunto erro</t>
  </si>
  <si>
    <t>Possui definição?</t>
  </si>
  <si>
    <t>Alguma ação para a GP?</t>
  </si>
  <si>
    <t>Anotações GP</t>
  </si>
  <si>
    <t>O ajuste realizado na SAI de origem acabou não sendo adequado.</t>
  </si>
  <si>
    <t>VERSÃO DE FEVEREIRO DE 2026</t>
  </si>
  <si>
    <t>Consulta estava fazendo inner join com o fornecedor, quando esse não existe consulta retorna nada</t>
  </si>
  <si>
    <t>Atualização na documentação da IA que revisa as definições, para identificar falta de definição em pontos que afetam o comprovante de rendimentos. 27/03/2026</t>
  </si>
  <si>
    <t>NE deveria ter definição. Definição incompleta do comprovante, não indicando o comportamento que deveria ter para o nome do beneficiário, apenas definido o valor.</t>
  </si>
  <si>
    <t>Estava considerando os valores "Isentos" "ICMS ST" e "Outras" para considerar se gera ou não, porém deveria em todas as possibilidades a partir 01/2026 não gerar esse registros.</t>
  </si>
  <si>
    <t>Reforçar com os especialistas os padrões em relação as dependências com o Desenvolvimento.18/03/2026</t>
  </si>
  <si>
    <t>Não foi feito dúvida para a GD para levantar todos os pontos e não foi feito o discovery.</t>
  </si>
  <si>
    <t>Não foram consideradas todas as tabelas filhas do parametro_vigencia</t>
  </si>
  <si>
    <t>Sem ação.</t>
  </si>
  <si>
    <t>Quando feito a regra, não foi atentado para a condição onde o mesmo possua o mesmo CNPJ entre matriz e filial, porem não possua o CNO informado.</t>
  </si>
  <si>
    <t>Faltou a verificação dos parâmetros se a empresa calcula TTD.</t>
  </si>
  <si>
    <t>Não foi considerado que, com mais de um produto, as linhas podem duplicar e somar em duplicidade o "valor contábil da nota".</t>
  </si>
  <si>
    <t>Uma provável alteração manual de datawindow bagunçou a ordem dos campos indexando incorretamente os campos da tela e bagunçando as interações.</t>
  </si>
  <si>
    <t>VERSÃO DE MARÇO DE 2026</t>
  </si>
  <si>
    <t>Não está buscando/listando os sócios da empresa no campo "Beneficiário" na tela "Outros Lançamentos de Lucros e Dividendos Tributáveis".</t>
  </si>
  <si>
    <t>Definição incorreta com vínculo ao fornecedor.</t>
  </si>
  <si>
    <t>Crítica.</t>
  </si>
  <si>
    <t>Está sendo indevidamente considerada majoração maior que 100% no cálculo dos impostos 6-CSLL, 7-IRPJ-LP, 33-IRPJ-PO, 110-CSLL/SCP e 111-IRPJ/SCP, quando o percentual de presunção informado no acumulador for de 100%.</t>
  </si>
  <si>
    <t>Não previu que o cliente poderia lançar um documento não fiscal para receitas financeiras.</t>
  </si>
  <si>
    <t>Não está sendo gerado o Comprovante Eletrônico de Rendimentos e/ou Comprovante Anual de Retenção, quando no período possuir rendimento isento informado para o sócio no EFD-Reinf, porém não possuir um 'Fornecedor' cadastrado com o mesmo CPF do sócio.</t>
  </si>
  <si>
    <t>Origem NE da versão de Fevereiro.</t>
  </si>
  <si>
    <t>Em alguns casos está ocorrendo erro de banco de dados ao realizar a apuração do período.</t>
  </si>
  <si>
    <t>Em alguns casos não está sendo feito o cálculo correto do imposto 7-IRPJ.</t>
  </si>
  <si>
    <t>VERSÃO DE ABRIL DE 2026</t>
  </si>
  <si>
    <t>Incluir no checklist para passar a considerar sempre 20 casas decimais?</t>
  </si>
  <si>
    <t>Padrão da GP considerar 6 casas decimais, não foram suficientes.</t>
  </si>
  <si>
    <t>VERSÃO DE MAIO DE 2026</t>
  </si>
  <si>
    <t>VERSÃO DE JUNHO DE 2026</t>
  </si>
  <si>
    <t>Versão 2025</t>
  </si>
  <si>
    <t>Percentual 2025</t>
  </si>
  <si>
    <t>NEs Com Definição 2025</t>
  </si>
  <si>
    <t>Versão 2026</t>
  </si>
  <si>
    <t>Percentual 2026</t>
  </si>
  <si>
    <t>NEs Com Definição 2026</t>
  </si>
  <si>
    <t>Quantidade por analista e especialista</t>
  </si>
  <si>
    <t>Totais</t>
  </si>
  <si>
    <t>Analista</t>
  </si>
  <si>
    <t>Fev/2026</t>
  </si>
  <si>
    <t>Abril/2026</t>
  </si>
  <si>
    <t>Maio/2026</t>
  </si>
  <si>
    <t>Agos/2026</t>
  </si>
  <si>
    <t>Set/2026</t>
  </si>
  <si>
    <t>Out/2026</t>
  </si>
  <si>
    <t>Dez/2026</t>
  </si>
  <si>
    <t>Especialista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</si>
</sst>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79">
    <xf numFmtId="0" fontId="0" fillId="0" borderId="0" xfId="0"/>
    <xf numFmtId="0" fontId="2" fillId="0" borderId="0" xfId="0" applyFont="1"/>
    <xf numFmtId="0" fontId="1" fillId="0" borderId="4" xfId="0" applyFont="1" applyBorder="1"/>
    <xf numFmtId="0" fontId="3" fillId="0" borderId="4" xfId="0" applyFont="1" applyBorder="1"/>
    <xf numFmtId="0" fontId="5" fillId="0" borderId="4" xfId="1" applyBorder="1"/>
    <xf numFmtId="0" fontId="2" fillId="0" borderId="4" xfId="0" applyFont="1" applyBorder="1"/>
    <xf numFmtId="0" fontId="3" fillId="0" borderId="0" xfId="0" applyFont="1"/>
    <xf numFmtId="10" fontId="2" fillId="0" borderId="0" xfId="0" applyNumberFormat="1" applyFont="1"/>
    <xf numFmtId="0" fontId="2" fillId="0" borderId="0" xfId="0" applyFont="1" applyAlignment="1">
      <alignment wrapText="1"/>
    </xf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 applyAlignment="1">
      <alignment horizontal="center"/>
    </xf>
    <xf numFmtId="0" fontId="5" fillId="0" borderId="3" xfId="1" applyFill="1" applyBorder="1"/>
    <xf numFmtId="0" fontId="5" fillId="0" borderId="5" xfId="1" applyFill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/>
    <xf numFmtId="0" fontId="2" fillId="0" borderId="6" xfId="0" applyFont="1" applyBorder="1"/>
    <xf numFmtId="0" fontId="2" fillId="0" borderId="4" xfId="0" applyFont="1" applyBorder="1" applyAlignment="1">
      <alignment wrapText="1"/>
    </xf>
    <xf numFmtId="0" fontId="5" fillId="0" borderId="4" xfId="1" applyFill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0" fontId="5" fillId="3" borderId="4" xfId="1" applyFill="1" applyBorder="1"/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6" xfId="0" applyFont="1" applyFill="1" applyBorder="1"/>
    <xf numFmtId="0" fontId="2" fillId="3" borderId="4" xfId="0" applyFont="1" applyFill="1" applyBorder="1"/>
    <xf numFmtId="0" fontId="0" fillId="3" borderId="0" xfId="0" applyFill="1"/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/>
    <xf numFmtId="0" fontId="4" fillId="3" borderId="4" xfId="0" applyFont="1" applyFill="1" applyBorder="1"/>
    <xf numFmtId="0" fontId="3" fillId="3" borderId="4" xfId="0" applyFont="1" applyFill="1" applyBorder="1"/>
    <xf numFmtId="0" fontId="5" fillId="3" borderId="3" xfId="1" applyFill="1" applyBorder="1"/>
    <xf numFmtId="0" fontId="5" fillId="3" borderId="5" xfId="1" applyFill="1" applyBorder="1"/>
    <xf numFmtId="0" fontId="2" fillId="3" borderId="4" xfId="0" applyFont="1" applyFill="1" applyBorder="1" applyAlignment="1">
      <alignment wrapText="1"/>
    </xf>
    <xf numFmtId="0" fontId="5" fillId="4" borderId="4" xfId="1" applyFill="1" applyBorder="1"/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3" xfId="0" applyFont="1" applyFill="1" applyBorder="1"/>
    <xf numFmtId="0" fontId="2" fillId="4" borderId="6" xfId="0" applyFont="1" applyFill="1" applyBorder="1"/>
    <xf numFmtId="0" fontId="2" fillId="4" borderId="4" xfId="0" applyFont="1" applyFill="1" applyBorder="1"/>
    <xf numFmtId="0" fontId="0" fillId="4" borderId="0" xfId="0" applyFill="1"/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/>
    <xf numFmtId="0" fontId="5" fillId="5" borderId="4" xfId="1" applyFill="1" applyBorder="1"/>
    <xf numFmtId="0" fontId="2" fillId="5" borderId="4" xfId="0" applyFont="1" applyFill="1" applyBorder="1"/>
    <xf numFmtId="0" fontId="0" fillId="5" borderId="0" xfId="0" applyFill="1"/>
    <xf numFmtId="0" fontId="5" fillId="0" borderId="0" xfId="1" applyFill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5" fillId="6" borderId="4" xfId="1" applyFill="1" applyBorder="1"/>
    <xf numFmtId="0" fontId="2" fillId="6" borderId="4" xfId="0" applyFont="1" applyFill="1" applyBorder="1"/>
    <xf numFmtId="0" fontId="0" fillId="6" borderId="0" xfId="0" applyFill="1"/>
    <xf numFmtId="0" fontId="2" fillId="6" borderId="4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3" xfId="0" applyFont="1" applyFill="1" applyBorder="1"/>
    <xf numFmtId="0" fontId="2" fillId="6" borderId="6" xfId="0" applyFont="1" applyFill="1" applyBorder="1"/>
    <xf numFmtId="0" fontId="4" fillId="0" borderId="4" xfId="1" applyFont="1" applyFill="1" applyBorder="1"/>
    <xf numFmtId="0" fontId="2" fillId="6" borderId="0" xfId="0" applyFont="1" applyFill="1"/>
    <xf numFmtId="0" fontId="8" fillId="6" borderId="4" xfId="1" applyFont="1" applyFill="1" applyBorder="1"/>
    <xf numFmtId="0" fontId="5" fillId="0" borderId="4" xfId="1" applyFill="1" applyBorder="1" applyAlignment="1">
      <alignment horizontal="center"/>
    </xf>
    <xf numFmtId="0" fontId="5" fillId="3" borderId="4" xfId="1" applyFill="1" applyBorder="1" applyAlignment="1">
      <alignment horizontal="center"/>
    </xf>
    <xf numFmtId="0" fontId="8" fillId="3" borderId="4" xfId="1" applyFont="1" applyFill="1" applyBorder="1"/>
    <xf numFmtId="0" fontId="7" fillId="0" borderId="4" xfId="0" applyFont="1" applyBorder="1" applyAlignment="1">
      <alignment horizontal="center"/>
    </xf>
    <xf numFmtId="0" fontId="0" fillId="0" borderId="4" xfId="0" applyBorder="1"/>
    <xf numFmtId="9" fontId="0" fillId="0" borderId="4" xfId="0" applyNumberFormat="1" applyBorder="1"/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8" xfId="0" applyFont="1" applyBorder="1"/>
    <xf numFmtId="0" fontId="2" fillId="3" borderId="5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7" fillId="0" borderId="4" xfId="0" applyFont="1" applyBorder="1"/>
    <xf numFmtId="0" fontId="2" fillId="3" borderId="3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5" fillId="3" borderId="4" xfId="1" quotePrefix="1" applyFill="1" applyBorder="1" applyAlignment="1">
      <alignment horizontal="center"/>
    </xf>
    <xf numFmtId="0" fontId="5" fillId="0" borderId="4" xfId="1" quotePrefix="1" applyFill="1" applyBorder="1" applyAlignment="1">
      <alignment horizontal="center"/>
    </xf>
    <xf numFmtId="0" fontId="2" fillId="0" borderId="4" xfId="0" quotePrefix="1" applyFont="1" applyBorder="1"/>
    <xf numFmtId="0" fontId="2" fillId="3" borderId="4" xfId="0" quotePrefix="1" applyFont="1" applyFill="1" applyBorder="1"/>
    <xf numFmtId="0" fontId="5" fillId="7" borderId="4" xfId="1" applyFill="1" applyBorder="1" applyAlignment="1">
      <alignment horizontal="center"/>
    </xf>
    <xf numFmtId="0" fontId="5" fillId="7" borderId="4" xfId="1" quotePrefix="1" applyFill="1" applyBorder="1" applyAlignment="1">
      <alignment horizontal="center"/>
    </xf>
    <xf numFmtId="0" fontId="2" fillId="7" borderId="4" xfId="0" quotePrefix="1" applyFont="1" applyFill="1" applyBorder="1"/>
    <xf numFmtId="0" fontId="2" fillId="7" borderId="4" xfId="0" applyFont="1" applyFill="1" applyBorder="1"/>
    <xf numFmtId="0" fontId="2" fillId="7" borderId="4" xfId="0" applyFont="1" applyFill="1" applyBorder="1" applyAlignment="1">
      <alignment wrapText="1"/>
    </xf>
    <xf numFmtId="0" fontId="0" fillId="0" borderId="4" xfId="0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0" fillId="0" borderId="3" xfId="0" applyBorder="1"/>
    <xf numFmtId="0" fontId="0" fillId="8" borderId="4" xfId="0" applyFill="1" applyBorder="1" applyAlignment="1">
      <alignment vertical="center"/>
    </xf>
    <xf numFmtId="9" fontId="0" fillId="8" borderId="4" xfId="0" applyNumberFormat="1" applyFill="1" applyBorder="1"/>
    <xf numFmtId="9" fontId="0" fillId="0" borderId="1" xfId="0" applyNumberFormat="1" applyBorder="1"/>
    <xf numFmtId="0" fontId="0" fillId="0" borderId="3" xfId="0" applyBorder="1" applyAlignment="1">
      <alignment vertical="center"/>
    </xf>
    <xf numFmtId="0" fontId="0" fillId="9" borderId="4" xfId="0" applyFill="1" applyBorder="1"/>
    <xf numFmtId="17" fontId="0" fillId="0" borderId="0" xfId="0" applyNumberFormat="1"/>
    <xf numFmtId="0" fontId="5" fillId="0" borderId="0" xfId="1"/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7" borderId="7" xfId="0" applyFont="1" applyFill="1" applyBorder="1" applyAlignment="1">
      <alignment wrapText="1"/>
    </xf>
    <xf numFmtId="0" fontId="2" fillId="7" borderId="3" xfId="0" applyFont="1" applyFill="1" applyBorder="1"/>
    <xf numFmtId="0" fontId="2" fillId="3" borderId="6" xfId="0" applyFont="1" applyFill="1" applyBorder="1" applyAlignment="1">
      <alignment horizontal="left"/>
    </xf>
    <xf numFmtId="0" fontId="2" fillId="7" borderId="7" xfId="0" quotePrefix="1" applyFont="1" applyFill="1" applyBorder="1"/>
    <xf numFmtId="0" fontId="2" fillId="7" borderId="5" xfId="0" quotePrefix="1" applyFont="1" applyFill="1" applyBorder="1"/>
    <xf numFmtId="0" fontId="2" fillId="0" borderId="7" xfId="0" applyFont="1" applyBorder="1"/>
    <xf numFmtId="0" fontId="1" fillId="0" borderId="5" xfId="0" applyFont="1" applyBorder="1"/>
    <xf numFmtId="0" fontId="5" fillId="0" borderId="7" xfId="1" applyBorder="1"/>
    <xf numFmtId="0" fontId="3" fillId="0" borderId="8" xfId="0" applyFont="1" applyBorder="1"/>
    <xf numFmtId="0" fontId="9" fillId="0" borderId="4" xfId="0" applyFont="1" applyBorder="1"/>
    <xf numFmtId="0" fontId="5" fillId="0" borderId="7" xfId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5" fillId="3" borderId="4" xfId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1" applyFont="1" applyFill="1" applyBorder="1" applyAlignment="1">
      <alignment horizontal="center"/>
    </xf>
    <xf numFmtId="0" fontId="0" fillId="3" borderId="4" xfId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5" fillId="0" borderId="3" xfId="1" quotePrefix="1" applyFill="1" applyBorder="1" applyAlignment="1">
      <alignment horizontal="center"/>
    </xf>
    <xf numFmtId="0" fontId="0" fillId="7" borderId="4" xfId="1" applyFont="1" applyFill="1" applyBorder="1" applyAlignment="1">
      <alignment horizontal="center"/>
    </xf>
    <xf numFmtId="0" fontId="5" fillId="7" borderId="3" xfId="1" applyFill="1" applyBorder="1" applyAlignment="1">
      <alignment horizontal="center"/>
    </xf>
    <xf numFmtId="0" fontId="0" fillId="7" borderId="3" xfId="1" applyFont="1" applyFill="1" applyBorder="1" applyAlignment="1">
      <alignment horizontal="center"/>
    </xf>
    <xf numFmtId="0" fontId="2" fillId="7" borderId="6" xfId="0" applyFont="1" applyFill="1" applyBorder="1"/>
    <xf numFmtId="0" fontId="2" fillId="7" borderId="5" xfId="0" applyFont="1" applyFill="1" applyBorder="1"/>
    <xf numFmtId="0" fontId="3" fillId="0" borderId="1" xfId="0" applyFont="1" applyBorder="1"/>
    <xf numFmtId="0" fontId="6" fillId="0" borderId="4" xfId="0" applyFont="1" applyBorder="1"/>
    <xf numFmtId="0" fontId="5" fillId="0" borderId="3" xfId="1" applyBorder="1"/>
    <xf numFmtId="0" fontId="0" fillId="3" borderId="3" xfId="0" applyFill="1" applyBorder="1"/>
    <xf numFmtId="0" fontId="3" fillId="0" borderId="3" xfId="0" applyFont="1" applyBorder="1"/>
    <xf numFmtId="0" fontId="0" fillId="3" borderId="4" xfId="0" applyFill="1" applyBorder="1"/>
    <xf numFmtId="0" fontId="5" fillId="3" borderId="3" xfId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6" xfId="0" applyFont="1" applyBorder="1"/>
    <xf numFmtId="0" fontId="2" fillId="3" borderId="8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wrapText="1"/>
    </xf>
    <xf numFmtId="0" fontId="5" fillId="4" borderId="4" xfId="2" applyFill="1" applyBorder="1"/>
    <xf numFmtId="0" fontId="5" fillId="0" borderId="4" xfId="2" applyFill="1" applyBorder="1"/>
    <xf numFmtId="0" fontId="2" fillId="0" borderId="4" xfId="0" applyFont="1" applyBorder="1" applyAlignment="1">
      <alignment horizontal="left"/>
    </xf>
    <xf numFmtId="0" fontId="5" fillId="3" borderId="4" xfId="2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4" xfId="2" applyFill="1" applyBorder="1" applyAlignment="1">
      <alignment horizontal="center"/>
    </xf>
    <xf numFmtId="0" fontId="5" fillId="0" borderId="4" xfId="2" applyBorder="1"/>
    <xf numFmtId="0" fontId="2" fillId="0" borderId="5" xfId="0" quotePrefix="1" applyFont="1" applyBorder="1"/>
    <xf numFmtId="0" fontId="3" fillId="0" borderId="8" xfId="0" applyFont="1" applyBorder="1" applyAlignment="1">
      <alignment horizontal="center"/>
    </xf>
    <xf numFmtId="0" fontId="0" fillId="7" borderId="4" xfId="0" applyFill="1" applyBorder="1"/>
    <xf numFmtId="0" fontId="7" fillId="7" borderId="4" xfId="0" applyFont="1" applyFill="1" applyBorder="1" applyAlignment="1">
      <alignment horizontal="center"/>
    </xf>
    <xf numFmtId="0" fontId="10" fillId="0" borderId="4" xfId="0" applyFont="1" applyBorder="1"/>
    <xf numFmtId="0" fontId="10" fillId="0" borderId="3" xfId="0" applyFont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7" fillId="7" borderId="3" xfId="0" applyFont="1" applyFill="1" applyBorder="1" applyAlignment="1">
      <alignment horizontal="center"/>
    </xf>
    <xf numFmtId="0" fontId="5" fillId="3" borderId="3" xfId="2" applyFill="1" applyBorder="1" applyAlignment="1">
      <alignment horizontal="center"/>
    </xf>
    <xf numFmtId="0" fontId="5" fillId="0" borderId="4" xfId="2" applyBorder="1" applyAlignment="1">
      <alignment horizontal="center"/>
    </xf>
    <xf numFmtId="0" fontId="5" fillId="0" borderId="7" xfId="2" applyFill="1" applyBorder="1" applyAlignment="1">
      <alignment horizontal="center"/>
    </xf>
    <xf numFmtId="0" fontId="5" fillId="3" borderId="7" xfId="1" quotePrefix="1" applyFill="1" applyBorder="1" applyAlignment="1">
      <alignment horizontal="center"/>
    </xf>
    <xf numFmtId="0" fontId="2" fillId="3" borderId="4" xfId="0" quotePrefix="1" applyFont="1" applyFill="1" applyBorder="1" applyAlignment="1">
      <alignment horizontal="center"/>
    </xf>
    <xf numFmtId="0" fontId="2" fillId="3" borderId="5" xfId="0" quotePrefix="1" applyFont="1" applyFill="1" applyBorder="1"/>
    <xf numFmtId="0" fontId="5" fillId="11" borderId="4" xfId="2" applyFill="1" applyBorder="1"/>
    <xf numFmtId="0" fontId="0" fillId="11" borderId="4" xfId="0" applyFill="1" applyBorder="1"/>
    <xf numFmtId="0" fontId="0" fillId="11" borderId="0" xfId="0" applyFill="1"/>
    <xf numFmtId="0" fontId="3" fillId="3" borderId="4" xfId="0" applyFont="1" applyFill="1" applyBorder="1" applyAlignment="1">
      <alignment horizontal="center"/>
    </xf>
    <xf numFmtId="0" fontId="5" fillId="0" borderId="3" xfId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8" xfId="0" applyFont="1" applyFill="1" applyBorder="1"/>
    <xf numFmtId="0" fontId="3" fillId="3" borderId="4" xfId="0" applyFont="1" applyFill="1" applyBorder="1" applyAlignment="1">
      <alignment horizontal="right"/>
    </xf>
    <xf numFmtId="0" fontId="5" fillId="0" borderId="7" xfId="1" applyFill="1" applyBorder="1" applyAlignment="1">
      <alignment horizontal="right"/>
    </xf>
    <xf numFmtId="0" fontId="5" fillId="3" borderId="7" xfId="2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9" fontId="12" fillId="0" borderId="0" xfId="0" applyNumberFormat="1" applyFont="1"/>
    <xf numFmtId="0" fontId="11" fillId="0" borderId="4" xfId="0" applyFont="1" applyBorder="1"/>
    <xf numFmtId="0" fontId="12" fillId="0" borderId="4" xfId="0" applyFont="1" applyBorder="1"/>
    <xf numFmtId="0" fontId="11" fillId="0" borderId="3" xfId="0" applyFont="1" applyBorder="1"/>
    <xf numFmtId="0" fontId="12" fillId="0" borderId="3" xfId="0" applyFont="1" applyBorder="1"/>
    <xf numFmtId="9" fontId="12" fillId="0" borderId="3" xfId="0" applyNumberFormat="1" applyFont="1" applyBorder="1"/>
    <xf numFmtId="9" fontId="2" fillId="0" borderId="0" xfId="0" applyNumberFormat="1" applyFont="1"/>
    <xf numFmtId="164" fontId="12" fillId="0" borderId="4" xfId="0" applyNumberFormat="1" applyFont="1" applyBorder="1"/>
    <xf numFmtId="164" fontId="12" fillId="0" borderId="3" xfId="0" applyNumberFormat="1" applyFont="1" applyBorder="1"/>
    <xf numFmtId="164" fontId="0" fillId="0" borderId="4" xfId="0" applyNumberFormat="1" applyBorder="1"/>
    <xf numFmtId="0" fontId="0" fillId="0" borderId="1" xfId="0" applyBorder="1"/>
    <xf numFmtId="164" fontId="12" fillId="0" borderId="5" xfId="0" applyNumberFormat="1" applyFont="1" applyBorder="1"/>
    <xf numFmtId="0" fontId="0" fillId="0" borderId="7" xfId="0" applyBorder="1"/>
    <xf numFmtId="0" fontId="11" fillId="0" borderId="8" xfId="0" applyFont="1" applyBorder="1"/>
    <xf numFmtId="0" fontId="12" fillId="0" borderId="8" xfId="0" applyFont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wrapText="1"/>
    </xf>
    <xf numFmtId="0" fontId="5" fillId="12" borderId="3" xfId="2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12" borderId="0" xfId="0" applyFill="1"/>
    <xf numFmtId="0" fontId="5" fillId="0" borderId="7" xfId="1" quotePrefix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5" fillId="0" borderId="3" xfId="2" applyBorder="1" applyAlignment="1">
      <alignment horizontal="center"/>
    </xf>
    <xf numFmtId="0" fontId="0" fillId="7" borderId="3" xfId="0" applyFill="1" applyBorder="1"/>
    <xf numFmtId="0" fontId="5" fillId="0" borderId="4" xfId="2" applyFill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3" xfId="2" applyFill="1" applyBorder="1" applyAlignment="1">
      <alignment horizontal="center"/>
    </xf>
    <xf numFmtId="0" fontId="5" fillId="0" borderId="8" xfId="2" applyBorder="1" applyAlignment="1">
      <alignment horizontal="center"/>
    </xf>
    <xf numFmtId="0" fontId="2" fillId="3" borderId="4" xfId="0" quotePrefix="1" applyFont="1" applyFill="1" applyBorder="1" applyAlignment="1">
      <alignment horizontal="left"/>
    </xf>
    <xf numFmtId="0" fontId="5" fillId="3" borderId="8" xfId="2" applyFill="1" applyBorder="1" applyAlignment="1">
      <alignment horizontal="center"/>
    </xf>
    <xf numFmtId="0" fontId="5" fillId="7" borderId="4" xfId="2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0" xfId="0" applyFill="1"/>
    <xf numFmtId="0" fontId="1" fillId="7" borderId="4" xfId="0" applyFont="1" applyFill="1" applyBorder="1" applyAlignment="1">
      <alignment horizontal="center"/>
    </xf>
    <xf numFmtId="0" fontId="5" fillId="7" borderId="4" xfId="2" applyFill="1" applyBorder="1" applyAlignment="1">
      <alignment horizontal="right"/>
    </xf>
    <xf numFmtId="0" fontId="0" fillId="7" borderId="4" xfId="0" applyFill="1" applyBorder="1" applyAlignment="1">
      <alignment horizontal="right"/>
    </xf>
    <xf numFmtId="0" fontId="2" fillId="7" borderId="4" xfId="0" applyFont="1" applyFill="1" applyBorder="1" applyAlignment="1">
      <alignment horizontal="left"/>
    </xf>
    <xf numFmtId="0" fontId="5" fillId="7" borderId="4" xfId="2" applyFill="1" applyBorder="1"/>
    <xf numFmtId="0" fontId="0" fillId="7" borderId="1" xfId="0" applyFill="1" applyBorder="1"/>
    <xf numFmtId="0" fontId="7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7" borderId="8" xfId="0" applyFill="1" applyBorder="1"/>
    <xf numFmtId="9" fontId="0" fillId="13" borderId="4" xfId="0" applyNumberFormat="1" applyFill="1" applyBorder="1"/>
    <xf numFmtId="17" fontId="0" fillId="0" borderId="4" xfId="0" applyNumberFormat="1" applyBorder="1"/>
    <xf numFmtId="0" fontId="7" fillId="0" borderId="0" xfId="0" applyFont="1"/>
    <xf numFmtId="0" fontId="2" fillId="3" borderId="9" xfId="0" applyFont="1" applyFill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0" fillId="12" borderId="4" xfId="0" applyFill="1" applyBorder="1"/>
    <xf numFmtId="0" fontId="1" fillId="0" borderId="6" xfId="0" applyFont="1" applyBorder="1" applyAlignment="1">
      <alignment horizontal="center"/>
    </xf>
    <xf numFmtId="0" fontId="2" fillId="12" borderId="1" xfId="0" applyFont="1" applyFill="1" applyBorder="1"/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2" fillId="0" borderId="6" xfId="0" applyFont="1" applyBorder="1" applyAlignment="1">
      <alignment horizontal="left"/>
    </xf>
    <xf numFmtId="0" fontId="2" fillId="3" borderId="9" xfId="0" applyFont="1" applyFill="1" applyBorder="1"/>
    <xf numFmtId="0" fontId="2" fillId="0" borderId="9" xfId="0" applyFont="1" applyBorder="1"/>
    <xf numFmtId="0" fontId="2" fillId="3" borderId="9" xfId="0" applyFont="1" applyFill="1" applyBorder="1" applyAlignment="1">
      <alignment wrapText="1"/>
    </xf>
    <xf numFmtId="0" fontId="5" fillId="6" borderId="4" xfId="2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4" xfId="0" applyFill="1" applyBorder="1"/>
    <xf numFmtId="0" fontId="2" fillId="7" borderId="6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1" xfId="0" applyFont="1" applyFill="1" applyBorder="1"/>
    <xf numFmtId="0" fontId="5" fillId="7" borderId="3" xfId="2" applyFill="1" applyBorder="1" applyAlignment="1">
      <alignment horizontal="center"/>
    </xf>
    <xf numFmtId="0" fontId="9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left"/>
    </xf>
    <xf numFmtId="0" fontId="7" fillId="7" borderId="6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0</xdr:rowOff>
    </xdr:from>
    <xdr:to>
      <xdr:col>20</xdr:col>
      <xdr:colOff>285750</xdr:colOff>
      <xdr:row>19</xdr:row>
      <xdr:rowOff>38100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FC023D4-4320-8043-90D5-B5274658E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6625" y="0"/>
          <a:ext cx="7905750" cy="3943350"/>
        </a:xfrm>
        <a:prstGeom prst="rect">
          <a:avLst/>
        </a:prstGeom>
      </xdr:spPr>
    </xdr:pic>
    <xdr:clientData/>
  </xdr:twoCellAnchor>
  <xdr:twoCellAnchor editAs="oneCell">
    <xdr:from>
      <xdr:col>7</xdr:col>
      <xdr:colOff>447675</xdr:colOff>
      <xdr:row>19</xdr:row>
      <xdr:rowOff>152400</xdr:rowOff>
    </xdr:from>
    <xdr:to>
      <xdr:col>21</xdr:col>
      <xdr:colOff>95250</xdr:colOff>
      <xdr:row>41</xdr:row>
      <xdr:rowOff>104775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67B596C-EF3C-26C2-6812-812407B9D6BD}"/>
            </a:ext>
            <a:ext uri="{147F2762-F138-4A5C-976F-8EAC2B608ADB}">
              <a16:predDERef xmlns:a16="http://schemas.microsoft.com/office/drawing/2014/main" pred="{BFC023D4-4320-8043-90D5-B5274658E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7100" y="4057650"/>
          <a:ext cx="8334375" cy="4162425"/>
        </a:xfrm>
        <a:prstGeom prst="rect">
          <a:avLst/>
        </a:prstGeom>
      </xdr:spPr>
    </xdr:pic>
    <xdr:clientData/>
  </xdr:twoCellAnchor>
  <xdr:twoCellAnchor editAs="oneCell">
    <xdr:from>
      <xdr:col>20</xdr:col>
      <xdr:colOff>419100</xdr:colOff>
      <xdr:row>0</xdr:row>
      <xdr:rowOff>0</xdr:rowOff>
    </xdr:from>
    <xdr:to>
      <xdr:col>34</xdr:col>
      <xdr:colOff>19050</xdr:colOff>
      <xdr:row>19</xdr:row>
      <xdr:rowOff>161925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5F88B14-C9E0-310C-EBCA-7530BB5D7FCE}"/>
            </a:ext>
            <a:ext uri="{147F2762-F138-4A5C-976F-8EAC2B608ADB}">
              <a16:predDERef xmlns:a16="http://schemas.microsoft.com/office/drawing/2014/main" pred="{E67B596C-EF3C-26C2-6812-812407B9D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59050" y="0"/>
          <a:ext cx="8134350" cy="4067175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</xdr:colOff>
      <xdr:row>20</xdr:row>
      <xdr:rowOff>66675</xdr:rowOff>
    </xdr:from>
    <xdr:to>
      <xdr:col>34</xdr:col>
      <xdr:colOff>114300</xdr:colOff>
      <xdr:row>41</xdr:row>
      <xdr:rowOff>57150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1149BF2-0F38-AC1F-5B0F-49D4C4E725E5}"/>
            </a:ext>
            <a:ext uri="{147F2762-F138-4A5C-976F-8EAC2B608ADB}">
              <a16:predDERef xmlns:a16="http://schemas.microsoft.com/office/drawing/2014/main" pred="{75F88B14-C9E0-310C-EBCA-7530BB5D7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59075" y="4162425"/>
          <a:ext cx="8029575" cy="401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54496&amp;linha=1" TargetMode="External"/><Relationship Id="rId3" Type="http://schemas.openxmlformats.org/officeDocument/2006/relationships/hyperlink" Target="https://sgsai.dominiosistemas.com.br/sgsai/faces/sai.html?sai=82300&amp;linha=1" TargetMode="External"/><Relationship Id="rId7" Type="http://schemas.openxmlformats.org/officeDocument/2006/relationships/hyperlink" Target="https://sgsai.dominiosistemas.com.br/sgsai/faces/sai.html?sai=82407&amp;linha=1" TargetMode="External"/><Relationship Id="rId2" Type="http://schemas.openxmlformats.org/officeDocument/2006/relationships/hyperlink" Target="https://sgsai.dominiosistemas.com.br/sgsai/faces/sai.html?sai=78709&amp;linha=1" TargetMode="External"/><Relationship Id="rId1" Type="http://schemas.openxmlformats.org/officeDocument/2006/relationships/hyperlink" Target="https://sgsai.dominiosistemas.com.br/sgsai/faces/sai.html?sai=82013&amp;linha=1" TargetMode="External"/><Relationship Id="rId6" Type="http://schemas.openxmlformats.org/officeDocument/2006/relationships/hyperlink" Target="https://sgsai.dominiosistemas.com.br/sgsai/faces/sai.html?sai=77860&amp;linha=1" TargetMode="External"/><Relationship Id="rId11" Type="http://schemas.openxmlformats.org/officeDocument/2006/relationships/hyperlink" Target="https://sgsai.dominiosistemas.com.br/sgsai/faces/sai.html?sai=82422&amp;linha=1" TargetMode="External"/><Relationship Id="rId5" Type="http://schemas.openxmlformats.org/officeDocument/2006/relationships/hyperlink" Target="https://sgsai.dominiosistemas.com.br/sgsai/faces/sai.html?sai=82296&amp;linha=1" TargetMode="External"/><Relationship Id="rId10" Type="http://schemas.openxmlformats.org/officeDocument/2006/relationships/hyperlink" Target="https://sgsai.dominiosistemas.com.br/sgsai/faces/sai.html?sai=83882&amp;linha=1" TargetMode="External"/><Relationship Id="rId4" Type="http://schemas.openxmlformats.org/officeDocument/2006/relationships/hyperlink" Target="https://sgsai.dominiosistemas.com.br/sgsai/faces/sai.html?sai=27258&amp;linha=1" TargetMode="External"/><Relationship Id="rId9" Type="http://schemas.openxmlformats.org/officeDocument/2006/relationships/hyperlink" Target="https://sgsai.dominiosistemas.com.br/sgsai/faces/sai.html?sai=83463&amp;linha=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2808&amp;linha=1" TargetMode="External"/><Relationship Id="rId2" Type="http://schemas.openxmlformats.org/officeDocument/2006/relationships/hyperlink" Target="https://sgsai.dominiosistemas.com.br/sgsai/faces/sai.html?sai=83484&amp;linha=1" TargetMode="External"/><Relationship Id="rId1" Type="http://schemas.openxmlformats.org/officeDocument/2006/relationships/hyperlink" Target="https://sgsai.dominiosistemas.com.br/sgsai/faces/sai.html?sai=82915&amp;linha=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33162&amp;linha=1" TargetMode="External"/><Relationship Id="rId13" Type="http://schemas.openxmlformats.org/officeDocument/2006/relationships/hyperlink" Target="https://sgsai.dominiosistemas.com.br/sgsai/faces/sai.html?sai=83433&amp;linha=1" TargetMode="External"/><Relationship Id="rId3" Type="http://schemas.openxmlformats.org/officeDocument/2006/relationships/hyperlink" Target="https://sgsai.dominiosistemas.com.br/sgsai/faces/sai.html?sai=82702&amp;linha=1" TargetMode="External"/><Relationship Id="rId7" Type="http://schemas.openxmlformats.org/officeDocument/2006/relationships/hyperlink" Target="https://sgsai.dominiosistemas.com.br/sgsai/faces/sai.html?sai=83135&amp;linha=1" TargetMode="External"/><Relationship Id="rId12" Type="http://schemas.openxmlformats.org/officeDocument/2006/relationships/hyperlink" Target="https://sgsai.dominiosistemas.com.br/sgsai/faces/sai.html?sai=84467&amp;linha=1" TargetMode="External"/><Relationship Id="rId2" Type="http://schemas.openxmlformats.org/officeDocument/2006/relationships/hyperlink" Target="https://sgsai.dominiosistemas.com.br/sgsai/faces/sai.html?sai=22469&amp;linha=1" TargetMode="External"/><Relationship Id="rId1" Type="http://schemas.openxmlformats.org/officeDocument/2006/relationships/hyperlink" Target="https://sgsai.dominiosistemas.com.br/sgsai/faces/sai.html?sai=82704&amp;linha=1" TargetMode="External"/><Relationship Id="rId6" Type="http://schemas.openxmlformats.org/officeDocument/2006/relationships/hyperlink" Target="https://sgsai.dominiosistemas.com.br/sgsai/faces/sai.html?sai=56166&amp;linha=1" TargetMode="External"/><Relationship Id="rId11" Type="http://schemas.openxmlformats.org/officeDocument/2006/relationships/hyperlink" Target="https://sgsai.dominiosistemas.com.br/sgsai/faces/sai.html?sai=84195&amp;linha=1" TargetMode="External"/><Relationship Id="rId5" Type="http://schemas.openxmlformats.org/officeDocument/2006/relationships/hyperlink" Target="https://sgsai.dominiosistemas.com.br/sgsai/faces/sai.html?sai=82948&amp;linha=1" TargetMode="External"/><Relationship Id="rId10" Type="http://schemas.openxmlformats.org/officeDocument/2006/relationships/hyperlink" Target="https://sgsai.dominiosistemas.com.br/sgsai/faces/sai.html?sai=73959&amp;linha=1" TargetMode="External"/><Relationship Id="rId4" Type="http://schemas.openxmlformats.org/officeDocument/2006/relationships/hyperlink" Target="https://sgsai.dominiosistemas.com.br/sgsai/faces/sai.html?sai=64148&amp;linha=1" TargetMode="External"/><Relationship Id="rId9" Type="http://schemas.openxmlformats.org/officeDocument/2006/relationships/hyperlink" Target="https://sgsai.dominiosistemas.com.br/sgsai/faces/sai.html?sai=83807&amp;linha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gsai.dominiosistemas.com.br/sgsai/faces/sai.html?sai=82057&amp;linha=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5180&amp;linha=1" TargetMode="External"/><Relationship Id="rId2" Type="http://schemas.openxmlformats.org/officeDocument/2006/relationships/hyperlink" Target="https://sgsai.dominiosistemas.com.br/sgsai/faces/sai.html?sai=79629&amp;linha=1" TargetMode="External"/><Relationship Id="rId1" Type="http://schemas.openxmlformats.org/officeDocument/2006/relationships/hyperlink" Target="https://sgsai.dominiosistemas.com.br/sgsai/faces/sai.html?sai=84717&amp;linha=1" TargetMode="External"/><Relationship Id="rId4" Type="http://schemas.openxmlformats.org/officeDocument/2006/relationships/hyperlink" Target="https://sgsai.dominiosistemas.com.br/sgsai/faces/sai.html?sai=84395&amp;linha=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4808&amp;linha=1" TargetMode="External"/><Relationship Id="rId2" Type="http://schemas.openxmlformats.org/officeDocument/2006/relationships/hyperlink" Target="https://sgsai.dominiosistemas.com.br/sgsai/faces/sai.html?sai=67081&amp;linha=1" TargetMode="External"/><Relationship Id="rId1" Type="http://schemas.openxmlformats.org/officeDocument/2006/relationships/hyperlink" Target="https://sgsai.dominiosistemas.com.br/sgsai/faces/sai.html?sai=83692&amp;linha=1" TargetMode="External"/><Relationship Id="rId4" Type="http://schemas.openxmlformats.org/officeDocument/2006/relationships/hyperlink" Target="https://sgsai.dominiosistemas.com.br/sgsai/faces/sai.html?sai=83916&amp;linha=1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85351&amp;linha=1" TargetMode="External"/><Relationship Id="rId13" Type="http://schemas.openxmlformats.org/officeDocument/2006/relationships/hyperlink" Target="https://sgsai.dominiosistemas.com.br/sgsai/faces/sai.html?sai=78961&amp;linha=1" TargetMode="External"/><Relationship Id="rId3" Type="http://schemas.openxmlformats.org/officeDocument/2006/relationships/hyperlink" Target="https://sgsai.dominiosistemas.com.br/sgsai/faces/sai.html?sai=68604&amp;linha=1" TargetMode="External"/><Relationship Id="rId7" Type="http://schemas.openxmlformats.org/officeDocument/2006/relationships/hyperlink" Target="https://sgsai.dominiosistemas.com.br/sgsai/faces/sai.html?sai=78693&amp;linha=1" TargetMode="External"/><Relationship Id="rId12" Type="http://schemas.openxmlformats.org/officeDocument/2006/relationships/hyperlink" Target="https://sgsai.dominiosistemas.com.br/sgsai/faces/sai.html?sai=85687&amp;linha=1" TargetMode="External"/><Relationship Id="rId2" Type="http://schemas.openxmlformats.org/officeDocument/2006/relationships/hyperlink" Target="https://sgsai.dominiosistemas.com.br/sgsai/faces/sai.html?sai=83775&amp;linha=1" TargetMode="External"/><Relationship Id="rId1" Type="http://schemas.openxmlformats.org/officeDocument/2006/relationships/hyperlink" Target="https://sgsai.dominiosistemas.com.br/sgsai/faces/sai.html?sai=83603&amp;linha=1" TargetMode="External"/><Relationship Id="rId6" Type="http://schemas.openxmlformats.org/officeDocument/2006/relationships/hyperlink" Target="https://sgsai.dominiosistemas.com.br/sgsai/faces/sai.html?sai=85265&amp;linha=1" TargetMode="External"/><Relationship Id="rId11" Type="http://schemas.openxmlformats.org/officeDocument/2006/relationships/hyperlink" Target="https://sgsai.dominiosistemas.com.br/sgsai/faces/sai.html?sai=78961&amp;linha=1" TargetMode="External"/><Relationship Id="rId5" Type="http://schemas.openxmlformats.org/officeDocument/2006/relationships/hyperlink" Target="https://sgsai.dominiosistemas.com.br/sgsai/faces/sai.html?sai=84508&amp;linha=1" TargetMode="External"/><Relationship Id="rId15" Type="http://schemas.openxmlformats.org/officeDocument/2006/relationships/hyperlink" Target="https://sgsai.dominiosistemas.com.br/sgsai/faces/sai.html?sai=43896&amp;linha=1" TargetMode="External"/><Relationship Id="rId10" Type="http://schemas.openxmlformats.org/officeDocument/2006/relationships/hyperlink" Target="https://sgsai.dominiosistemas.com.br/sgsai/faces/sai.html?sai=85349&amp;linha=1" TargetMode="External"/><Relationship Id="rId4" Type="http://schemas.openxmlformats.org/officeDocument/2006/relationships/hyperlink" Target="https://sgsai.dominiosistemas.com.br/sgsai/faces/sai.html?sai=83856&amp;linha=1" TargetMode="External"/><Relationship Id="rId9" Type="http://schemas.openxmlformats.org/officeDocument/2006/relationships/hyperlink" Target="https://sgsai.dominiosistemas.com.br/sgsai/faces/sai.html?sai=78961&amp;linha=1" TargetMode="External"/><Relationship Id="rId14" Type="http://schemas.openxmlformats.org/officeDocument/2006/relationships/hyperlink" Target="https://sgsai.dominiosistemas.com.br/sgsai/faces/sai.html?sai=85713&amp;linha=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5498&amp;linha=1" TargetMode="External"/><Relationship Id="rId2" Type="http://schemas.openxmlformats.org/officeDocument/2006/relationships/hyperlink" Target="https://sgsai.dominiosistemas.com.br/sgsai/faces/sai.html?sai=84509&amp;linha=1" TargetMode="External"/><Relationship Id="rId1" Type="http://schemas.openxmlformats.org/officeDocument/2006/relationships/hyperlink" Target="https://sgsai.dominiosistemas.com.br/sgsai/faces/sai.html?sai=85420&amp;linha=1" TargetMode="External"/><Relationship Id="rId6" Type="http://schemas.openxmlformats.org/officeDocument/2006/relationships/hyperlink" Target="https://sgsai.dominiosistemas.com.br/sgsai/faces/sai.html?sai=83869&amp;linha=1" TargetMode="External"/><Relationship Id="rId5" Type="http://schemas.openxmlformats.org/officeDocument/2006/relationships/hyperlink" Target="https://sgsai.dominiosistemas.com.br/sgsai/faces/sai.html?sai=85512&amp;linha=1" TargetMode="External"/><Relationship Id="rId4" Type="http://schemas.openxmlformats.org/officeDocument/2006/relationships/hyperlink" Target="https://sgsai.dominiosistemas.com.br/sgsai/faces/sai.html?sai=82171&amp;linha=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29609&amp;linha=1" TargetMode="External"/><Relationship Id="rId13" Type="http://schemas.openxmlformats.org/officeDocument/2006/relationships/hyperlink" Target="https://sgsai.dominiosistemas.com.br/sgsai/faces/sai.html?sai=85835&amp;linha=1" TargetMode="External"/><Relationship Id="rId18" Type="http://schemas.openxmlformats.org/officeDocument/2006/relationships/hyperlink" Target="https://sgsai.dominiosistemas.com.br/sgsai/faces/sai.html?sai=85276&amp;linha=1" TargetMode="External"/><Relationship Id="rId26" Type="http://schemas.openxmlformats.org/officeDocument/2006/relationships/hyperlink" Target="https://sgsai.dominiosistemas.com.br/sgsai/faces/sai.html?sai=78961&amp;linha=1" TargetMode="External"/><Relationship Id="rId3" Type="http://schemas.openxmlformats.org/officeDocument/2006/relationships/hyperlink" Target="https://sgsai.dominiosistemas.com.br/sgsai/faces/sai.html?sai=84080&amp;linha=1" TargetMode="External"/><Relationship Id="rId21" Type="http://schemas.openxmlformats.org/officeDocument/2006/relationships/hyperlink" Target="https://sgsai.dominiosistemas.com.br/sgsai/faces/sai.html?sai=86137&amp;linha=1" TargetMode="External"/><Relationship Id="rId7" Type="http://schemas.openxmlformats.org/officeDocument/2006/relationships/hyperlink" Target="https://sgsai.dominiosistemas.com.br/sgsai/faces/sai.html?sai=84590&amp;linha=1" TargetMode="External"/><Relationship Id="rId12" Type="http://schemas.openxmlformats.org/officeDocument/2006/relationships/hyperlink" Target="https://sgsai.dominiosistemas.com.br/sgsai/faces/sai.html?sai=14863&amp;linha=1" TargetMode="External"/><Relationship Id="rId17" Type="http://schemas.openxmlformats.org/officeDocument/2006/relationships/hyperlink" Target="https://sgsai.dominiosistemas.com.br/sgsai/faces/sai.html?sai=85978&amp;linha=1" TargetMode="External"/><Relationship Id="rId25" Type="http://schemas.openxmlformats.org/officeDocument/2006/relationships/hyperlink" Target="https://sgsai.dominiosistemas.com.br/sgsai/faces/sai.html?sai=86474&amp;linha=1" TargetMode="External"/><Relationship Id="rId2" Type="http://schemas.openxmlformats.org/officeDocument/2006/relationships/hyperlink" Target="https://sgsai.dominiosistemas.com.br/sgsai/faces/sai.html?sai=28978&amp;linha=1" TargetMode="External"/><Relationship Id="rId16" Type="http://schemas.openxmlformats.org/officeDocument/2006/relationships/hyperlink" Target="https://sgsai.dominiosistemas.com.br/sgsai/faces/sai.html?sai=84450&amp;linha=1" TargetMode="External"/><Relationship Id="rId20" Type="http://schemas.openxmlformats.org/officeDocument/2006/relationships/hyperlink" Target="https://sgsai.dominiosistemas.com.br/sgsai/faces/sai.html?sai=78961&amp;linha=1" TargetMode="External"/><Relationship Id="rId1" Type="http://schemas.openxmlformats.org/officeDocument/2006/relationships/hyperlink" Target="https://sgsai.dominiosistemas.com.br/sgsai/faces/sai.html?sai=84083&amp;linha=1" TargetMode="External"/><Relationship Id="rId6" Type="http://schemas.openxmlformats.org/officeDocument/2006/relationships/hyperlink" Target="https://sgsai.dominiosistemas.com.br/sgsai/faces/sai.html?sai=75155&amp;linha=1" TargetMode="External"/><Relationship Id="rId11" Type="http://schemas.openxmlformats.org/officeDocument/2006/relationships/hyperlink" Target="https://sgsai.dominiosistemas.com.br/sgsai/faces/sai.html?sai=85760&amp;linha=1" TargetMode="External"/><Relationship Id="rId24" Type="http://schemas.openxmlformats.org/officeDocument/2006/relationships/hyperlink" Target="https://sgsai.dominiosistemas.com.br/sgsai/faces/sai.html?sai=78961&amp;linha=1" TargetMode="External"/><Relationship Id="rId5" Type="http://schemas.openxmlformats.org/officeDocument/2006/relationships/hyperlink" Target="https://sgsai.dominiosistemas.com.br/sgsai/faces/sai.html?sai=84252&amp;linha=1" TargetMode="External"/><Relationship Id="rId15" Type="http://schemas.openxmlformats.org/officeDocument/2006/relationships/hyperlink" Target="https://sgsai.dominiosistemas.com.br/sgsai/faces/sai.html?sai=85920&amp;linha=1" TargetMode="External"/><Relationship Id="rId23" Type="http://schemas.openxmlformats.org/officeDocument/2006/relationships/hyperlink" Target="https://sgsai.dominiosistemas.com.br/sgsai/faces/sai.html?sai=86302&amp;linha=1" TargetMode="External"/><Relationship Id="rId10" Type="http://schemas.openxmlformats.org/officeDocument/2006/relationships/hyperlink" Target="https://sgsai.dominiosistemas.com.br/sgsai/faces/sai.html?sai=62564&amp;linha=1" TargetMode="External"/><Relationship Id="rId19" Type="http://schemas.openxmlformats.org/officeDocument/2006/relationships/hyperlink" Target="https://sgsai.dominiosistemas.com.br/sgsai/faces/sai.html?sai=86078&amp;linha=1" TargetMode="External"/><Relationship Id="rId4" Type="http://schemas.openxmlformats.org/officeDocument/2006/relationships/hyperlink" Target="https://sgsai.dominiosistemas.com.br/sgsai/faces/sai.html?sai=51010&amp;linha=1" TargetMode="External"/><Relationship Id="rId9" Type="http://schemas.openxmlformats.org/officeDocument/2006/relationships/hyperlink" Target="https://sgsai.dominiosistemas.com.br/sgsai/faces/sai.html?sai=85374&amp;linha=1" TargetMode="External"/><Relationship Id="rId14" Type="http://schemas.openxmlformats.org/officeDocument/2006/relationships/hyperlink" Target="https://sgsai.dominiosistemas.com.br/sgsai/faces/sai.html?sai=78961&amp;linha=1" TargetMode="External"/><Relationship Id="rId22" Type="http://schemas.openxmlformats.org/officeDocument/2006/relationships/hyperlink" Target="https://sgsai.dominiosistemas.com.br/sgsai/faces/sai.html?sai=84250&amp;linha=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4809&amp;linha=1" TargetMode="External"/><Relationship Id="rId2" Type="http://schemas.openxmlformats.org/officeDocument/2006/relationships/hyperlink" Target="https://sgsai.dominiosistemas.com.br/sgsai/faces/sai.html?sai=46656&amp;linha=1" TargetMode="External"/><Relationship Id="rId1" Type="http://schemas.openxmlformats.org/officeDocument/2006/relationships/hyperlink" Target="https://sgsai.dominiosistemas.com.br/sgsai/faces/sai.html?sai=84562&amp;linha=1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6529&amp;linha=1" TargetMode="External"/><Relationship Id="rId7" Type="http://schemas.openxmlformats.org/officeDocument/2006/relationships/hyperlink" Target="https://sgsai.dominiosistemas.com.br/sgsai/faces/sai.html?sai=86997&amp;linha=1" TargetMode="External"/><Relationship Id="rId2" Type="http://schemas.openxmlformats.org/officeDocument/2006/relationships/hyperlink" Target="https://sgsai.dominiosistemas.com.br/sgsai/faces/sai.html?sai=86310&amp;linha=1" TargetMode="External"/><Relationship Id="rId1" Type="http://schemas.openxmlformats.org/officeDocument/2006/relationships/hyperlink" Target="https://sgsai.dominiosistemas.com.br/sgsai/faces/sai.html?sai=85390&amp;linha=1" TargetMode="External"/><Relationship Id="rId6" Type="http://schemas.openxmlformats.org/officeDocument/2006/relationships/hyperlink" Target="https://sgsai.dominiosistemas.com.br/sgsai/faces/sai.html?sai=67944&amp;linha=1" TargetMode="External"/><Relationship Id="rId5" Type="http://schemas.openxmlformats.org/officeDocument/2006/relationships/hyperlink" Target="https://sgsai.dominiosistemas.com.br/sgsai/faces/sai.html?sai=86557&amp;linha=1" TargetMode="External"/><Relationship Id="rId4" Type="http://schemas.openxmlformats.org/officeDocument/2006/relationships/hyperlink" Target="https://sgsai.dominiosistemas.com.br/sgsai/faces/sai.html?sai=73246&amp;linha=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gsai.dominiosistemas.com.br/sgsai/faces/sai.html?sai=84634&amp;linha=1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80366&amp;linha=1" TargetMode="External"/><Relationship Id="rId3" Type="http://schemas.openxmlformats.org/officeDocument/2006/relationships/hyperlink" Target="https://sgsai.dominiosistemas.com.br/sgsai/faces/sai.html?sai=87463&amp;linha=1" TargetMode="External"/><Relationship Id="rId7" Type="http://schemas.openxmlformats.org/officeDocument/2006/relationships/hyperlink" Target="https://sgsai.dominiosistemas.com.br/sgsai/faces/sai.html?sai=87148&amp;linha=1" TargetMode="External"/><Relationship Id="rId2" Type="http://schemas.openxmlformats.org/officeDocument/2006/relationships/hyperlink" Target="https://sgsai.dominiosistemas.com.br/sgsai/faces/sai.html?sai=83055&amp;linha=1" TargetMode="External"/><Relationship Id="rId1" Type="http://schemas.openxmlformats.org/officeDocument/2006/relationships/hyperlink" Target="https://sgsai.dominiosistemas.com.br/sgsai/faces/sai.html?sai=87481&amp;linha=1" TargetMode="External"/><Relationship Id="rId6" Type="http://schemas.openxmlformats.org/officeDocument/2006/relationships/hyperlink" Target="https://sgsai.dominiosistemas.com.br/sgsai/faces/sai.html?sai=7898&amp;linha=1" TargetMode="External"/><Relationship Id="rId11" Type="http://schemas.openxmlformats.org/officeDocument/2006/relationships/hyperlink" Target="https://sgsai.dominiosistemas.com.br/sgsai/faces/sai.html?sai=76192&amp;linha=1" TargetMode="External"/><Relationship Id="rId5" Type="http://schemas.openxmlformats.org/officeDocument/2006/relationships/hyperlink" Target="https://sgsai.dominiosistemas.com.br/sgsai/faces/sai.html?sai=87174&amp;linha=1" TargetMode="External"/><Relationship Id="rId10" Type="http://schemas.openxmlformats.org/officeDocument/2006/relationships/hyperlink" Target="https://sgsai.dominiosistemas.com.br/sgsai/faces/sai.html?sai=85785&amp;linha=1" TargetMode="External"/><Relationship Id="rId4" Type="http://schemas.openxmlformats.org/officeDocument/2006/relationships/hyperlink" Target="https://sgsai.dominiosistemas.com.br/sgsai/faces/sai.html?sai=85647&amp;linha=1" TargetMode="External"/><Relationship Id="rId9" Type="http://schemas.openxmlformats.org/officeDocument/2006/relationships/hyperlink" Target="https://sgsai.dominiosistemas.com.br/sgsai/faces/sai.html?sai=86556&amp;linha=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7966&amp;linha=1" TargetMode="External"/><Relationship Id="rId2" Type="http://schemas.openxmlformats.org/officeDocument/2006/relationships/hyperlink" Target="https://sgsai.dominiosistemas.com.br/sgsai/faces/sai.html?sai=80230&amp;linha=1" TargetMode="External"/><Relationship Id="rId1" Type="http://schemas.openxmlformats.org/officeDocument/2006/relationships/hyperlink" Target="https://sgsai.dominiosistemas.com.br/sgsai/faces/sai.html?sai=86273&amp;linha=1" TargetMode="External"/><Relationship Id="rId4" Type="http://schemas.openxmlformats.org/officeDocument/2006/relationships/hyperlink" Target="https://sgsai.dominiosistemas.com.br/sgsai/faces/sai.html?sai=87350&amp;linha=1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6061&amp;linha=1" TargetMode="External"/><Relationship Id="rId2" Type="http://schemas.openxmlformats.org/officeDocument/2006/relationships/hyperlink" Target="https://sgsai.dominiosistemas.com.br/sgsai/faces/sai.html?sai=86444&amp;linha=1" TargetMode="External"/><Relationship Id="rId1" Type="http://schemas.openxmlformats.org/officeDocument/2006/relationships/hyperlink" Target="https://sgsai.dominiosistemas.com.br/sgsai/faces/sai.html?sai=87992&amp;linha=1" TargetMode="External"/><Relationship Id="rId4" Type="http://schemas.openxmlformats.org/officeDocument/2006/relationships/hyperlink" Target="https://sgsai.dominiosistemas.com.br/sgsai/faces/sai.html?sai=85420&amp;linha=1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8512&amp;linha=1" TargetMode="External"/><Relationship Id="rId2" Type="http://schemas.openxmlformats.org/officeDocument/2006/relationships/hyperlink" Target="https://sgsai.dominiosistemas.com.br/sgsai/faces/sai.html?sai=35685&amp;linha=1" TargetMode="External"/><Relationship Id="rId1" Type="http://schemas.openxmlformats.org/officeDocument/2006/relationships/hyperlink" Target="https://sgsai.dominiosistemas.com.br/sgsai/faces/sai.html?sai=87646&amp;linha=1" TargetMode="External"/><Relationship Id="rId4" Type="http://schemas.openxmlformats.org/officeDocument/2006/relationships/hyperlink" Target="https://sgsai.dominiosistemas.com.br/sgsai/faces/sai.html?sai=73747&amp;linha=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sgsai.dominiosistemas.com.br/sgsai/faces/sai.html?sai=88483&amp;linha=1" TargetMode="External"/><Relationship Id="rId1" Type="http://schemas.openxmlformats.org/officeDocument/2006/relationships/hyperlink" Target="https://sgsai.dominiosistemas.com.br/sgsai/faces/sai.html?sai=86240&amp;linha=1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83219&amp;linha=1" TargetMode="External"/><Relationship Id="rId13" Type="http://schemas.openxmlformats.org/officeDocument/2006/relationships/hyperlink" Target="https://sgsai.dominiosistemas.com.br/sgsai/faces/sai.html?sai=89524&amp;linha=1" TargetMode="External"/><Relationship Id="rId3" Type="http://schemas.openxmlformats.org/officeDocument/2006/relationships/hyperlink" Target="https://sgsai.dominiosistemas.com.br/sgsai/faces/sai.html?sai=86273&amp;linha=1" TargetMode="External"/><Relationship Id="rId7" Type="http://schemas.openxmlformats.org/officeDocument/2006/relationships/hyperlink" Target="https://sgsai.dominiosistemas.com.br/sgsai/faces/sai.html?sai=89278&amp;linha=1" TargetMode="External"/><Relationship Id="rId12" Type="http://schemas.openxmlformats.org/officeDocument/2006/relationships/hyperlink" Target="https://sgsai.dominiosistemas.com.br/sgsai/faces/sai.html?sai=85105&amp;linha=1" TargetMode="External"/><Relationship Id="rId2" Type="http://schemas.openxmlformats.org/officeDocument/2006/relationships/hyperlink" Target="https://sgsai.dominiosistemas.com.br/sgsai/faces/sai.html?sai=88237&amp;linha=1" TargetMode="External"/><Relationship Id="rId1" Type="http://schemas.openxmlformats.org/officeDocument/2006/relationships/hyperlink" Target="https://sgsai.dominiosistemas.com.br/sgsai/faces/sai.html?sai=87382&amp;linha=1" TargetMode="External"/><Relationship Id="rId6" Type="http://schemas.openxmlformats.org/officeDocument/2006/relationships/hyperlink" Target="https://sgsai.dominiosistemas.com.br/sgsai/faces/sai.html?sai=76208&amp;linha=1" TargetMode="External"/><Relationship Id="rId11" Type="http://schemas.openxmlformats.org/officeDocument/2006/relationships/hyperlink" Target="https://sgsai.dominiosistemas.com.br/sgsai/faces/sai.html?sai=89381&amp;linha=1" TargetMode="External"/><Relationship Id="rId5" Type="http://schemas.openxmlformats.org/officeDocument/2006/relationships/hyperlink" Target="https://sgsai.dominiosistemas.com.br/sgsai/faces/sai.html?sai=89257&amp;linha=1" TargetMode="External"/><Relationship Id="rId10" Type="http://schemas.openxmlformats.org/officeDocument/2006/relationships/hyperlink" Target="https://sgsai.dominiosistemas.com.br/sgsai/faces/sai.html?sai=33209&amp;linha=1" TargetMode="External"/><Relationship Id="rId4" Type="http://schemas.openxmlformats.org/officeDocument/2006/relationships/hyperlink" Target="https://sgsai.dominiosistemas.com.br/sgsai/faces/sai.html?sai=89145&amp;linha=1" TargetMode="External"/><Relationship Id="rId9" Type="http://schemas.openxmlformats.org/officeDocument/2006/relationships/hyperlink" Target="https://sgsai.dominiosistemas.com.br/sgsai/faces/sai.html?sai=89395&amp;linha=1" TargetMode="External"/><Relationship Id="rId14" Type="http://schemas.openxmlformats.org/officeDocument/2006/relationships/hyperlink" Target="https://sgsai.dominiosistemas.com.br/sgsai/faces/sai.html?sai=88173&amp;linha=1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7575&amp;linha=1" TargetMode="External"/><Relationship Id="rId2" Type="http://schemas.openxmlformats.org/officeDocument/2006/relationships/hyperlink" Target="https://sgsai.dominiosistemas.com.br/sgsai/faces/sai.html?sai=36739&amp;linha=1" TargetMode="External"/><Relationship Id="rId1" Type="http://schemas.openxmlformats.org/officeDocument/2006/relationships/hyperlink" Target="https://sgsai.dominiosistemas.com.br/sgsai/faces/sai.html?sai=87915&amp;linha=1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88600&amp;linha=1" TargetMode="External"/><Relationship Id="rId3" Type="http://schemas.openxmlformats.org/officeDocument/2006/relationships/hyperlink" Target="https://sgsai.dominiosistemas.com.br/sgsai/faces/sai.html?sai=89152&amp;linha=1" TargetMode="External"/><Relationship Id="rId7" Type="http://schemas.openxmlformats.org/officeDocument/2006/relationships/hyperlink" Target="https://sgsai.dominiosistemas.com.br/sgsai/faces/sai.html?sai=89963&amp;linha=1" TargetMode="External"/><Relationship Id="rId2" Type="http://schemas.openxmlformats.org/officeDocument/2006/relationships/hyperlink" Target="https://sgsai.dominiosistemas.com.br/sgsai/faces/sai.html?sai=20373&amp;linha=1" TargetMode="External"/><Relationship Id="rId1" Type="http://schemas.openxmlformats.org/officeDocument/2006/relationships/hyperlink" Target="https://sgsai.dominiosistemas.com.br/sgsai/faces/sai.html?sai=88732&amp;linha=1" TargetMode="External"/><Relationship Id="rId6" Type="http://schemas.openxmlformats.org/officeDocument/2006/relationships/hyperlink" Target="https://sgsai.dominiosistemas.com.br/sgsai/faces/sai.html?sai=73747&amp;linha=1" TargetMode="External"/><Relationship Id="rId5" Type="http://schemas.openxmlformats.org/officeDocument/2006/relationships/hyperlink" Target="https://sgsai.dominiosistemas.com.br/sgsai/faces/sai.html?sai=89773&amp;linha=1" TargetMode="External"/><Relationship Id="rId10" Type="http://schemas.openxmlformats.org/officeDocument/2006/relationships/hyperlink" Target="https://sgsai.dominiosistemas.com.br/sgsai/faces/sai.html?sai=84108&amp;linha=1" TargetMode="External"/><Relationship Id="rId4" Type="http://schemas.openxmlformats.org/officeDocument/2006/relationships/hyperlink" Target="https://sgsai.dominiosistemas.com.br/sgsai/faces/sai.html?sai=77258&amp;linha=1" TargetMode="External"/><Relationship Id="rId9" Type="http://schemas.openxmlformats.org/officeDocument/2006/relationships/hyperlink" Target="https://sgsai.dominiosistemas.com.br/sgsai/faces/sai.html?sai=90082&amp;linha=1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9035&amp;linha=1" TargetMode="External"/><Relationship Id="rId2" Type="http://schemas.openxmlformats.org/officeDocument/2006/relationships/hyperlink" Target="https://sgsai.dominiosistemas.com.br/sgsai/faces/sai.html?sai=80843" TargetMode="External"/><Relationship Id="rId1" Type="http://schemas.openxmlformats.org/officeDocument/2006/relationships/hyperlink" Target="https://sgsai.dominiosistemas.com.br/sgsai/faces/sai.html?sai=89839&amp;linha=1" TargetMode="External"/><Relationship Id="rId4" Type="http://schemas.openxmlformats.org/officeDocument/2006/relationships/hyperlink" Target="https://sgsai.dominiosistemas.com.br/sgsai/faces/sai.html?sai=86460&amp;linha=1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9464&amp;linha=1" TargetMode="External"/><Relationship Id="rId2" Type="http://schemas.openxmlformats.org/officeDocument/2006/relationships/hyperlink" Target="https://sgsai.dominiosistemas.com.br/sgsai/faces/sai.html?sai=71834&amp;linha=1" TargetMode="External"/><Relationship Id="rId1" Type="http://schemas.openxmlformats.org/officeDocument/2006/relationships/hyperlink" Target="https://sgsai.dominiosistemas.com.br/sgsai/faces/sai.html?sai=89629&amp;linha=1" TargetMode="External"/><Relationship Id="rId4" Type="http://schemas.openxmlformats.org/officeDocument/2006/relationships/hyperlink" Target="https://sgsai.dominiosistemas.com.br/sgsai/faces/sai.html?sai=44674&amp;linha=1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89913&amp;linha=1" TargetMode="External"/><Relationship Id="rId2" Type="http://schemas.openxmlformats.org/officeDocument/2006/relationships/hyperlink" Target="https://sgsai.dominiosistemas.com.br/sgsai/faces/sai.html?sai=77330&amp;linha=1" TargetMode="External"/><Relationship Id="rId1" Type="http://schemas.openxmlformats.org/officeDocument/2006/relationships/hyperlink" Target="https://sgsai.dominiosistemas.com.br/sgsai/faces/sai.html?sai=89523&amp;linha=1" TargetMode="External"/><Relationship Id="rId5" Type="http://schemas.openxmlformats.org/officeDocument/2006/relationships/hyperlink" Target="https://sgsai.dominiosistemas.com.br/sgsai/faces/sai.html?sai=22295&amp;linha=1" TargetMode="External"/><Relationship Id="rId4" Type="http://schemas.openxmlformats.org/officeDocument/2006/relationships/hyperlink" Target="https://sgsai.dominiosistemas.com.br/sgsai/faces/sai.html?sai=90626&amp;linha=1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78961&amp;linha=1" TargetMode="External"/><Relationship Id="rId3" Type="http://schemas.openxmlformats.org/officeDocument/2006/relationships/hyperlink" Target="https://sgsai.dominiosistemas.com.br/sgsai/faces/sai.html?sai=95720&amp;linha=1" TargetMode="External"/><Relationship Id="rId7" Type="http://schemas.openxmlformats.org/officeDocument/2006/relationships/hyperlink" Target="https://sgsai.dominiosistemas.com.br/sgsai/faces/sai.html?sai=95619&amp;linha=1" TargetMode="External"/><Relationship Id="rId2" Type="http://schemas.openxmlformats.org/officeDocument/2006/relationships/hyperlink" Target="https://sgsai.dominiosistemas.com.br/sgsai/faces/sai.html?sai=89930&amp;linha=1" TargetMode="External"/><Relationship Id="rId1" Type="http://schemas.openxmlformats.org/officeDocument/2006/relationships/hyperlink" Target="https://sgsai.dominiosistemas.com.br/sgsai/faces/sai.html?sai=95847&amp;linha=1" TargetMode="External"/><Relationship Id="rId6" Type="http://schemas.openxmlformats.org/officeDocument/2006/relationships/hyperlink" Target="https://sgsai.dominiosistemas.com.br/sgsai/faces/sai.html?sai=94870&amp;linha=1" TargetMode="External"/><Relationship Id="rId5" Type="http://schemas.openxmlformats.org/officeDocument/2006/relationships/hyperlink" Target="https://sgsai.dominiosistemas.com.br/sgsai/faces/sai.html?sai=95737&amp;linha=1" TargetMode="External"/><Relationship Id="rId10" Type="http://schemas.openxmlformats.org/officeDocument/2006/relationships/hyperlink" Target="https://sgsai.dominiosistemas.com.br/sgsai/faces/sai.html?sai=60788&amp;linha=1" TargetMode="External"/><Relationship Id="rId4" Type="http://schemas.openxmlformats.org/officeDocument/2006/relationships/hyperlink" Target="https://sgsai.dominiosistemas.com.br/sgsai/faces/sai.html?sai=93539&amp;linha=1" TargetMode="External"/><Relationship Id="rId9" Type="http://schemas.openxmlformats.org/officeDocument/2006/relationships/hyperlink" Target="https://sgsai.dominiosistemas.com.br/sgsai/faces/sai.html?sai=93923&amp;linha=1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94633&amp;linha=1" TargetMode="External"/><Relationship Id="rId2" Type="http://schemas.openxmlformats.org/officeDocument/2006/relationships/hyperlink" Target="https://sgsai.dominiosistemas.com.br/sgsai/faces/sai.html?sai=82065&amp;linha=1" TargetMode="External"/><Relationship Id="rId1" Type="http://schemas.openxmlformats.org/officeDocument/2006/relationships/hyperlink" Target="https://sgsai.dominiosistemas.com.br/sgsai/faces/sai.html?sai=95047&amp;linha=1" TargetMode="External"/><Relationship Id="rId4" Type="http://schemas.openxmlformats.org/officeDocument/2006/relationships/hyperlink" Target="https://sgsai.dominiosistemas.com.br/sgsai/faces/sai.html?sai=32508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hyperlink" Target="https://sgsai.dominiosistemas.com.br/sgsai/faces/sai.html?sai=82065&amp;linha=1" TargetMode="External"/><Relationship Id="rId1" Type="http://schemas.openxmlformats.org/officeDocument/2006/relationships/hyperlink" Target="https://sgsai.dominiosistemas.com.br/sgsai/faces/sai.html?sai=95047&amp;linha=1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97915&amp;linha=1" TargetMode="External"/><Relationship Id="rId13" Type="http://schemas.openxmlformats.org/officeDocument/2006/relationships/hyperlink" Target="https://sgsai.dominiosistemas.com.br/sgsai/faces/sai.html?sai=96822&amp;linha=1" TargetMode="External"/><Relationship Id="rId3" Type="http://schemas.openxmlformats.org/officeDocument/2006/relationships/hyperlink" Target="https://sgsai.dominiosistemas.com.br/sgsai/faces/sai.html?sai=96855&amp;linha=1" TargetMode="External"/><Relationship Id="rId7" Type="http://schemas.openxmlformats.org/officeDocument/2006/relationships/hyperlink" Target="https://sgsai.dominiosistemas.com.br/sgsai/faces/sai.html?sai=97209&amp;linha=1" TargetMode="External"/><Relationship Id="rId12" Type="http://schemas.openxmlformats.org/officeDocument/2006/relationships/hyperlink" Target="https://sgsai.dominiosistemas.com.br/sgsai/faces/sai.html?sai=98070&amp;linha=1" TargetMode="External"/><Relationship Id="rId2" Type="http://schemas.openxmlformats.org/officeDocument/2006/relationships/hyperlink" Target="https://sgsai.dominiosistemas.com.br/sgsai/faces/sai.html?sai=49587&amp;linha=1" TargetMode="External"/><Relationship Id="rId1" Type="http://schemas.openxmlformats.org/officeDocument/2006/relationships/hyperlink" Target="https://sgsai.dominiosistemas.com.br/sgsai/faces/sai.html?sai=96734&amp;linha=1" TargetMode="External"/><Relationship Id="rId6" Type="http://schemas.openxmlformats.org/officeDocument/2006/relationships/hyperlink" Target="https://sgsai.dominiosistemas.com.br/sgsai/faces/sai.html?sai=22408&amp;linha=1" TargetMode="External"/><Relationship Id="rId11" Type="http://schemas.openxmlformats.org/officeDocument/2006/relationships/hyperlink" Target="https://sgsai.dominiosistemas.com.br/sgsai/faces/sai.html?sai=93614&amp;linha=1" TargetMode="External"/><Relationship Id="rId5" Type="http://schemas.openxmlformats.org/officeDocument/2006/relationships/hyperlink" Target="https://sgsai.dominiosistemas.com.br/sgsai/faces/sai.html?sai=97217&amp;linha=1" TargetMode="External"/><Relationship Id="rId15" Type="http://schemas.openxmlformats.org/officeDocument/2006/relationships/hyperlink" Target="https://sgsai.dominiosistemas.com.br/sgsai/faces/sai.html?sai=88347&amp;linha=1" TargetMode="External"/><Relationship Id="rId10" Type="http://schemas.openxmlformats.org/officeDocument/2006/relationships/hyperlink" Target="https://sgsai.dominiosistemas.com.br/sgsai/faces/sai.html?sai=98046&amp;linha=1" TargetMode="External"/><Relationship Id="rId4" Type="http://schemas.openxmlformats.org/officeDocument/2006/relationships/hyperlink" Target="https://sgsai.dominiosistemas.com.br/sgsai/faces/sai.html?sai=85209&amp;linha=1" TargetMode="External"/><Relationship Id="rId9" Type="http://schemas.openxmlformats.org/officeDocument/2006/relationships/hyperlink" Target="https://sgsai.dominiosistemas.com.br/sgsai/faces/sai.html?sai=11130&amp;linha=1" TargetMode="External"/><Relationship Id="rId14" Type="http://schemas.openxmlformats.org/officeDocument/2006/relationships/hyperlink" Target="https://sgsai.dominiosistemas.com.br/sgsai/faces/sai.html?sai=98236&amp;linha=1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99919&amp;linha=1" TargetMode="External"/><Relationship Id="rId2" Type="http://schemas.openxmlformats.org/officeDocument/2006/relationships/hyperlink" Target="https://sgsai.dominiosistemas.com.br/sgsai/faces/sai.html?sai=98138&amp;linha=1" TargetMode="External"/><Relationship Id="rId1" Type="http://schemas.openxmlformats.org/officeDocument/2006/relationships/hyperlink" Target="https://sgsai.dominiosistemas.com.br/sgsai/faces/sai.html?sai=99218&amp;linha=1" TargetMode="External"/><Relationship Id="rId6" Type="http://schemas.openxmlformats.org/officeDocument/2006/relationships/hyperlink" Target="https://sgsai.dominiosistemas.com.br/sgsai/faces/sai.html?sai=96730&amp;linha=1" TargetMode="External"/><Relationship Id="rId5" Type="http://schemas.openxmlformats.org/officeDocument/2006/relationships/hyperlink" Target="https://sgsai.dominiosistemas.com.br/sgsai/faces/sai.html?sai=99301&amp;linha=1" TargetMode="External"/><Relationship Id="rId4" Type="http://schemas.openxmlformats.org/officeDocument/2006/relationships/hyperlink" Target="https://sgsai.dominiosistemas.com.br/sgsai/faces/sai.html?sai=99959&amp;linha=1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hyperlink" Target="https://sgsai.dominiosistemas.com.br/sgsai/faces/sai.html?sai=85624&amp;linha=1" TargetMode="External"/><Relationship Id="rId1" Type="http://schemas.openxmlformats.org/officeDocument/2006/relationships/hyperlink" Target="https://sgsai.dominiosistemas.com.br/sgsai/faces/sai.html?sai=98504&amp;linha=1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100230&amp;linha=1" TargetMode="External"/><Relationship Id="rId13" Type="http://schemas.openxmlformats.org/officeDocument/2006/relationships/hyperlink" Target="https://sgsai.dominiosistemas.com.br/sgsai/faces/sai.html?sai=100053&amp;linha=1" TargetMode="External"/><Relationship Id="rId3" Type="http://schemas.openxmlformats.org/officeDocument/2006/relationships/hyperlink" Target="https://sgsai.dominiosistemas.com.br/sgsai/faces/sai.html?sai=100306&amp;linha=1" TargetMode="External"/><Relationship Id="rId7" Type="http://schemas.openxmlformats.org/officeDocument/2006/relationships/hyperlink" Target="https://sgsai.dominiosistemas.com.br/sgsai/faces/sai.html?sai=99351&amp;linha=1" TargetMode="External"/><Relationship Id="rId12" Type="http://schemas.openxmlformats.org/officeDocument/2006/relationships/hyperlink" Target="https://sgsai.dominiosistemas.com.br/sgsai/faces/sai.html?sai=100046&amp;linha=1" TargetMode="External"/><Relationship Id="rId2" Type="http://schemas.openxmlformats.org/officeDocument/2006/relationships/hyperlink" Target="https://sgsai.dominiosistemas.com.br/sgsai/faces/sai.html?sai=97877&amp;linha=1" TargetMode="External"/><Relationship Id="rId1" Type="http://schemas.openxmlformats.org/officeDocument/2006/relationships/hyperlink" Target="https://sgsai.dominiosistemas.com.br/sgsai/faces/sai.html?sai=100342&amp;linha=1" TargetMode="External"/><Relationship Id="rId6" Type="http://schemas.openxmlformats.org/officeDocument/2006/relationships/hyperlink" Target="https://sgsai.dominiosistemas.com.br/sgsai/faces/sai.html?sai=100250&amp;linha=1" TargetMode="External"/><Relationship Id="rId11" Type="http://schemas.openxmlformats.org/officeDocument/2006/relationships/hyperlink" Target="https://sgsai.dominiosistemas.com.br/sgsai/faces/sai.html?sai=99797&amp;linha=1" TargetMode="External"/><Relationship Id="rId5" Type="http://schemas.openxmlformats.org/officeDocument/2006/relationships/hyperlink" Target="https://sgsai.dominiosistemas.com.br/sgsai/faces/sai.html?sai=99223&amp;linha=1" TargetMode="External"/><Relationship Id="rId10" Type="http://schemas.openxmlformats.org/officeDocument/2006/relationships/hyperlink" Target="https://sgsai.dominiosistemas.com.br/sgsai/faces/sai.html?sai=100187&amp;linha=1" TargetMode="External"/><Relationship Id="rId4" Type="http://schemas.openxmlformats.org/officeDocument/2006/relationships/hyperlink" Target="https://sgsai.dominiosistemas.com.br/sgsai/faces/sai.html?sai=100319&amp;linha=1" TargetMode="External"/><Relationship Id="rId9" Type="http://schemas.openxmlformats.org/officeDocument/2006/relationships/hyperlink" Target="https://sgsai.dominiosistemas.com.br/sgsai/faces/sai.html?sai=91471&amp;linha=1" TargetMode="External"/><Relationship Id="rId14" Type="http://schemas.openxmlformats.org/officeDocument/2006/relationships/hyperlink" Target="https://sgsai.dominiosistemas.com.br/sgsai/faces/sai.html?sai=99772&amp;linha=1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99811&amp;linha=1" TargetMode="External"/><Relationship Id="rId2" Type="http://schemas.openxmlformats.org/officeDocument/2006/relationships/hyperlink" Target="https://sgsai.dominiosistemas.com.br/sgsai/faces/sai.html?sai=79089&amp;linha=1" TargetMode="External"/><Relationship Id="rId1" Type="http://schemas.openxmlformats.org/officeDocument/2006/relationships/hyperlink" Target="https://sgsai.dominiosistemas.com.br/sgsai/faces/sai.html?sai=98813&amp;linha=1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28051&amp;linha=1" TargetMode="External"/><Relationship Id="rId13" Type="http://schemas.openxmlformats.org/officeDocument/2006/relationships/hyperlink" Target="https://sgsai.dominiosistemas.com.br/sgsai/faces/sai.html?sai=100945&amp;linha=1" TargetMode="External"/><Relationship Id="rId18" Type="http://schemas.openxmlformats.org/officeDocument/2006/relationships/hyperlink" Target="https://sgsai.dominiosistemas.com.br/sgsai/faces/sai.html?sai=101120&amp;linha=1" TargetMode="External"/><Relationship Id="rId3" Type="http://schemas.openxmlformats.org/officeDocument/2006/relationships/hyperlink" Target="https://sgsai.dominiosistemas.com.br/sgsai/faces/sai.html?sai=98961&amp;linha=1" TargetMode="External"/><Relationship Id="rId21" Type="http://schemas.openxmlformats.org/officeDocument/2006/relationships/hyperlink" Target="https://sgsai.dominiosistemas.com.br/sgsai/faces/sai.html?sai=74975&amp;linha=1" TargetMode="External"/><Relationship Id="rId7" Type="http://schemas.openxmlformats.org/officeDocument/2006/relationships/hyperlink" Target="https://sgsai.dominiosistemas.com.br/sgsai/faces/sai.html?sai=100498&amp;linha=1" TargetMode="External"/><Relationship Id="rId12" Type="http://schemas.openxmlformats.org/officeDocument/2006/relationships/hyperlink" Target="https://sgsai.dominiosistemas.com.br/sgsai/faces/sai.html?sai=98596&amp;linha=1" TargetMode="External"/><Relationship Id="rId17" Type="http://schemas.openxmlformats.org/officeDocument/2006/relationships/hyperlink" Target="https://sgsai.dominiosistemas.com.br/sgsai/faces/sai.html?sai=80472&amp;linha=1" TargetMode="External"/><Relationship Id="rId2" Type="http://schemas.openxmlformats.org/officeDocument/2006/relationships/hyperlink" Target="https://sgsai.dominiosistemas.com.br/sgsai/faces/sai.html?sai=78986&amp;linha=1" TargetMode="External"/><Relationship Id="rId16" Type="http://schemas.openxmlformats.org/officeDocument/2006/relationships/hyperlink" Target="https://sgsai.dominiosistemas.com.br/sgsai/faces/sai.html?sai=99834&amp;linha=1" TargetMode="External"/><Relationship Id="rId20" Type="http://schemas.openxmlformats.org/officeDocument/2006/relationships/hyperlink" Target="https://sgsai.dominiosistemas.com.br/sgsai/faces/sai.html?sai=100524&amp;linha=1" TargetMode="External"/><Relationship Id="rId1" Type="http://schemas.openxmlformats.org/officeDocument/2006/relationships/hyperlink" Target="https://sgsai.dominiosistemas.com.br/sgsai/faces/sai.html?sai=98546&amp;linha=1" TargetMode="External"/><Relationship Id="rId6" Type="http://schemas.openxmlformats.org/officeDocument/2006/relationships/hyperlink" Target="https://sgsai.dominiosistemas.com.br/sgsai/faces/sai.html?sai=94293&amp;linha=1" TargetMode="External"/><Relationship Id="rId11" Type="http://schemas.openxmlformats.org/officeDocument/2006/relationships/hyperlink" Target="https://sgsai.dominiosistemas.com.br/sgsai/faces/sai.html?sai=100803&amp;linha=1" TargetMode="External"/><Relationship Id="rId5" Type="http://schemas.openxmlformats.org/officeDocument/2006/relationships/hyperlink" Target="https://sgsai.dominiosistemas.com.br/sgsai/faces/sai.html?sai=100347&amp;linha=1" TargetMode="External"/><Relationship Id="rId15" Type="http://schemas.openxmlformats.org/officeDocument/2006/relationships/hyperlink" Target="https://sgsai.dominiosistemas.com.br/sgsai/faces/sai.html?sai=88979&amp;linha=1" TargetMode="External"/><Relationship Id="rId10" Type="http://schemas.openxmlformats.org/officeDocument/2006/relationships/hyperlink" Target="https://sgsai.dominiosistemas.com.br/sgsai/faces/sai.html?sai=99962&amp;linha=1" TargetMode="External"/><Relationship Id="rId19" Type="http://schemas.openxmlformats.org/officeDocument/2006/relationships/hyperlink" Target="https://sgsai.dominiosistemas.com.br/sgsai/faces/sai.html?sai=99223&amp;linha=1" TargetMode="External"/><Relationship Id="rId4" Type="http://schemas.openxmlformats.org/officeDocument/2006/relationships/hyperlink" Target="https://sgsai.dominiosistemas.com.br/sgsai/faces/sai.html?sai=99332&amp;linha=1" TargetMode="External"/><Relationship Id="rId9" Type="http://schemas.openxmlformats.org/officeDocument/2006/relationships/hyperlink" Target="https://sgsai.dominiosistemas.com.br/sgsai/faces/sai.html?sai=100805&amp;linha=1" TargetMode="External"/><Relationship Id="rId14" Type="http://schemas.openxmlformats.org/officeDocument/2006/relationships/hyperlink" Target="https://sgsai.dominiosistemas.com.br/sgsai/faces/sai.html?sai=99605&amp;linha=1" TargetMode="External"/><Relationship Id="rId22" Type="http://schemas.openxmlformats.org/officeDocument/2006/relationships/hyperlink" Target="https://sgsai.dominiosistemas.com.br/sgsai/faces/sai.html?sai=80871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101212&amp;linha=1" TargetMode="External"/><Relationship Id="rId13" Type="http://schemas.openxmlformats.org/officeDocument/2006/relationships/hyperlink" Target="https://sgsai.dominiosistemas.com.br/sgsai/faces/sai.html?sai=100580&amp;linha=1" TargetMode="External"/><Relationship Id="rId3" Type="http://schemas.openxmlformats.org/officeDocument/2006/relationships/hyperlink" Target="https://sgsai.dominiosistemas.com.br/sgsai/faces/sai.html?sai=100410&amp;linha=1" TargetMode="External"/><Relationship Id="rId7" Type="http://schemas.openxmlformats.org/officeDocument/2006/relationships/hyperlink" Target="https://sgsai.dominiosistemas.com.br/sgsai/faces/sai.html?sai=9608&amp;linha=1" TargetMode="External"/><Relationship Id="rId12" Type="http://schemas.openxmlformats.org/officeDocument/2006/relationships/hyperlink" Target="https://sgsai.dominiosistemas.com.br/sgsai/faces/sai.html?sai=101508&amp;linha=1" TargetMode="External"/><Relationship Id="rId2" Type="http://schemas.openxmlformats.org/officeDocument/2006/relationships/hyperlink" Target="https://sgsai.dominiosistemas.com.br/sgsai/faces/sai.html?sai=513&amp;linha=1" TargetMode="External"/><Relationship Id="rId16" Type="http://schemas.openxmlformats.org/officeDocument/2006/relationships/hyperlink" Target="https://sgsai.dominiosistemas.com.br/sgsai/faces/sai.html?sai=99351&amp;linha=1" TargetMode="External"/><Relationship Id="rId1" Type="http://schemas.openxmlformats.org/officeDocument/2006/relationships/hyperlink" Target="https://sgsai.dominiosistemas.com.br/sgsai/faces/sai.html?sai=95994&amp;linha=1" TargetMode="External"/><Relationship Id="rId6" Type="http://schemas.openxmlformats.org/officeDocument/2006/relationships/hyperlink" Target="https://sgsai.dominiosistemas.com.br/sgsai/faces/sai.html?sai=100807&amp;linha=1" TargetMode="External"/><Relationship Id="rId11" Type="http://schemas.openxmlformats.org/officeDocument/2006/relationships/hyperlink" Target="https://sgsai.dominiosistemas.com.br/sgsai/faces/sai.html?sai=94014&amp;linha=1" TargetMode="External"/><Relationship Id="rId5" Type="http://schemas.openxmlformats.org/officeDocument/2006/relationships/hyperlink" Target="https://sgsai.dominiosistemas.com.br/sgsai/faces/sai.html?sai=95295&amp;linha=1" TargetMode="External"/><Relationship Id="rId15" Type="http://schemas.openxmlformats.org/officeDocument/2006/relationships/hyperlink" Target="https://sgsai.dominiosistemas.com.br/sgsai/faces/sai.html?sai=101698&amp;linha=1" TargetMode="External"/><Relationship Id="rId10" Type="http://schemas.openxmlformats.org/officeDocument/2006/relationships/hyperlink" Target="https://sgsai.dominiosistemas.com.br/sgsai/faces/sai.html?sai=101262&amp;linha=1" TargetMode="External"/><Relationship Id="rId4" Type="http://schemas.openxmlformats.org/officeDocument/2006/relationships/hyperlink" Target="https://sgsai.dominiosistemas.com.br/sgsai/faces/sai.html?sai=100539&amp;linha=1" TargetMode="External"/><Relationship Id="rId9" Type="http://schemas.openxmlformats.org/officeDocument/2006/relationships/hyperlink" Target="https://sgsai.dominiosistemas.com.br/sgsai/faces/sai.html?sai=35004&amp;linha=1" TargetMode="External"/><Relationship Id="rId14" Type="http://schemas.openxmlformats.org/officeDocument/2006/relationships/hyperlink" Target="https://sgsai.dominiosistemas.com.br/sgsai/faces/sai.html?sai=101657&amp;linha=1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101319&amp;linha=1" TargetMode="External"/><Relationship Id="rId2" Type="http://schemas.openxmlformats.org/officeDocument/2006/relationships/hyperlink" Target="https://sgsai.dominiosistemas.com.br/sgsai/faces/sai.html?sai=100941&amp;linha=1" TargetMode="External"/><Relationship Id="rId1" Type="http://schemas.openxmlformats.org/officeDocument/2006/relationships/hyperlink" Target="https://sgsai.dominiosistemas.com.br/sgsai/faces/sai.html?sai=99996&amp;linha=1" TargetMode="External"/><Relationship Id="rId4" Type="http://schemas.openxmlformats.org/officeDocument/2006/relationships/hyperlink" Target="https://sgsai.dominiosistemas.com.br/sgsai/faces/sai.html?sai=79446&amp;linha=1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101293&amp;linha=1" TargetMode="External"/><Relationship Id="rId13" Type="http://schemas.openxmlformats.org/officeDocument/2006/relationships/hyperlink" Target="https://sgsai.dominiosistemas.com.br/sgsai/faces/sai.html?sai=101369&amp;linha=1" TargetMode="External"/><Relationship Id="rId3" Type="http://schemas.openxmlformats.org/officeDocument/2006/relationships/hyperlink" Target="https://sgsai.dominiosistemas.com.br/sgsai/faces/sai.html?sai=99223&amp;linha=1" TargetMode="External"/><Relationship Id="rId7" Type="http://schemas.openxmlformats.org/officeDocument/2006/relationships/hyperlink" Target="https://sgsai.dominiosistemas.com.br/sgsai/faces/sai.html?sai=102014&amp;linha=1" TargetMode="External"/><Relationship Id="rId12" Type="http://schemas.openxmlformats.org/officeDocument/2006/relationships/hyperlink" Target="https://sgsai.dominiosistemas.com.br/sgsai/faces/sai.html?sai=102426&amp;linha=1" TargetMode="External"/><Relationship Id="rId2" Type="http://schemas.openxmlformats.org/officeDocument/2006/relationships/hyperlink" Target="https://sgsai.dominiosistemas.com.br/sgsai/faces/sai.html?sai=101752&amp;linha=1" TargetMode="External"/><Relationship Id="rId1" Type="http://schemas.openxmlformats.org/officeDocument/2006/relationships/hyperlink" Target="https://sgsai.dominiosistemas.com.br/sgsai/faces/sai.html?sai=101492&amp;linha=1" TargetMode="External"/><Relationship Id="rId6" Type="http://schemas.openxmlformats.org/officeDocument/2006/relationships/hyperlink" Target="https://sgsai.dominiosistemas.com.br/sgsai/faces/sai.html?sai=101823&amp;linha=1" TargetMode="External"/><Relationship Id="rId11" Type="http://schemas.openxmlformats.org/officeDocument/2006/relationships/hyperlink" Target="https://sgsai.dominiosistemas.com.br/sgsai/faces/sai.html?sai=102079&amp;linha=1" TargetMode="External"/><Relationship Id="rId5" Type="http://schemas.openxmlformats.org/officeDocument/2006/relationships/hyperlink" Target="https://sgsai.dominiosistemas.com.br/sgsai/faces/sai.html?sai=99223&amp;linha=1" TargetMode="External"/><Relationship Id="rId15" Type="http://schemas.openxmlformats.org/officeDocument/2006/relationships/hyperlink" Target="https://sgsai.dominiosistemas.com.br/sgsai/faces/sai.html?sai=94293&amp;linha=1" TargetMode="External"/><Relationship Id="rId10" Type="http://schemas.openxmlformats.org/officeDocument/2006/relationships/hyperlink" Target="https://sgsai.dominiosistemas.com.br/sgsai/faces/sai.html?sai=101855&amp;linha=1" TargetMode="External"/><Relationship Id="rId4" Type="http://schemas.openxmlformats.org/officeDocument/2006/relationships/hyperlink" Target="https://sgsai.dominiosistemas.com.br/sgsai/faces/sai.html?sai=101772&amp;linha=1" TargetMode="External"/><Relationship Id="rId9" Type="http://schemas.openxmlformats.org/officeDocument/2006/relationships/hyperlink" Target="https://sgsai.dominiosistemas.com.br/sgsai/faces/sai.html?sai=102259&amp;linha=1" TargetMode="External"/><Relationship Id="rId14" Type="http://schemas.openxmlformats.org/officeDocument/2006/relationships/hyperlink" Target="https://sgsai.dominiosistemas.com.br/sgsai/faces/sai.html?sai=13569&amp;linha=1" TargetMode="Externa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102048&amp;linha=1" TargetMode="External"/><Relationship Id="rId2" Type="http://schemas.openxmlformats.org/officeDocument/2006/relationships/hyperlink" Target="https://sgsai.dominiosistemas.com.br/sgsai/faces/sai.html?sai=101793&amp;linha=1" TargetMode="External"/><Relationship Id="rId1" Type="http://schemas.openxmlformats.org/officeDocument/2006/relationships/hyperlink" Target="https://sgsai.dominiosistemas.com.br/sgsai/faces/sai.html?sai=101777&amp;linha=1" TargetMode="External"/><Relationship Id="rId5" Type="http://schemas.openxmlformats.org/officeDocument/2006/relationships/hyperlink" Target="https://sgsai.dominiosistemas.com.br/sgsai/faces/sai.html?sai=97981&amp;linha=1" TargetMode="External"/><Relationship Id="rId4" Type="http://schemas.openxmlformats.org/officeDocument/2006/relationships/hyperlink" Target="https://sgsai.dominiosistemas.com.br/sgsai/faces/sai.html?sai=101294" TargetMode="External"/></Relationships>
</file>

<file path=xl/worksheets/_rels/sheet61.xml.rels><?xml version="1.0" encoding="UTF-8" standalone="yes"?>
<Relationships xmlns="http://schemas.openxmlformats.org/package/2006/relationships"><Relationship Id="rId8" Type="http://schemas.openxmlformats.org/officeDocument/2006/relationships/hyperlink" Target="https://sgsai.dominiosistemas.com.br/sgsai/faces/sai.html?sai=98112&amp;linha=1" TargetMode="External"/><Relationship Id="rId13" Type="http://schemas.openxmlformats.org/officeDocument/2006/relationships/hyperlink" Target="https://sgsai.dominiosistemas.com.br/sgsai/faces/sai.html?sai=102889&amp;linha=1" TargetMode="External"/><Relationship Id="rId3" Type="http://schemas.openxmlformats.org/officeDocument/2006/relationships/hyperlink" Target="https://sgsai.dominiosistemas.com.br/sgsai/faces/sai.html?sai=101342&amp;linha=1" TargetMode="External"/><Relationship Id="rId7" Type="http://schemas.openxmlformats.org/officeDocument/2006/relationships/hyperlink" Target="https://sgsai.dominiosistemas.com.br/sgsai/faces/sai.html?sai=102310&amp;linha=1" TargetMode="External"/><Relationship Id="rId12" Type="http://schemas.openxmlformats.org/officeDocument/2006/relationships/hyperlink" Target="https://sgsai.dominiosistemas.com.br/sgsai/faces/sai.html?sai=101293&amp;linha=1" TargetMode="External"/><Relationship Id="rId2" Type="http://schemas.openxmlformats.org/officeDocument/2006/relationships/hyperlink" Target="https://sgsai.dominiosistemas.com.br/sgsai/faces/sai.html?sai=98414&amp;linha=1" TargetMode="External"/><Relationship Id="rId16" Type="http://schemas.openxmlformats.org/officeDocument/2006/relationships/hyperlink" Target="https://sgsai.dominiosistemas.com.br/sgsai/faces/sai.html?sai=98663&amp;linha=1" TargetMode="External"/><Relationship Id="rId1" Type="http://schemas.openxmlformats.org/officeDocument/2006/relationships/hyperlink" Target="https://sgsai.dominiosistemas.com.br/sgsai/faces/sai.html?sai=101154&amp;linha=1" TargetMode="External"/><Relationship Id="rId6" Type="http://schemas.openxmlformats.org/officeDocument/2006/relationships/hyperlink" Target="https://sgsai.dominiosistemas.com.br/sgsai/faces/sai.html?sai=89666&amp;linha=1" TargetMode="External"/><Relationship Id="rId11" Type="http://schemas.openxmlformats.org/officeDocument/2006/relationships/hyperlink" Target="https://sgsai.dominiosistemas.com.br/sgsai/faces/sai.html?sai=102677&amp;linha=1" TargetMode="External"/><Relationship Id="rId5" Type="http://schemas.openxmlformats.org/officeDocument/2006/relationships/hyperlink" Target="https://sgsai.dominiosistemas.com.br/sgsai/faces/sai.html?sai=102176&amp;linha=1" TargetMode="External"/><Relationship Id="rId15" Type="http://schemas.openxmlformats.org/officeDocument/2006/relationships/hyperlink" Target="https://sgsai.dominiosistemas.com.br/sgsai/faces/sai.html?sai=95815&amp;linha=1" TargetMode="External"/><Relationship Id="rId10" Type="http://schemas.openxmlformats.org/officeDocument/2006/relationships/hyperlink" Target="https://sgsai.dominiosistemas.com.br/sgsai/faces/sai.html?sai=8456&amp;linha=1" TargetMode="External"/><Relationship Id="rId4" Type="http://schemas.openxmlformats.org/officeDocument/2006/relationships/hyperlink" Target="https://sgsai.dominiosistemas.com.br/sgsai/faces/sai.html?sai=90909&amp;linha=1" TargetMode="External"/><Relationship Id="rId9" Type="http://schemas.openxmlformats.org/officeDocument/2006/relationships/hyperlink" Target="https://sgsai.dominiosistemas.com.br/sgsai/faces/sai.html?sai=102589&amp;linha=1" TargetMode="External"/><Relationship Id="rId14" Type="http://schemas.openxmlformats.org/officeDocument/2006/relationships/hyperlink" Target="https://sgsai.dominiosistemas.com.br/sgsai/faces/sai.html?sai=103129&amp;linha=1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hyperlink" Target="https://sgsai.dominiosistemas.com.br/sgsai/faces/sai.html?sai=102320&amp;linha=1" TargetMode="External"/><Relationship Id="rId2" Type="http://schemas.openxmlformats.org/officeDocument/2006/relationships/hyperlink" Target="https://sgsai.dominiosistemas.com.br/sgsai/faces/sai.html?sai=102651&amp;linha=1" TargetMode="External"/><Relationship Id="rId1" Type="http://schemas.openxmlformats.org/officeDocument/2006/relationships/hyperlink" Target="https://sgsai.dominiosistemas.com.br/sgsai/faces/sai.html?sai=102683&amp;linha=1" TargetMode="External"/></Relationships>
</file>

<file path=xl/worksheets/_rels/sheet63.xml.rels><?xml version="1.0" encoding="UTF-8" standalone="yes"?>
<Relationships xmlns="http://schemas.openxmlformats.org/package/2006/relationships"><Relationship Id="rId13" Type="http://schemas.openxmlformats.org/officeDocument/2006/relationships/hyperlink" Target="https://sgsai.dominiosistemas.com.br/sgsai/faces/sai.html?sai=99469&amp;linha=1" TargetMode="External"/><Relationship Id="rId18" Type="http://schemas.openxmlformats.org/officeDocument/2006/relationships/hyperlink" Target="https://sgsai.dominiosistemas.com.br/sgsai/faces/sai.html?sai=99351&amp;linha=1" TargetMode="External"/><Relationship Id="rId26" Type="http://schemas.openxmlformats.org/officeDocument/2006/relationships/hyperlink" Target="https://sgsai.dominiosistemas.com.br/sgsai/faces/sai.html?sai=99223&amp;linha=1" TargetMode="External"/><Relationship Id="rId39" Type="http://schemas.openxmlformats.org/officeDocument/2006/relationships/hyperlink" Target="https://sgsai.dominiosistemas.com.br/sgsai/faces/sai.html?sai=102259&amp;linha=1" TargetMode="External"/><Relationship Id="rId21" Type="http://schemas.openxmlformats.org/officeDocument/2006/relationships/hyperlink" Target="https://sgsai.dominiosistemas.com.br/sgsai/faces/sai.html?sai=100187&amp;linha=1" TargetMode="External"/><Relationship Id="rId34" Type="http://schemas.openxmlformats.org/officeDocument/2006/relationships/hyperlink" Target="https://sgsai.dominiosistemas.com.br/sgsai/faces/sai.html?sai=99223&amp;linha=1" TargetMode="External"/><Relationship Id="rId42" Type="http://schemas.openxmlformats.org/officeDocument/2006/relationships/hyperlink" Target="https://sgsai.dominiosistemas.com.br/sgsai/faces/sai.html?sai=101487&amp;linha=1" TargetMode="External"/><Relationship Id="rId7" Type="http://schemas.openxmlformats.org/officeDocument/2006/relationships/hyperlink" Target="https://sgsai.dominiosistemas.com.br/sgsai/faces/sai.html?sai=99594&amp;linha=1" TargetMode="External"/><Relationship Id="rId2" Type="http://schemas.openxmlformats.org/officeDocument/2006/relationships/hyperlink" Target="https://sgsai.dominiosistemas.com.br/sgsai/faces/sai.html?sai=99330&amp;linha=1" TargetMode="External"/><Relationship Id="rId16" Type="http://schemas.openxmlformats.org/officeDocument/2006/relationships/hyperlink" Target="https://sgsai.dominiosistemas.com.br/sgsai/faces/sai.html?sai=96733&amp;linha=1" TargetMode="External"/><Relationship Id="rId20" Type="http://schemas.openxmlformats.org/officeDocument/2006/relationships/hyperlink" Target="https://sgsai.dominiosistemas.com.br/sgsai/faces/sai.html?sai=99223" TargetMode="External"/><Relationship Id="rId29" Type="http://schemas.openxmlformats.org/officeDocument/2006/relationships/hyperlink" Target="https://sgsai.dominiosistemas.com.br/sgsai/faces/sai.html?sai=100898&amp;linha=1" TargetMode="External"/><Relationship Id="rId41" Type="http://schemas.openxmlformats.org/officeDocument/2006/relationships/hyperlink" Target="https://sgsai.dominiosistemas.com.br/sgsai/faces/sai.html?sai=101966&amp;linha=1" TargetMode="External"/><Relationship Id="rId1" Type="http://schemas.openxmlformats.org/officeDocument/2006/relationships/hyperlink" Target="https://sgsai.dominiosistemas.com.br/sgsai/faces/sai.html?sai=99797&amp;linha=1" TargetMode="External"/><Relationship Id="rId6" Type="http://schemas.openxmlformats.org/officeDocument/2006/relationships/hyperlink" Target="https://sgsai.dominiosistemas.com.br/sgsai/faces/sai.html?sai=97270&amp;linha=1" TargetMode="External"/><Relationship Id="rId11" Type="http://schemas.openxmlformats.org/officeDocument/2006/relationships/hyperlink" Target="https://sgsai.dominiosistemas.com.br/sgsai/faces/sai.html?sai=99464&amp;linha=1" TargetMode="External"/><Relationship Id="rId24" Type="http://schemas.openxmlformats.org/officeDocument/2006/relationships/hyperlink" Target="https://sgsai.dominiosistemas.com.br/sgsai/faces/sai.html?sai=99223&amp;linha=1" TargetMode="External"/><Relationship Id="rId32" Type="http://schemas.openxmlformats.org/officeDocument/2006/relationships/hyperlink" Target="https://sgsai.dominiosistemas.com.br/sgsai/faces/sai.html?sai=99876&amp;linha=1" TargetMode="External"/><Relationship Id="rId37" Type="http://schemas.openxmlformats.org/officeDocument/2006/relationships/hyperlink" Target="https://sgsai.dominiosistemas.com.br/sgsai/faces/sai.html?sai=102014&amp;linha=1" TargetMode="External"/><Relationship Id="rId40" Type="http://schemas.openxmlformats.org/officeDocument/2006/relationships/hyperlink" Target="https://sgsai.dominiosistemas.com.br/sgsai/faces/sai.html?sai=101855&amp;linha=1" TargetMode="External"/><Relationship Id="rId5" Type="http://schemas.openxmlformats.org/officeDocument/2006/relationships/hyperlink" Target="https://sgsai.dominiosistemas.com.br/sgsai/faces/sai.html?sai=99758&amp;linha=1" TargetMode="External"/><Relationship Id="rId15" Type="http://schemas.openxmlformats.org/officeDocument/2006/relationships/hyperlink" Target="https://sgsai.dominiosistemas.com.br/sgsai/faces/sai.html?sai=99222&amp;linha=1" TargetMode="External"/><Relationship Id="rId23" Type="http://schemas.openxmlformats.org/officeDocument/2006/relationships/hyperlink" Target="https://sgsai.dominiosistemas.com.br/sgsai/faces/sai.html?sai=100156" TargetMode="External"/><Relationship Id="rId28" Type="http://schemas.openxmlformats.org/officeDocument/2006/relationships/hyperlink" Target="https://sgsai.dominiosistemas.com.br/sgsai/faces/sai.html?sai=99223&amp;linha=1" TargetMode="External"/><Relationship Id="rId36" Type="http://schemas.openxmlformats.org/officeDocument/2006/relationships/hyperlink" Target="https://sgsai.dominiosistemas.com.br/sgsai/faces/sai.html?sai=99022&amp;linha=1" TargetMode="External"/><Relationship Id="rId10" Type="http://schemas.openxmlformats.org/officeDocument/2006/relationships/hyperlink" Target="https://sgsai.dominiosistemas.com.br/sgsai/faces/sai.html?sai=98349&amp;linha=1" TargetMode="External"/><Relationship Id="rId19" Type="http://schemas.openxmlformats.org/officeDocument/2006/relationships/hyperlink" Target="https://sgsai.dominiosistemas.com.br/sgsai/faces/sai.html?sai=100319" TargetMode="External"/><Relationship Id="rId31" Type="http://schemas.openxmlformats.org/officeDocument/2006/relationships/hyperlink" Target="https://sgsai.dominiosistemas.com.br/sgsai/faces/sai.html?sai=100985&amp;linha=1" TargetMode="External"/><Relationship Id="rId44" Type="http://schemas.openxmlformats.org/officeDocument/2006/relationships/comments" Target="../comments1.xml"/><Relationship Id="rId4" Type="http://schemas.openxmlformats.org/officeDocument/2006/relationships/hyperlink" Target="https://sgsai.dominiosistemas.com.br/sgsai/faces/sai.html?sai=98081&amp;linha=1" TargetMode="External"/><Relationship Id="rId9" Type="http://schemas.openxmlformats.org/officeDocument/2006/relationships/hyperlink" Target="https://sgsai.dominiosistemas.com.br/sgsai/faces/sai.html?sai=99624&amp;linha=1" TargetMode="External"/><Relationship Id="rId14" Type="http://schemas.openxmlformats.org/officeDocument/2006/relationships/hyperlink" Target="https://sgsai.dominiosistemas.com.br/sgsai/faces/sai.html?sai=98104&amp;linha=1" TargetMode="External"/><Relationship Id="rId22" Type="http://schemas.openxmlformats.org/officeDocument/2006/relationships/hyperlink" Target="https://sgsai.dominiosistemas.com.br/sgsai/faces/sai.html?sai=99797&amp;linha=1" TargetMode="External"/><Relationship Id="rId27" Type="http://schemas.openxmlformats.org/officeDocument/2006/relationships/hyperlink" Target="https://sgsai.dominiosistemas.com.br/sgsai/faces/sai.html?sai=101120&amp;linha=1" TargetMode="External"/><Relationship Id="rId30" Type="http://schemas.openxmlformats.org/officeDocument/2006/relationships/hyperlink" Target="https://sgsai.dominiosistemas.com.br/sgsai/faces/sai.html?sai=93192&amp;linha=1" TargetMode="External"/><Relationship Id="rId35" Type="http://schemas.openxmlformats.org/officeDocument/2006/relationships/hyperlink" Target="https://sgsai.dominiosistemas.com.br/sgsai/faces/sai.html?sai=101783&amp;linha=1" TargetMode="External"/><Relationship Id="rId43" Type="http://schemas.openxmlformats.org/officeDocument/2006/relationships/vmlDrawing" Target="../drawings/vmlDrawing1.vml"/><Relationship Id="rId8" Type="http://schemas.openxmlformats.org/officeDocument/2006/relationships/hyperlink" Target="https://sgsai.dominiosistemas.com.br/sgsai/faces/sai.html?sai=96490&amp;linha=1" TargetMode="External"/><Relationship Id="rId3" Type="http://schemas.openxmlformats.org/officeDocument/2006/relationships/hyperlink" Target="https://sgsai.dominiosistemas.com.br/sgsai/faces/sai.html?sai=99788&amp;linha=1" TargetMode="External"/><Relationship Id="rId12" Type="http://schemas.openxmlformats.org/officeDocument/2006/relationships/hyperlink" Target="https://sgsai.dominiosistemas.com.br/sgsai/faces/sai.html?sai=97970&amp;linha=1" TargetMode="External"/><Relationship Id="rId17" Type="http://schemas.openxmlformats.org/officeDocument/2006/relationships/hyperlink" Target="https://sgsai.dominiosistemas.com.br/sgsai/faces/sai.html?sai=100250" TargetMode="External"/><Relationship Id="rId25" Type="http://schemas.openxmlformats.org/officeDocument/2006/relationships/hyperlink" Target="https://sgsai.dominiosistemas.com.br/sgsai/faces/sai.html?sai=100616&amp;linha=1" TargetMode="External"/><Relationship Id="rId33" Type="http://schemas.openxmlformats.org/officeDocument/2006/relationships/hyperlink" Target="https://sgsai.dominiosistemas.com.br/sgsai/faces/sai.html?sai=101283&amp;linha=1" TargetMode="External"/><Relationship Id="rId38" Type="http://schemas.openxmlformats.org/officeDocument/2006/relationships/hyperlink" Target="https://sgsai.dominiosistemas.com.br/sgsai/faces/sai.html?sai=101293&amp;linha=1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50B3-0A11-4C5C-AA6C-F803A1D732F4}">
  <dimension ref="A1:G19"/>
  <sheetViews>
    <sheetView workbookViewId="0">
      <selection activeCell="E9" sqref="E9"/>
    </sheetView>
  </sheetViews>
  <sheetFormatPr defaultRowHeight="15"/>
  <cols>
    <col min="1" max="1" width="25.42578125" bestFit="1" customWidth="1"/>
    <col min="2" max="2" width="10.28515625" bestFit="1" customWidth="1"/>
    <col min="3" max="3" width="14.28515625" bestFit="1" customWidth="1"/>
    <col min="4" max="4" width="14.5703125" bestFit="1" customWidth="1"/>
    <col min="5" max="5" width="15.85546875" bestFit="1" customWidth="1"/>
    <col min="6" max="6" width="14.7109375" bestFit="1" customWidth="1"/>
    <col min="7" max="7" width="134.42578125" customWidth="1"/>
  </cols>
  <sheetData>
    <row r="1" spans="1:7">
      <c r="A1" s="251" t="s">
        <v>0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>
      <c r="A4" s="12">
        <v>82013</v>
      </c>
      <c r="B4" s="13">
        <v>78709</v>
      </c>
      <c r="C4" s="14">
        <v>2023</v>
      </c>
      <c r="D4" s="14" t="s">
        <v>8</v>
      </c>
      <c r="E4" s="15" t="s">
        <v>9</v>
      </c>
      <c r="F4" s="16" t="s">
        <v>10</v>
      </c>
      <c r="G4" s="17" t="s">
        <v>11</v>
      </c>
    </row>
    <row r="5" spans="1:7" s="27" customFormat="1">
      <c r="A5" s="21">
        <v>82300</v>
      </c>
      <c r="B5" s="21">
        <v>27258</v>
      </c>
      <c r="C5" s="22">
        <v>2013</v>
      </c>
      <c r="D5" s="23" t="s">
        <v>12</v>
      </c>
      <c r="E5" s="24" t="s">
        <v>13</v>
      </c>
      <c r="F5" s="25" t="s">
        <v>13</v>
      </c>
      <c r="G5" s="26" t="s">
        <v>13</v>
      </c>
    </row>
    <row r="6" spans="1:7">
      <c r="A6" s="18">
        <v>82296</v>
      </c>
      <c r="B6" s="18">
        <v>77860</v>
      </c>
      <c r="C6" s="19">
        <v>2023</v>
      </c>
      <c r="D6" s="19" t="s">
        <v>8</v>
      </c>
      <c r="E6" s="5" t="s">
        <v>14</v>
      </c>
      <c r="F6" s="20" t="s">
        <v>15</v>
      </c>
      <c r="G6" s="5" t="s">
        <v>16</v>
      </c>
    </row>
    <row r="7" spans="1:7" s="27" customFormat="1">
      <c r="A7" s="21">
        <v>82407</v>
      </c>
      <c r="B7" s="21">
        <v>54496</v>
      </c>
      <c r="C7" s="28">
        <v>2018</v>
      </c>
      <c r="D7" s="28" t="s">
        <v>8</v>
      </c>
      <c r="E7" s="26" t="s">
        <v>13</v>
      </c>
      <c r="F7" s="29" t="s">
        <v>13</v>
      </c>
      <c r="G7" s="26" t="s">
        <v>13</v>
      </c>
    </row>
    <row r="8" spans="1:7" s="27" customFormat="1">
      <c r="A8" s="21">
        <v>83463</v>
      </c>
      <c r="B8" s="30" t="s">
        <v>17</v>
      </c>
      <c r="C8" s="28"/>
      <c r="D8" s="28"/>
      <c r="E8" s="26"/>
      <c r="F8" s="29"/>
      <c r="G8" s="26"/>
    </row>
    <row r="9" spans="1:7">
      <c r="A9" s="18">
        <v>83882</v>
      </c>
      <c r="B9" s="18">
        <v>82422</v>
      </c>
      <c r="C9" s="19">
        <v>2023</v>
      </c>
      <c r="D9" s="19" t="s">
        <v>8</v>
      </c>
      <c r="E9" s="5" t="s">
        <v>18</v>
      </c>
      <c r="F9" s="20" t="s">
        <v>19</v>
      </c>
      <c r="G9" s="5" t="s">
        <v>20</v>
      </c>
    </row>
    <row r="10" spans="1:7">
      <c r="A10" s="18"/>
      <c r="B10" s="18"/>
      <c r="C10" s="19"/>
      <c r="D10" s="19"/>
      <c r="E10" s="5"/>
      <c r="F10" s="20"/>
      <c r="G10" s="5"/>
    </row>
    <row r="11" spans="1:7">
      <c r="A11" s="18"/>
      <c r="B11" s="18"/>
      <c r="C11" s="19"/>
      <c r="D11" s="19"/>
      <c r="E11" s="5"/>
      <c r="F11" s="20"/>
      <c r="G11" s="5"/>
    </row>
    <row r="12" spans="1:7">
      <c r="A12" s="18"/>
      <c r="B12" s="18"/>
      <c r="C12" s="19"/>
      <c r="D12" s="19"/>
      <c r="E12" s="5"/>
      <c r="F12" s="20"/>
      <c r="G12" s="5"/>
    </row>
    <row r="13" spans="1:7">
      <c r="A13" s="3"/>
      <c r="B13" s="3"/>
      <c r="C13" s="19"/>
      <c r="D13" s="19"/>
      <c r="E13" s="5"/>
      <c r="F13" s="20"/>
      <c r="G13" s="17"/>
    </row>
    <row r="14" spans="1:7">
      <c r="A14" s="6"/>
      <c r="B14" s="1"/>
      <c r="C14" s="1"/>
      <c r="D14" s="1"/>
      <c r="E14" s="1"/>
      <c r="F14" s="1"/>
      <c r="G14" s="1"/>
    </row>
    <row r="15" spans="1:7">
      <c r="A15" s="6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 t="s">
        <v>21</v>
      </c>
      <c r="B17" s="1"/>
      <c r="C17" s="1">
        <v>26</v>
      </c>
      <c r="D17" s="1"/>
      <c r="E17" s="1"/>
      <c r="F17" s="1"/>
      <c r="G17" s="1"/>
    </row>
    <row r="18" spans="1:7">
      <c r="A18" s="1" t="s">
        <v>22</v>
      </c>
      <c r="B18" s="1"/>
      <c r="C18" s="1">
        <v>6</v>
      </c>
      <c r="D18" s="7">
        <f>C18/C17</f>
        <v>0.23076923076923078</v>
      </c>
      <c r="E18" s="1"/>
      <c r="F18" s="1"/>
      <c r="G18" s="1"/>
    </row>
    <row r="19" spans="1:7">
      <c r="A19" s="1" t="s">
        <v>23</v>
      </c>
      <c r="B19" s="1"/>
      <c r="C19" s="1">
        <v>3</v>
      </c>
      <c r="D19" s="7">
        <f>C19/C17</f>
        <v>0.11538461538461539</v>
      </c>
      <c r="E19" s="1"/>
      <c r="F19" s="1"/>
      <c r="G19" s="1"/>
    </row>
  </sheetData>
  <mergeCells count="1">
    <mergeCell ref="A1:G1"/>
  </mergeCells>
  <hyperlinks>
    <hyperlink ref="A4" r:id="rId1" display="82013" xr:uid="{9A8E06F5-9C93-45AE-B023-AA08951E8D1E}"/>
    <hyperlink ref="B4" r:id="rId2" display="78709" xr:uid="{9ECF9425-7B38-45CC-92B6-545FB15BCD0E}"/>
    <hyperlink ref="A5" r:id="rId3" display="82300" xr:uid="{2019CC66-62F5-42DA-9443-4BEF5322E439}"/>
    <hyperlink ref="B5" r:id="rId4" display="27258" xr:uid="{EF9ED798-7598-4D04-999A-82BA597B365B}"/>
    <hyperlink ref="A6" r:id="rId5" display="82296" xr:uid="{AF77566A-34A7-41C7-93BC-72F694D95279}"/>
    <hyperlink ref="B6" r:id="rId6" display="77860" xr:uid="{0562D0E0-99AA-4AA4-8A52-328744829482}"/>
    <hyperlink ref="A7" r:id="rId7" display="82407" xr:uid="{338635C8-B88B-4A7E-AC6E-D9E497B31714}"/>
    <hyperlink ref="B7" r:id="rId8" display="54496" xr:uid="{A2C6A5D0-AFA6-441D-8C74-F36474B76237}"/>
    <hyperlink ref="A8" r:id="rId9" display="83463" xr:uid="{4D010A3A-5407-4EE0-B5DB-67C576980053}"/>
    <hyperlink ref="A9" r:id="rId10" display="83882" xr:uid="{7CCD067E-4AC9-4878-A361-0224C25723A7}"/>
    <hyperlink ref="B9" r:id="rId11" display="82422" xr:uid="{9DF286CB-9871-4BDA-AEFE-28E05E3860F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5286-7205-4717-87E2-E0F019128661}">
  <dimension ref="A1:G18"/>
  <sheetViews>
    <sheetView workbookViewId="0">
      <selection activeCell="C19" sqref="C19"/>
    </sheetView>
  </sheetViews>
  <sheetFormatPr defaultRowHeight="15"/>
  <cols>
    <col min="1" max="1" width="24.28515625" bestFit="1" customWidth="1"/>
    <col min="2" max="2" width="10.28515625" bestFit="1" customWidth="1"/>
    <col min="3" max="3" width="14.28515625" bestFit="1" customWidth="1"/>
    <col min="4" max="4" width="14.5703125" bestFit="1" customWidth="1"/>
    <col min="5" max="5" width="15.85546875" bestFit="1" customWidth="1"/>
    <col min="6" max="6" width="14.7109375" bestFit="1" customWidth="1"/>
    <col min="7" max="7" width="63.28515625" customWidth="1"/>
  </cols>
  <sheetData>
    <row r="1" spans="1:7">
      <c r="A1" s="251" t="s">
        <v>24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 s="27" customFormat="1">
      <c r="A4" s="21">
        <v>82915</v>
      </c>
      <c r="B4" s="31" t="s">
        <v>17</v>
      </c>
      <c r="C4" s="26"/>
      <c r="D4" s="26"/>
      <c r="E4" s="26"/>
      <c r="F4" s="26"/>
      <c r="G4" s="26"/>
    </row>
    <row r="5" spans="1:7" s="27" customFormat="1">
      <c r="A5" s="21">
        <v>83484</v>
      </c>
      <c r="B5" s="21">
        <v>82808</v>
      </c>
      <c r="C5" s="26">
        <v>2023</v>
      </c>
      <c r="D5" s="26" t="s">
        <v>26</v>
      </c>
      <c r="E5" s="26" t="s">
        <v>27</v>
      </c>
      <c r="F5" s="26" t="s">
        <v>28</v>
      </c>
      <c r="G5" s="26"/>
    </row>
    <row r="6" spans="1:7">
      <c r="A6" s="3"/>
      <c r="B6" s="3"/>
      <c r="C6" s="5"/>
      <c r="D6" s="5"/>
      <c r="E6" s="5"/>
      <c r="F6" s="5"/>
      <c r="G6" s="5"/>
    </row>
    <row r="7" spans="1:7">
      <c r="A7" s="6"/>
      <c r="B7" s="1"/>
      <c r="C7" s="1"/>
      <c r="D7" s="1"/>
      <c r="E7" s="1"/>
      <c r="F7" s="1"/>
      <c r="G7" s="8"/>
    </row>
    <row r="8" spans="1:7">
      <c r="A8" s="6"/>
      <c r="B8" s="6"/>
      <c r="C8" s="1"/>
      <c r="D8" s="254" t="s">
        <v>29</v>
      </c>
      <c r="E8" s="254"/>
      <c r="F8" s="254"/>
      <c r="G8" s="1"/>
    </row>
    <row r="9" spans="1:7">
      <c r="A9" s="6"/>
      <c r="B9" s="1"/>
      <c r="C9" s="1"/>
      <c r="D9" s="1"/>
      <c r="E9" s="1"/>
      <c r="F9" s="1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6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 t="s">
        <v>21</v>
      </c>
      <c r="B16" s="1"/>
      <c r="C16" s="1">
        <v>11</v>
      </c>
      <c r="D16" s="1"/>
      <c r="E16" s="1"/>
      <c r="F16" s="1"/>
      <c r="G16" s="1"/>
    </row>
    <row r="17" spans="1:7">
      <c r="A17" s="1" t="s">
        <v>22</v>
      </c>
      <c r="B17" s="1"/>
      <c r="C17" s="1">
        <v>2</v>
      </c>
      <c r="D17" s="7">
        <f>C17/C16</f>
        <v>0.18181818181818182</v>
      </c>
      <c r="E17" s="1"/>
      <c r="F17" s="1"/>
      <c r="G17" s="1"/>
    </row>
    <row r="18" spans="1:7">
      <c r="A18" s="1" t="s">
        <v>30</v>
      </c>
      <c r="B18" s="1"/>
      <c r="C18" s="1">
        <v>0</v>
      </c>
      <c r="D18" s="7">
        <f>C18/C16</f>
        <v>0</v>
      </c>
      <c r="E18" s="1"/>
      <c r="F18" s="1"/>
      <c r="G18" s="1"/>
    </row>
  </sheetData>
  <mergeCells count="2">
    <mergeCell ref="A1:G1"/>
    <mergeCell ref="D8:F8"/>
  </mergeCells>
  <hyperlinks>
    <hyperlink ref="A4" r:id="rId1" display="82915" xr:uid="{F9724C3E-499A-47B8-B861-AD63C9104629}"/>
    <hyperlink ref="A5" r:id="rId2" display="83484" xr:uid="{731207F5-654B-4481-9E10-C3B92F3D9DFD}"/>
    <hyperlink ref="B5" r:id="rId3" display="82808" xr:uid="{D096C942-B580-4F0A-916F-489AB85A29D5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718E-20EC-41E1-9BEA-D3B44E84AA9F}">
  <dimension ref="A1:G19"/>
  <sheetViews>
    <sheetView workbookViewId="0">
      <selection activeCell="D20" sqref="D20"/>
    </sheetView>
  </sheetViews>
  <sheetFormatPr defaultRowHeight="15"/>
  <cols>
    <col min="1" max="1" width="27.140625" bestFit="1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141.42578125" bestFit="1" customWidth="1"/>
  </cols>
  <sheetData>
    <row r="1" spans="1:7">
      <c r="A1" s="251" t="s">
        <v>31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27" customFormat="1">
      <c r="A4" s="32">
        <v>82704</v>
      </c>
      <c r="B4" s="33">
        <v>22469</v>
      </c>
      <c r="C4" s="23">
        <v>2012</v>
      </c>
      <c r="D4" s="23" t="s">
        <v>13</v>
      </c>
      <c r="E4" s="24" t="s">
        <v>13</v>
      </c>
      <c r="F4" s="25" t="s">
        <v>13</v>
      </c>
      <c r="G4" s="34"/>
    </row>
    <row r="5" spans="1:7" s="27" customFormat="1">
      <c r="A5" s="21">
        <v>82702</v>
      </c>
      <c r="B5" s="21">
        <v>64148</v>
      </c>
      <c r="C5" s="22">
        <v>2020</v>
      </c>
      <c r="D5" s="23" t="s">
        <v>8</v>
      </c>
      <c r="E5" s="24"/>
      <c r="F5" s="25"/>
      <c r="G5" s="26"/>
    </row>
    <row r="6" spans="1:7" s="27" customFormat="1">
      <c r="A6" s="21">
        <v>82948</v>
      </c>
      <c r="B6" s="21">
        <v>56166</v>
      </c>
      <c r="C6" s="28">
        <v>2019</v>
      </c>
      <c r="D6" s="28"/>
      <c r="E6" s="26"/>
      <c r="F6" s="29"/>
      <c r="G6" s="26"/>
    </row>
    <row r="7" spans="1:7" s="27" customFormat="1">
      <c r="A7" s="21">
        <v>83135</v>
      </c>
      <c r="B7" s="21">
        <v>33162</v>
      </c>
      <c r="C7" s="28">
        <v>2014</v>
      </c>
      <c r="D7" s="28"/>
      <c r="E7" s="26"/>
      <c r="F7" s="29"/>
      <c r="G7" s="26"/>
    </row>
    <row r="8" spans="1:7" s="27" customFormat="1">
      <c r="A8" s="21">
        <v>83807</v>
      </c>
      <c r="B8" s="21">
        <v>73959</v>
      </c>
      <c r="C8" s="28">
        <v>2022</v>
      </c>
      <c r="D8" s="28" t="s">
        <v>12</v>
      </c>
      <c r="E8" s="26" t="s">
        <v>32</v>
      </c>
      <c r="F8" s="29" t="s">
        <v>33</v>
      </c>
      <c r="G8" s="26"/>
    </row>
    <row r="9" spans="1:7" s="27" customFormat="1">
      <c r="A9" s="21">
        <v>84195</v>
      </c>
      <c r="B9" s="21" t="s">
        <v>17</v>
      </c>
      <c r="C9" s="28"/>
      <c r="D9" s="28"/>
      <c r="E9" s="26"/>
      <c r="F9" s="29"/>
      <c r="G9" s="26"/>
    </row>
    <row r="10" spans="1:7">
      <c r="A10" s="18">
        <v>84467</v>
      </c>
      <c r="B10" s="18">
        <v>83433</v>
      </c>
      <c r="C10" s="19">
        <v>2023</v>
      </c>
      <c r="D10" s="19" t="s">
        <v>8</v>
      </c>
      <c r="E10" s="5" t="s">
        <v>34</v>
      </c>
      <c r="F10" s="20" t="s">
        <v>35</v>
      </c>
      <c r="G10" s="5" t="s">
        <v>36</v>
      </c>
    </row>
    <row r="11" spans="1:7">
      <c r="A11" s="18"/>
      <c r="B11" s="18"/>
      <c r="C11" s="19"/>
      <c r="D11" s="19"/>
      <c r="E11" s="5"/>
      <c r="F11" s="20"/>
      <c r="G11" s="5"/>
    </row>
    <row r="12" spans="1:7">
      <c r="A12" s="18"/>
      <c r="B12" s="18"/>
      <c r="C12" s="19"/>
      <c r="D12" s="19"/>
      <c r="E12" s="5"/>
      <c r="F12" s="20"/>
      <c r="G12" s="5"/>
    </row>
    <row r="13" spans="1:7">
      <c r="A13" s="3"/>
      <c r="B13" s="3"/>
      <c r="C13" s="19"/>
      <c r="D13" s="19"/>
      <c r="E13" s="5"/>
      <c r="F13" s="20"/>
      <c r="G13" s="17"/>
    </row>
    <row r="14" spans="1:7">
      <c r="A14" s="6"/>
      <c r="B14" s="1"/>
      <c r="C14" s="1"/>
      <c r="D14" s="1"/>
      <c r="E14" s="1"/>
      <c r="F14" s="1"/>
      <c r="G14" s="1"/>
    </row>
    <row r="15" spans="1:7">
      <c r="A15" s="6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 t="s">
        <v>21</v>
      </c>
      <c r="B17" s="1"/>
      <c r="C17" s="1">
        <v>34</v>
      </c>
      <c r="D17" s="1"/>
      <c r="E17" s="1"/>
      <c r="F17" s="1"/>
      <c r="G17" s="1"/>
    </row>
    <row r="18" spans="1:7">
      <c r="A18" s="1" t="s">
        <v>22</v>
      </c>
      <c r="B18" s="1"/>
      <c r="C18" s="1">
        <v>7</v>
      </c>
      <c r="D18" s="7">
        <f>C18/C17</f>
        <v>0.20588235294117646</v>
      </c>
      <c r="E18" s="1"/>
      <c r="F18" s="1"/>
      <c r="G18" s="1"/>
    </row>
    <row r="19" spans="1:7">
      <c r="A19" s="1" t="s">
        <v>30</v>
      </c>
      <c r="B19" s="1"/>
      <c r="C19" s="1">
        <v>1</v>
      </c>
      <c r="D19" s="7">
        <f>C19/C17</f>
        <v>2.9411764705882353E-2</v>
      </c>
      <c r="E19" s="1"/>
      <c r="F19" s="1"/>
      <c r="G19" s="1"/>
    </row>
  </sheetData>
  <mergeCells count="1">
    <mergeCell ref="A1:G1"/>
  </mergeCells>
  <hyperlinks>
    <hyperlink ref="A4" r:id="rId1" display="82704" xr:uid="{2812279F-AD41-44D0-B864-921310A1528E}"/>
    <hyperlink ref="B4" r:id="rId2" display="22469" xr:uid="{386CD213-31E8-46BF-B421-2B8EDA220D72}"/>
    <hyperlink ref="A5" r:id="rId3" display="82702" xr:uid="{08F7659F-1836-4A40-9634-E7F517A8844E}"/>
    <hyperlink ref="B5" r:id="rId4" display="64148" xr:uid="{9924F8E2-EBF0-4E28-B485-50EE799223DC}"/>
    <hyperlink ref="A6" r:id="rId5" display="82948" xr:uid="{94FD0061-5313-47E7-884D-467ECFF9CAF9}"/>
    <hyperlink ref="B6" r:id="rId6" display="56166" xr:uid="{C0353D5D-BACC-4142-B5F6-CBCE74BD6C41}"/>
    <hyperlink ref="A7" r:id="rId7" display="83135" xr:uid="{BEAC448D-3119-4A0B-B5D8-8197083E5BB7}"/>
    <hyperlink ref="B7" r:id="rId8" display="33162" xr:uid="{4E27FDF9-F021-4072-ADE6-AAC69FDBE62A}"/>
    <hyperlink ref="A8" r:id="rId9" display="83807" xr:uid="{1DCE3DE9-3BF7-4CBF-BB18-C7ECA464AAF0}"/>
    <hyperlink ref="B8" r:id="rId10" display="73959" xr:uid="{B5D708EC-5EAA-40E1-A2A8-FFA4A63CC5C7}"/>
    <hyperlink ref="A9" r:id="rId11" display="84195" xr:uid="{1690C796-6133-4041-89CB-4D2B965B244D}"/>
    <hyperlink ref="A10" r:id="rId12" display="84467" xr:uid="{88EBF9F2-3281-4D68-8745-1D5C6251F74B}"/>
    <hyperlink ref="B10" r:id="rId13" display="83433" xr:uid="{84154552-F6C9-4CF4-89F1-7F2E8753F9A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0345-AC8F-4096-AB9F-246105607ADB}">
  <dimension ref="A1:G18"/>
  <sheetViews>
    <sheetView workbookViewId="0">
      <selection activeCell="D19" sqref="D19"/>
    </sheetView>
  </sheetViews>
  <sheetFormatPr defaultRowHeight="15"/>
  <cols>
    <col min="1" max="1" width="26" bestFit="1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42.140625" customWidth="1"/>
  </cols>
  <sheetData>
    <row r="1" spans="1:7">
      <c r="A1" s="251" t="s">
        <v>37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21">
        <v>82057</v>
      </c>
      <c r="B4" s="31" t="s">
        <v>17</v>
      </c>
      <c r="C4" s="26"/>
      <c r="D4" s="26"/>
      <c r="E4" s="26"/>
      <c r="F4" s="26"/>
      <c r="G4" s="26"/>
    </row>
    <row r="5" spans="1:7">
      <c r="A5" s="4"/>
      <c r="B5" s="4"/>
      <c r="C5" s="5"/>
      <c r="D5" s="5"/>
      <c r="E5" s="5"/>
      <c r="F5" s="5"/>
      <c r="G5" s="5"/>
    </row>
    <row r="6" spans="1:7">
      <c r="A6" s="3"/>
      <c r="B6" s="3"/>
      <c r="C6" s="5"/>
      <c r="D6" s="5"/>
      <c r="E6" s="5"/>
      <c r="F6" s="5"/>
      <c r="G6" s="5"/>
    </row>
    <row r="7" spans="1:7">
      <c r="A7" s="6"/>
      <c r="B7" s="1"/>
      <c r="C7" s="1"/>
      <c r="D7" s="1"/>
      <c r="E7" s="1"/>
      <c r="F7" s="1"/>
      <c r="G7" s="8"/>
    </row>
    <row r="8" spans="1:7">
      <c r="A8" s="6"/>
      <c r="B8" s="6"/>
      <c r="C8" s="1"/>
      <c r="D8" s="254" t="s">
        <v>29</v>
      </c>
      <c r="E8" s="254"/>
      <c r="F8" s="254"/>
      <c r="G8" s="1"/>
    </row>
    <row r="9" spans="1:7">
      <c r="A9" s="6"/>
      <c r="B9" s="1"/>
      <c r="C9" s="1"/>
      <c r="D9" s="1"/>
      <c r="E9" s="1"/>
      <c r="F9" s="1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6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 t="s">
        <v>21</v>
      </c>
      <c r="B16" s="1"/>
      <c r="C16" s="1">
        <v>3</v>
      </c>
      <c r="D16" s="1"/>
      <c r="E16" s="1"/>
      <c r="F16" s="1"/>
      <c r="G16" s="1"/>
    </row>
    <row r="17" spans="1:7">
      <c r="A17" s="1" t="s">
        <v>22</v>
      </c>
      <c r="B17" s="1"/>
      <c r="C17" s="1">
        <v>1</v>
      </c>
      <c r="D17" s="7">
        <f>C17/C16</f>
        <v>0.33333333333333331</v>
      </c>
      <c r="E17" s="1"/>
      <c r="F17" s="1"/>
      <c r="G17" s="1"/>
    </row>
    <row r="18" spans="1:7">
      <c r="A18" s="1" t="s">
        <v>30</v>
      </c>
      <c r="B18" s="1"/>
      <c r="C18" s="1">
        <v>0</v>
      </c>
      <c r="D18" s="7">
        <f>C18/C16</f>
        <v>0</v>
      </c>
      <c r="E18" s="1"/>
      <c r="F18" s="1"/>
      <c r="G18" s="1"/>
    </row>
  </sheetData>
  <mergeCells count="2">
    <mergeCell ref="A1:G1"/>
    <mergeCell ref="D8:F8"/>
  </mergeCells>
  <hyperlinks>
    <hyperlink ref="A4" r:id="rId1" display="82057" xr:uid="{4CB234AF-63A3-4262-9996-51D6FC5B654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C433-E540-4862-9D89-CC9CF656D2D5}">
  <dimension ref="A1:G18"/>
  <sheetViews>
    <sheetView workbookViewId="0">
      <selection activeCell="C18" sqref="C18"/>
    </sheetView>
  </sheetViews>
  <sheetFormatPr defaultRowHeight="15"/>
  <cols>
    <col min="1" max="1" width="26" bestFit="1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82.28515625" customWidth="1"/>
  </cols>
  <sheetData>
    <row r="1" spans="1:7">
      <c r="A1" s="251" t="s">
        <v>38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>
      <c r="A4" s="18">
        <v>84717</v>
      </c>
      <c r="B4" s="18">
        <v>79629</v>
      </c>
      <c r="C4" s="49">
        <v>2023</v>
      </c>
      <c r="D4" s="14" t="s">
        <v>8</v>
      </c>
      <c r="E4" s="15" t="s">
        <v>9</v>
      </c>
      <c r="F4" s="16" t="s">
        <v>39</v>
      </c>
      <c r="G4" s="5" t="s">
        <v>40</v>
      </c>
    </row>
    <row r="5" spans="1:7">
      <c r="A5" s="18">
        <v>85180</v>
      </c>
      <c r="B5" s="18">
        <v>84395</v>
      </c>
      <c r="C5" s="19">
        <v>2024</v>
      </c>
      <c r="D5" s="19" t="s">
        <v>12</v>
      </c>
      <c r="E5" s="5" t="s">
        <v>14</v>
      </c>
      <c r="F5" s="20" t="s">
        <v>41</v>
      </c>
      <c r="G5" s="5" t="s">
        <v>42</v>
      </c>
    </row>
    <row r="6" spans="1:7">
      <c r="A6" s="18"/>
      <c r="B6" s="18"/>
      <c r="C6" s="19"/>
      <c r="D6" s="19"/>
      <c r="E6" s="5"/>
      <c r="F6" s="20"/>
      <c r="G6" s="5"/>
    </row>
    <row r="7" spans="1:7">
      <c r="A7" s="18"/>
      <c r="B7" s="18"/>
      <c r="C7" s="19"/>
      <c r="D7" s="19"/>
      <c r="E7" s="5"/>
      <c r="F7" s="20"/>
      <c r="G7" s="5"/>
    </row>
    <row r="8" spans="1:7">
      <c r="A8" s="18"/>
      <c r="B8" s="18"/>
      <c r="C8" s="19"/>
      <c r="D8" s="19"/>
      <c r="E8" s="5"/>
      <c r="F8" s="20"/>
      <c r="G8" s="5"/>
    </row>
    <row r="9" spans="1:7">
      <c r="A9" s="18"/>
      <c r="B9" s="18"/>
      <c r="C9" s="19"/>
      <c r="D9" s="19"/>
      <c r="E9" s="5"/>
      <c r="F9" s="20"/>
      <c r="G9" s="5"/>
    </row>
    <row r="10" spans="1:7">
      <c r="A10" s="18"/>
      <c r="B10" s="18"/>
      <c r="C10" s="19"/>
      <c r="D10" s="19"/>
      <c r="E10" s="5"/>
      <c r="F10" s="20"/>
      <c r="G10" s="5"/>
    </row>
    <row r="11" spans="1:7">
      <c r="A11" s="18"/>
      <c r="B11" s="18"/>
      <c r="C11" s="19"/>
      <c r="D11" s="19"/>
      <c r="E11" s="5"/>
      <c r="F11" s="20"/>
      <c r="G11" s="5"/>
    </row>
    <row r="12" spans="1:7">
      <c r="A12" s="3"/>
      <c r="B12" s="3"/>
      <c r="C12" s="19"/>
      <c r="D12" s="19"/>
      <c r="E12" s="5"/>
      <c r="F12" s="20"/>
      <c r="G12" s="17"/>
    </row>
    <row r="13" spans="1:7">
      <c r="A13" s="6"/>
      <c r="B13" s="1"/>
      <c r="C13" s="1"/>
      <c r="D13" s="1"/>
      <c r="E13" s="1"/>
      <c r="F13" s="1"/>
      <c r="G13" s="1"/>
    </row>
    <row r="14" spans="1:7">
      <c r="A14" s="6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 t="s">
        <v>21</v>
      </c>
      <c r="B16" s="1"/>
      <c r="C16" s="1">
        <v>31</v>
      </c>
      <c r="D16" s="1"/>
      <c r="E16" s="1"/>
      <c r="F16" s="1"/>
      <c r="G16" s="1"/>
    </row>
    <row r="17" spans="1:7">
      <c r="A17" s="1" t="s">
        <v>22</v>
      </c>
      <c r="B17" s="1"/>
      <c r="C17" s="1">
        <v>2</v>
      </c>
      <c r="D17" s="7">
        <f>C17/C16</f>
        <v>6.4516129032258063E-2</v>
      </c>
      <c r="E17" s="1"/>
      <c r="F17" s="1"/>
      <c r="G17" s="1"/>
    </row>
    <row r="18" spans="1:7">
      <c r="A18" s="1" t="s">
        <v>30</v>
      </c>
      <c r="B18" s="1"/>
      <c r="C18" s="1">
        <v>2</v>
      </c>
      <c r="D18" s="7">
        <f>C18/C16</f>
        <v>6.4516129032258063E-2</v>
      </c>
      <c r="E18" s="1"/>
      <c r="F18" s="1"/>
      <c r="G18" s="1"/>
    </row>
  </sheetData>
  <mergeCells count="1">
    <mergeCell ref="A1:G1"/>
  </mergeCells>
  <hyperlinks>
    <hyperlink ref="A4" r:id="rId1" display="84717" xr:uid="{8ECBD780-178D-42B8-95D6-4A978729C734}"/>
    <hyperlink ref="B4" r:id="rId2" display="79629" xr:uid="{E3E2FEB7-FFA1-4134-B76A-ACCE48CA256F}"/>
    <hyperlink ref="A5" r:id="rId3" display="85180" xr:uid="{07F765D9-0524-4106-B1BF-95F5B4099E44}"/>
    <hyperlink ref="B5" r:id="rId4" display="84395" xr:uid="{52473A86-5995-4247-87F1-558F1CE79AB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E6A4-FF49-4387-ADCC-55EDFDAD4B38}">
  <dimension ref="A1:G18"/>
  <sheetViews>
    <sheetView workbookViewId="0">
      <selection activeCell="D19" sqref="D19"/>
    </sheetView>
  </sheetViews>
  <sheetFormatPr defaultRowHeight="15"/>
  <cols>
    <col min="1" max="1" width="26" bestFit="1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61.140625" customWidth="1"/>
  </cols>
  <sheetData>
    <row r="1" spans="1:7">
      <c r="A1" s="251" t="s">
        <v>43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21">
        <v>83692</v>
      </c>
      <c r="B4" s="21">
        <v>67081</v>
      </c>
      <c r="C4" s="26">
        <v>2020</v>
      </c>
      <c r="D4" s="26" t="s">
        <v>1</v>
      </c>
      <c r="E4" s="26" t="s">
        <v>28</v>
      </c>
      <c r="F4" s="26" t="s">
        <v>44</v>
      </c>
      <c r="G4" s="26"/>
    </row>
    <row r="5" spans="1:7">
      <c r="A5" s="4">
        <v>84808</v>
      </c>
      <c r="B5" s="4">
        <v>83916</v>
      </c>
      <c r="C5" s="5">
        <v>2024</v>
      </c>
      <c r="D5" s="5" t="s">
        <v>26</v>
      </c>
      <c r="E5" s="5" t="s">
        <v>28</v>
      </c>
      <c r="F5" s="5" t="s">
        <v>28</v>
      </c>
      <c r="G5" s="5" t="s">
        <v>45</v>
      </c>
    </row>
    <row r="6" spans="1:7">
      <c r="A6" s="3"/>
      <c r="B6" s="3"/>
      <c r="C6" s="5"/>
      <c r="D6" s="5"/>
      <c r="E6" s="5"/>
      <c r="F6" s="5"/>
      <c r="G6" s="5"/>
    </row>
    <row r="7" spans="1:7">
      <c r="A7" s="6"/>
      <c r="B7" s="1"/>
      <c r="C7" s="1"/>
      <c r="D7" s="1"/>
      <c r="E7" s="1"/>
      <c r="F7" s="1"/>
      <c r="G7" s="8"/>
    </row>
    <row r="8" spans="1:7">
      <c r="A8" s="6"/>
      <c r="B8" s="6"/>
      <c r="C8" s="1"/>
      <c r="D8" s="254"/>
      <c r="E8" s="254"/>
      <c r="F8" s="254"/>
      <c r="G8" s="1"/>
    </row>
    <row r="9" spans="1:7">
      <c r="A9" s="6"/>
      <c r="B9" s="1"/>
      <c r="C9" s="1"/>
      <c r="D9" s="1"/>
      <c r="E9" s="1"/>
      <c r="F9" s="1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6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 t="s">
        <v>21</v>
      </c>
      <c r="B16" s="1"/>
      <c r="C16" s="1">
        <v>11</v>
      </c>
      <c r="D16" s="1"/>
      <c r="E16" s="1"/>
      <c r="F16" s="1"/>
      <c r="G16" s="1"/>
    </row>
    <row r="17" spans="1:7">
      <c r="A17" s="1" t="s">
        <v>22</v>
      </c>
      <c r="B17" s="1"/>
      <c r="C17" s="1">
        <v>2</v>
      </c>
      <c r="D17" s="7">
        <f>C17/C16</f>
        <v>0.18181818181818182</v>
      </c>
      <c r="E17" s="1"/>
      <c r="F17" s="1"/>
      <c r="G17" s="1"/>
    </row>
    <row r="18" spans="1:7">
      <c r="A18" s="1" t="s">
        <v>30</v>
      </c>
      <c r="B18" s="1"/>
      <c r="C18" s="1">
        <v>1</v>
      </c>
      <c r="D18" s="7">
        <f>C18/C16</f>
        <v>9.0909090909090912E-2</v>
      </c>
      <c r="E18" s="1"/>
      <c r="F18" s="1"/>
      <c r="G18" s="1"/>
    </row>
  </sheetData>
  <mergeCells count="2">
    <mergeCell ref="A1:G1"/>
    <mergeCell ref="D8:F8"/>
  </mergeCells>
  <hyperlinks>
    <hyperlink ref="A4" r:id="rId1" display="83692" xr:uid="{C1AF836F-C7F1-4070-8B90-2E25FF2B807D}"/>
    <hyperlink ref="B4" r:id="rId2" display="67081" xr:uid="{2801A70C-0735-446A-B1EA-A1E31E155A54}"/>
    <hyperlink ref="A5" r:id="rId3" display="84808" xr:uid="{ECC0A852-5842-4888-826D-997DE7AF8677}"/>
    <hyperlink ref="B5" r:id="rId4" display="83916" xr:uid="{627F40E0-183B-4596-B54E-86F030EDE3F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CE31-B92B-4E3A-80AD-71457B23A23C}">
  <dimension ref="A1:G18"/>
  <sheetViews>
    <sheetView workbookViewId="0"/>
  </sheetViews>
  <sheetFormatPr defaultRowHeight="15"/>
  <cols>
    <col min="1" max="1" width="26" bestFit="1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95.140625" customWidth="1"/>
  </cols>
  <sheetData>
    <row r="1" spans="1:7">
      <c r="A1" s="251" t="s">
        <v>46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41" customFormat="1">
      <c r="A4" s="35">
        <v>83603</v>
      </c>
      <c r="B4" s="35" t="s">
        <v>17</v>
      </c>
      <c r="C4" s="36" t="s">
        <v>13</v>
      </c>
      <c r="D4" s="37" t="s">
        <v>13</v>
      </c>
      <c r="E4" s="38" t="s">
        <v>13</v>
      </c>
      <c r="F4" s="39" t="s">
        <v>13</v>
      </c>
      <c r="G4" s="40"/>
    </row>
    <row r="5" spans="1:7" s="41" customFormat="1">
      <c r="A5" s="35">
        <v>83775</v>
      </c>
      <c r="B5" s="35">
        <v>68604</v>
      </c>
      <c r="C5" s="42">
        <v>2020</v>
      </c>
      <c r="D5" s="42" t="s">
        <v>26</v>
      </c>
      <c r="E5" s="40" t="s">
        <v>47</v>
      </c>
      <c r="F5" s="43" t="s">
        <v>48</v>
      </c>
      <c r="G5" s="40"/>
    </row>
    <row r="6" spans="1:7">
      <c r="A6" s="18">
        <v>83856</v>
      </c>
      <c r="B6" s="18">
        <v>84508</v>
      </c>
      <c r="C6" s="19">
        <v>2024</v>
      </c>
      <c r="D6" s="19" t="s">
        <v>8</v>
      </c>
      <c r="E6" s="5" t="s">
        <v>49</v>
      </c>
      <c r="F6" s="20" t="s">
        <v>35</v>
      </c>
      <c r="G6" s="5" t="s">
        <v>50</v>
      </c>
    </row>
    <row r="7" spans="1:7">
      <c r="A7" s="18">
        <v>85265</v>
      </c>
      <c r="B7" s="18">
        <v>78693</v>
      </c>
      <c r="C7" s="19">
        <v>2023</v>
      </c>
      <c r="D7" s="19" t="s">
        <v>26</v>
      </c>
      <c r="E7" s="5" t="s">
        <v>9</v>
      </c>
      <c r="F7" s="20" t="s">
        <v>10</v>
      </c>
      <c r="G7" s="5" t="s">
        <v>51</v>
      </c>
    </row>
    <row r="8" spans="1:7" s="41" customFormat="1">
      <c r="A8" s="35">
        <v>85351</v>
      </c>
      <c r="B8" s="35">
        <v>78961</v>
      </c>
      <c r="C8" s="42">
        <v>2023</v>
      </c>
      <c r="D8" s="42" t="s">
        <v>12</v>
      </c>
      <c r="E8" s="40" t="s">
        <v>52</v>
      </c>
      <c r="F8" s="43" t="s">
        <v>19</v>
      </c>
      <c r="G8" s="40" t="s">
        <v>53</v>
      </c>
    </row>
    <row r="9" spans="1:7" s="41" customFormat="1">
      <c r="A9" s="35">
        <v>85349</v>
      </c>
      <c r="B9" s="35">
        <v>78961</v>
      </c>
      <c r="C9" s="42">
        <v>2023</v>
      </c>
      <c r="D9" s="42" t="s">
        <v>12</v>
      </c>
      <c r="E9" s="40" t="s">
        <v>52</v>
      </c>
      <c r="F9" s="43" t="s">
        <v>19</v>
      </c>
      <c r="G9" s="40" t="s">
        <v>53</v>
      </c>
    </row>
    <row r="10" spans="1:7">
      <c r="A10" s="18">
        <v>85687</v>
      </c>
      <c r="B10" s="18">
        <v>78961</v>
      </c>
      <c r="C10" s="19">
        <v>2023</v>
      </c>
      <c r="D10" s="19" t="s">
        <v>12</v>
      </c>
      <c r="E10" s="5" t="s">
        <v>52</v>
      </c>
      <c r="F10" s="20" t="s">
        <v>19</v>
      </c>
      <c r="G10" s="5" t="s">
        <v>54</v>
      </c>
    </row>
    <row r="11" spans="1:7" s="41" customFormat="1">
      <c r="A11" s="35">
        <v>85713</v>
      </c>
      <c r="B11" s="35">
        <v>43896</v>
      </c>
      <c r="C11" s="42">
        <v>2016</v>
      </c>
      <c r="D11" s="42" t="s">
        <v>12</v>
      </c>
      <c r="E11" s="40" t="s">
        <v>55</v>
      </c>
      <c r="F11" s="43" t="s">
        <v>56</v>
      </c>
      <c r="G11" s="40"/>
    </row>
    <row r="12" spans="1:7">
      <c r="A12" s="3"/>
      <c r="B12" s="3"/>
      <c r="C12" s="19"/>
      <c r="D12" s="19"/>
      <c r="E12" s="5"/>
      <c r="F12" s="20"/>
      <c r="G12" s="17"/>
    </row>
    <row r="13" spans="1:7">
      <c r="A13" s="6"/>
      <c r="B13" s="1"/>
      <c r="C13" s="1"/>
      <c r="D13" s="1"/>
      <c r="E13" s="1"/>
      <c r="F13" s="1"/>
      <c r="G13" s="1"/>
    </row>
    <row r="14" spans="1:7">
      <c r="A14" s="6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 t="s">
        <v>21</v>
      </c>
      <c r="B16" s="1"/>
      <c r="C16" s="1">
        <v>33</v>
      </c>
      <c r="D16" s="1"/>
      <c r="E16" s="1"/>
      <c r="F16" s="1"/>
      <c r="G16" s="1"/>
    </row>
    <row r="17" spans="1:7">
      <c r="A17" s="1" t="s">
        <v>22</v>
      </c>
      <c r="B17" s="1"/>
      <c r="C17" s="1">
        <v>8</v>
      </c>
      <c r="D17" s="7">
        <f>C17/C16</f>
        <v>0.24242424242424243</v>
      </c>
      <c r="E17" s="1"/>
      <c r="F17" s="1"/>
      <c r="G17" s="1"/>
    </row>
    <row r="18" spans="1:7">
      <c r="A18" s="1" t="s">
        <v>30</v>
      </c>
      <c r="B18" s="1"/>
      <c r="C18" s="1">
        <v>3</v>
      </c>
      <c r="D18" s="7">
        <f>C18/C16</f>
        <v>9.0909090909090912E-2</v>
      </c>
      <c r="E18" s="1"/>
      <c r="F18" s="1"/>
      <c r="G18" s="1"/>
    </row>
  </sheetData>
  <mergeCells count="1">
    <mergeCell ref="A1:G1"/>
  </mergeCells>
  <hyperlinks>
    <hyperlink ref="A4" r:id="rId1" display="83603" xr:uid="{1A9922E9-4198-4F76-A64A-1E3968752F5B}"/>
    <hyperlink ref="A5" r:id="rId2" display="83775" xr:uid="{5FCA264C-CBD7-401F-A4FC-0DCB7C10415A}"/>
    <hyperlink ref="B5" r:id="rId3" display="68604" xr:uid="{2FE2AF42-E5A8-43BC-A4FE-15D6933C852E}"/>
    <hyperlink ref="A6" r:id="rId4" display="83856" xr:uid="{AD67B5A7-7E48-48B2-B733-F2FE86317707}"/>
    <hyperlink ref="B6" r:id="rId5" display="84508" xr:uid="{349FEBE9-3F05-4D7F-97E9-C1EBBCF5ACC6}"/>
    <hyperlink ref="A7" r:id="rId6" display="85265" xr:uid="{AB4B4A75-D59E-4A1B-8485-DBDF7F51EC4D}"/>
    <hyperlink ref="B7" r:id="rId7" display="78693" xr:uid="{2DA72ED6-B292-49FA-AB8E-8B3B404C59F3}"/>
    <hyperlink ref="A8" r:id="rId8" display="85351" xr:uid="{A13058FB-A353-4019-B00D-88AB26BF2472}"/>
    <hyperlink ref="B8" r:id="rId9" display="78961" xr:uid="{22CE4A0B-F593-4E61-8118-834CEE25D058}"/>
    <hyperlink ref="A9" r:id="rId10" display="85349" xr:uid="{EAFFAA0B-C4F7-4A0C-B934-9BD725D6D291}"/>
    <hyperlink ref="B9" r:id="rId11" display="78961" xr:uid="{21785C64-0D67-4A0B-84DE-035F82DD75E1}"/>
    <hyperlink ref="A10" r:id="rId12" display="85687" xr:uid="{54A88950-288B-4156-ABFE-1235BD242101}"/>
    <hyperlink ref="B10" r:id="rId13" display="78961" xr:uid="{3DA001A8-7716-4961-8500-7038AE05A7F3}"/>
    <hyperlink ref="A11" r:id="rId14" display="85713" xr:uid="{17712EF2-6FF3-436B-A985-6EE609382715}"/>
    <hyperlink ref="B11" r:id="rId15" display="43896" xr:uid="{2318F461-E421-44A9-8E7B-4AD9377BE6A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F3EA-D1A6-47FF-BC8B-DD6312B41215}">
  <dimension ref="A1:G20"/>
  <sheetViews>
    <sheetView workbookViewId="0">
      <selection activeCell="A6" sqref="A6"/>
    </sheetView>
  </sheetViews>
  <sheetFormatPr defaultRowHeight="15"/>
  <cols>
    <col min="1" max="1" width="26" bestFit="1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64.28515625" customWidth="1"/>
  </cols>
  <sheetData>
    <row r="1" spans="1:7">
      <c r="A1" s="251" t="s">
        <v>57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 s="27" customFormat="1">
      <c r="A4" s="21">
        <v>85420</v>
      </c>
      <c r="B4" s="21">
        <v>84509</v>
      </c>
      <c r="C4" s="26">
        <v>2024</v>
      </c>
      <c r="D4" s="26" t="s">
        <v>26</v>
      </c>
      <c r="E4" s="26" t="s">
        <v>49</v>
      </c>
      <c r="F4" s="26" t="s">
        <v>35</v>
      </c>
      <c r="G4" s="26" t="s">
        <v>58</v>
      </c>
    </row>
    <row r="5" spans="1:7" s="46" customFormat="1">
      <c r="A5" s="44">
        <v>85498</v>
      </c>
      <c r="B5" s="44">
        <v>82171</v>
      </c>
      <c r="C5" s="45">
        <v>2023</v>
      </c>
      <c r="D5" s="45" t="s">
        <v>26</v>
      </c>
      <c r="E5" s="45" t="s">
        <v>27</v>
      </c>
      <c r="F5" s="45" t="s">
        <v>28</v>
      </c>
      <c r="G5" s="45"/>
    </row>
    <row r="6" spans="1:7" s="46" customFormat="1">
      <c r="A6" s="44">
        <v>85512</v>
      </c>
      <c r="B6" s="44">
        <v>83869</v>
      </c>
      <c r="C6" s="45">
        <v>2024</v>
      </c>
      <c r="D6" s="45" t="s">
        <v>26</v>
      </c>
      <c r="E6" s="45" t="s">
        <v>59</v>
      </c>
      <c r="F6" s="45" t="s">
        <v>28</v>
      </c>
      <c r="G6" s="45"/>
    </row>
    <row r="7" spans="1:7">
      <c r="A7" s="4"/>
      <c r="B7" s="4"/>
      <c r="C7" s="5"/>
      <c r="D7" s="5"/>
      <c r="E7" s="5"/>
      <c r="F7" s="5"/>
      <c r="G7" s="5"/>
    </row>
    <row r="8" spans="1:7">
      <c r="A8" s="3"/>
      <c r="B8" s="3"/>
      <c r="C8" s="5"/>
      <c r="D8" s="5"/>
      <c r="E8" s="5"/>
      <c r="F8" s="5"/>
      <c r="G8" s="5"/>
    </row>
    <row r="9" spans="1:7">
      <c r="A9" s="6"/>
      <c r="B9" s="1"/>
      <c r="C9" s="1"/>
      <c r="D9" s="1"/>
      <c r="E9" s="1"/>
      <c r="F9" s="1"/>
      <c r="G9" s="8"/>
    </row>
    <row r="10" spans="1:7">
      <c r="A10" s="6"/>
      <c r="B10" s="6"/>
      <c r="C10" s="1"/>
      <c r="D10" s="254"/>
      <c r="E10" s="254"/>
      <c r="F10" s="254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6"/>
      <c r="B14" s="1"/>
      <c r="C14" s="1"/>
      <c r="D14" s="1"/>
      <c r="E14" s="1"/>
      <c r="F14" s="1"/>
      <c r="G14" s="1"/>
    </row>
    <row r="15" spans="1:7">
      <c r="A15" s="6"/>
      <c r="B15" s="1"/>
      <c r="C15" s="1"/>
      <c r="D15" s="1"/>
      <c r="E15" s="1"/>
      <c r="F15" s="1"/>
      <c r="G15" s="1"/>
    </row>
    <row r="16" spans="1:7">
      <c r="A16" s="6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 t="s">
        <v>21</v>
      </c>
      <c r="B18" s="1"/>
      <c r="C18" s="1">
        <v>6</v>
      </c>
      <c r="D18" s="1"/>
      <c r="E18" s="1"/>
      <c r="F18" s="1"/>
      <c r="G18" s="1"/>
    </row>
    <row r="19" spans="1:7">
      <c r="A19" s="1" t="s">
        <v>22</v>
      </c>
      <c r="B19" s="1"/>
      <c r="C19" s="1">
        <v>3</v>
      </c>
      <c r="D19" s="7">
        <f>C19/C18</f>
        <v>0.5</v>
      </c>
      <c r="E19" s="1"/>
      <c r="F19" s="1"/>
      <c r="G19" s="1"/>
    </row>
    <row r="20" spans="1:7">
      <c r="A20" s="1" t="s">
        <v>30</v>
      </c>
      <c r="B20" s="1"/>
      <c r="C20" s="1">
        <v>2</v>
      </c>
      <c r="D20" s="7">
        <f>C20/C18</f>
        <v>0.33333333333333331</v>
      </c>
      <c r="E20" s="1"/>
      <c r="F20" s="1"/>
      <c r="G20" s="1"/>
    </row>
  </sheetData>
  <mergeCells count="2">
    <mergeCell ref="A1:G1"/>
    <mergeCell ref="D10:F10"/>
  </mergeCells>
  <hyperlinks>
    <hyperlink ref="A4" r:id="rId1" display="85420" xr:uid="{D74F7E1A-3CAE-416C-8652-2835EEE7C1CA}"/>
    <hyperlink ref="B4" r:id="rId2" display="84509" xr:uid="{295934F7-DB53-473F-9B15-F97B1E5C6BFB}"/>
    <hyperlink ref="A5" r:id="rId3" display="85498" xr:uid="{C20DA477-1C0A-458C-8D5E-A4E08CCDD2DA}"/>
    <hyperlink ref="B5" r:id="rId4" display="82171" xr:uid="{2CE51922-37DC-4F6B-A2CD-6C7B5E7301E4}"/>
    <hyperlink ref="A6" r:id="rId5" display="85512" xr:uid="{DAADD3DA-152C-47A4-A1B5-BC2C619D5C99}"/>
    <hyperlink ref="B6" r:id="rId6" display="83869" xr:uid="{321C9BB5-BCC4-4604-AD40-D7526B9AE83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B4ED-AE87-410A-9CE5-68CE5FFE207A}">
  <dimension ref="A1:G23"/>
  <sheetViews>
    <sheetView workbookViewId="0">
      <selection activeCell="D23" sqref="D23"/>
    </sheetView>
  </sheetViews>
  <sheetFormatPr defaultRowHeight="15"/>
  <cols>
    <col min="1" max="1" width="9.28515625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118.42578125" customWidth="1"/>
  </cols>
  <sheetData>
    <row r="1" spans="1:7">
      <c r="A1" s="251" t="s">
        <v>60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53" customFormat="1">
      <c r="A4" s="51">
        <v>84083</v>
      </c>
      <c r="B4" s="51">
        <v>28978</v>
      </c>
      <c r="C4" s="56">
        <v>2014</v>
      </c>
      <c r="D4" s="57" t="s">
        <v>12</v>
      </c>
      <c r="E4" s="58" t="s">
        <v>13</v>
      </c>
      <c r="F4" s="59" t="s">
        <v>13</v>
      </c>
      <c r="G4" s="52"/>
    </row>
    <row r="5" spans="1:7" s="53" customFormat="1">
      <c r="A5" s="51">
        <v>84080</v>
      </c>
      <c r="B5" s="51">
        <v>51010</v>
      </c>
      <c r="C5" s="54">
        <v>2018</v>
      </c>
      <c r="D5" s="54" t="s">
        <v>1</v>
      </c>
      <c r="E5" s="52" t="s">
        <v>13</v>
      </c>
      <c r="F5" s="55" t="s">
        <v>13</v>
      </c>
      <c r="G5" s="52"/>
    </row>
    <row r="6" spans="1:7">
      <c r="A6" s="18">
        <v>84252</v>
      </c>
      <c r="B6" s="18">
        <v>75155</v>
      </c>
      <c r="C6" s="19">
        <v>2022</v>
      </c>
      <c r="D6" s="19" t="s">
        <v>8</v>
      </c>
      <c r="E6" s="5" t="s">
        <v>61</v>
      </c>
      <c r="F6" s="20" t="s">
        <v>15</v>
      </c>
      <c r="G6" s="5" t="s">
        <v>62</v>
      </c>
    </row>
    <row r="7" spans="1:7" s="53" customFormat="1">
      <c r="A7" s="51">
        <v>84590</v>
      </c>
      <c r="B7" s="51">
        <v>29609</v>
      </c>
      <c r="C7" s="54">
        <v>2014</v>
      </c>
      <c r="D7" s="54" t="s">
        <v>13</v>
      </c>
      <c r="E7" s="52" t="s">
        <v>13</v>
      </c>
      <c r="F7" s="55" t="s">
        <v>13</v>
      </c>
      <c r="G7" s="52"/>
    </row>
    <row r="8" spans="1:7" s="53" customFormat="1">
      <c r="A8" s="51">
        <v>85374</v>
      </c>
      <c r="B8" s="51">
        <v>62564</v>
      </c>
      <c r="C8" s="54">
        <v>2019</v>
      </c>
      <c r="D8" s="54" t="s">
        <v>13</v>
      </c>
      <c r="E8" s="52" t="s">
        <v>13</v>
      </c>
      <c r="F8" s="55" t="s">
        <v>13</v>
      </c>
      <c r="G8" s="52"/>
    </row>
    <row r="9" spans="1:7" s="53" customFormat="1">
      <c r="A9" s="51">
        <v>85760</v>
      </c>
      <c r="B9" s="51">
        <v>14863</v>
      </c>
      <c r="C9" s="54">
        <v>2011</v>
      </c>
      <c r="D9" s="54" t="s">
        <v>13</v>
      </c>
      <c r="E9" s="52" t="s">
        <v>13</v>
      </c>
      <c r="F9" s="55" t="s">
        <v>13</v>
      </c>
      <c r="G9" s="52"/>
    </row>
    <row r="10" spans="1:7" s="53" customFormat="1">
      <c r="A10" s="51">
        <v>85835</v>
      </c>
      <c r="B10" s="51">
        <v>78961</v>
      </c>
      <c r="C10" s="54">
        <v>2023</v>
      </c>
      <c r="D10" s="54" t="s">
        <v>12</v>
      </c>
      <c r="E10" s="52" t="s">
        <v>52</v>
      </c>
      <c r="F10" s="55" t="s">
        <v>19</v>
      </c>
      <c r="G10" s="52" t="s">
        <v>53</v>
      </c>
    </row>
    <row r="11" spans="1:7" s="53" customFormat="1">
      <c r="A11" s="51">
        <v>85920</v>
      </c>
      <c r="B11" s="51">
        <v>84450</v>
      </c>
      <c r="C11" s="54">
        <v>2024</v>
      </c>
      <c r="D11" s="54" t="s">
        <v>12</v>
      </c>
      <c r="E11" s="52" t="s">
        <v>52</v>
      </c>
      <c r="F11" s="55" t="s">
        <v>35</v>
      </c>
      <c r="G11" s="52" t="s">
        <v>53</v>
      </c>
    </row>
    <row r="12" spans="1:7">
      <c r="A12" s="4">
        <v>85978</v>
      </c>
      <c r="B12" s="4">
        <v>85276</v>
      </c>
      <c r="C12" s="19">
        <v>2024</v>
      </c>
      <c r="D12" s="19" t="s">
        <v>12</v>
      </c>
      <c r="E12" s="5" t="s">
        <v>52</v>
      </c>
      <c r="F12" s="20" t="s">
        <v>19</v>
      </c>
      <c r="G12" s="17" t="s">
        <v>63</v>
      </c>
    </row>
    <row r="13" spans="1:7">
      <c r="A13" s="18">
        <v>86078</v>
      </c>
      <c r="B13" s="18">
        <v>78961</v>
      </c>
      <c r="C13" s="19">
        <v>2023</v>
      </c>
      <c r="D13" s="19" t="s">
        <v>12</v>
      </c>
      <c r="E13" s="5" t="s">
        <v>52</v>
      </c>
      <c r="F13" s="20" t="s">
        <v>19</v>
      </c>
      <c r="G13" s="5" t="s">
        <v>64</v>
      </c>
    </row>
    <row r="14" spans="1:7">
      <c r="A14" s="12">
        <v>86137</v>
      </c>
      <c r="B14" s="12">
        <v>84250</v>
      </c>
      <c r="C14" s="49">
        <v>2024</v>
      </c>
      <c r="D14" s="49" t="s">
        <v>26</v>
      </c>
      <c r="E14" s="15" t="s">
        <v>65</v>
      </c>
      <c r="F14" s="16" t="s">
        <v>19</v>
      </c>
      <c r="G14" s="50" t="s">
        <v>66</v>
      </c>
    </row>
    <row r="15" spans="1:7">
      <c r="A15" s="18">
        <v>86302</v>
      </c>
      <c r="B15" s="18">
        <v>78961</v>
      </c>
      <c r="C15" s="19">
        <v>2023</v>
      </c>
      <c r="D15" s="19" t="s">
        <v>12</v>
      </c>
      <c r="E15" s="5" t="s">
        <v>52</v>
      </c>
      <c r="F15" s="5" t="s">
        <v>19</v>
      </c>
      <c r="G15" s="5" t="s">
        <v>67</v>
      </c>
    </row>
    <row r="16" spans="1:7">
      <c r="A16" s="18">
        <v>86474</v>
      </c>
      <c r="B16" s="18">
        <v>78961</v>
      </c>
      <c r="C16" s="19">
        <v>2023</v>
      </c>
      <c r="D16" s="19" t="s">
        <v>12</v>
      </c>
      <c r="E16" s="5" t="s">
        <v>52</v>
      </c>
      <c r="F16" s="5" t="s">
        <v>19</v>
      </c>
      <c r="G16" s="5" t="s">
        <v>68</v>
      </c>
    </row>
    <row r="17" spans="1:7">
      <c r="A17" s="47"/>
      <c r="B17" s="47"/>
      <c r="C17" s="48"/>
      <c r="D17" s="48"/>
      <c r="E17" s="1"/>
      <c r="F17" s="1"/>
      <c r="G17" s="1"/>
    </row>
    <row r="18" spans="1:7">
      <c r="A18" s="47"/>
      <c r="B18" s="47"/>
      <c r="C18" s="48"/>
      <c r="D18" s="48"/>
      <c r="E18" s="1"/>
      <c r="F18" s="1"/>
      <c r="G18" s="1"/>
    </row>
    <row r="19" spans="1:7">
      <c r="A19" s="6"/>
      <c r="B19" s="6"/>
      <c r="C19" s="48"/>
      <c r="D19" s="48"/>
      <c r="E19" s="1"/>
      <c r="F19" s="1"/>
      <c r="G19" s="8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 t="s">
        <v>21</v>
      </c>
      <c r="B21" s="1"/>
      <c r="C21" s="1">
        <v>48</v>
      </c>
      <c r="D21" s="1"/>
      <c r="E21" s="1"/>
      <c r="F21" s="1"/>
      <c r="G21" s="1"/>
    </row>
    <row r="22" spans="1:7">
      <c r="A22" s="1" t="s">
        <v>22</v>
      </c>
      <c r="B22" s="1"/>
      <c r="C22" s="1">
        <v>13</v>
      </c>
      <c r="D22" s="7">
        <f>C22/C21</f>
        <v>0.27083333333333331</v>
      </c>
      <c r="E22" s="1"/>
      <c r="F22" s="1"/>
      <c r="G22" s="1"/>
    </row>
    <row r="23" spans="1:7">
      <c r="A23" s="1" t="s">
        <v>30</v>
      </c>
      <c r="B23" s="1"/>
      <c r="C23" s="1">
        <v>6</v>
      </c>
      <c r="D23" s="7">
        <f>C23/C21</f>
        <v>0.125</v>
      </c>
      <c r="E23" s="1"/>
      <c r="F23" s="1"/>
      <c r="G23" s="1"/>
    </row>
  </sheetData>
  <mergeCells count="1">
    <mergeCell ref="A1:G1"/>
  </mergeCells>
  <hyperlinks>
    <hyperlink ref="A4" r:id="rId1" display="84083" xr:uid="{FB6A4AAE-C1A6-457B-9853-50E498B0CE96}"/>
    <hyperlink ref="B4" r:id="rId2" display="28978" xr:uid="{D0B0E418-5920-45A3-B428-E8827256EB2A}"/>
    <hyperlink ref="A5" r:id="rId3" display="84080" xr:uid="{0AE998B0-12D4-470A-8306-163B89855205}"/>
    <hyperlink ref="B5" r:id="rId4" display="51010" xr:uid="{1F967A52-C1C8-4E4C-B8E9-475A84B75DE9}"/>
    <hyperlink ref="A6" r:id="rId5" display="84252" xr:uid="{781E4931-39F8-4AB7-AF46-FF2EF9FA8C04}"/>
    <hyperlink ref="B6" r:id="rId6" display="75155" xr:uid="{80ECF7DF-2B2C-48D8-9867-033E9FCD00A6}"/>
    <hyperlink ref="A7" r:id="rId7" display="84590" xr:uid="{4DB7D96E-920A-4F9F-A9E6-80373CFC0012}"/>
    <hyperlink ref="B7" r:id="rId8" display="29609" xr:uid="{FEF905F5-B3C4-4C3C-AEB0-6D64B62AF053}"/>
    <hyperlink ref="A8" r:id="rId9" display="85374" xr:uid="{05758BD1-91BA-4C89-BF97-6F253272071D}"/>
    <hyperlink ref="B8" r:id="rId10" display="62564" xr:uid="{5E7F11DB-31E1-4DB1-B394-EA3A07062AC9}"/>
    <hyperlink ref="A9" r:id="rId11" display="85760" xr:uid="{06974A30-9262-466C-8A7E-D6A6B32E2CC9}"/>
    <hyperlink ref="B9" r:id="rId12" display="14863" xr:uid="{6045F236-9FDC-4C26-A9BC-C3CBC5B7F94A}"/>
    <hyperlink ref="A10" r:id="rId13" display="85835" xr:uid="{002EAA70-1211-40D4-A1B1-8A58707B436E}"/>
    <hyperlink ref="B10" r:id="rId14" display="78961" xr:uid="{7F86ED00-195E-4369-AE54-D6FD84E8C3C9}"/>
    <hyperlink ref="A11" r:id="rId15" display="85920" xr:uid="{F5CDD983-9B12-4403-BF70-EA41FD1C03EB}"/>
    <hyperlink ref="B11" r:id="rId16" display="84450" xr:uid="{5D8F2B4C-F25D-4E51-9928-E77D1859CDDA}"/>
    <hyperlink ref="A12" r:id="rId17" display="85978" xr:uid="{A50C61F5-3317-4E1B-B1E3-FE2426A52EFE}"/>
    <hyperlink ref="B12" r:id="rId18" display="85276" xr:uid="{FE4C309E-9D7F-432B-A009-AFDA645282E6}"/>
    <hyperlink ref="A13" r:id="rId19" display="86078" xr:uid="{590A2C96-AB0E-4763-A340-3547D8EA28D1}"/>
    <hyperlink ref="B13" r:id="rId20" display="78961" xr:uid="{73001B28-E71F-491E-8E62-2E42CC005DA1}"/>
    <hyperlink ref="A14" r:id="rId21" display="86137" xr:uid="{BB5AB5EB-7DF8-4D6C-9F9E-19327B5A4DDE}"/>
    <hyperlink ref="B14" r:id="rId22" display="84250" xr:uid="{400B933F-66FF-4797-B909-674BB4D98C20}"/>
    <hyperlink ref="A15" r:id="rId23" display="86302" xr:uid="{EC6898B4-0F0E-459A-A122-4E6D13E566E8}"/>
    <hyperlink ref="B15" r:id="rId24" display="78961" xr:uid="{47A0E8DB-4E81-4CC5-83BA-92F3088516E5}"/>
    <hyperlink ref="A16" r:id="rId25" display="86474" xr:uid="{0970CF35-0953-42CD-9ECD-0E2CEE863699}"/>
    <hyperlink ref="B16" r:id="rId26" display="78961" xr:uid="{416C39BA-D50A-46E7-AC0A-ACF40A5C08D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9A95-7A73-426C-B1CB-41DB5F473B9D}">
  <dimension ref="A1:G20"/>
  <sheetViews>
    <sheetView workbookViewId="0">
      <selection activeCell="G20" sqref="G20"/>
    </sheetView>
  </sheetViews>
  <sheetFormatPr defaultRowHeight="15"/>
  <cols>
    <col min="1" max="1" width="8.7109375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77.5703125" customWidth="1"/>
  </cols>
  <sheetData>
    <row r="1" spans="1:7">
      <c r="A1" s="251" t="s">
        <v>69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21">
        <v>84562</v>
      </c>
      <c r="B4" s="21">
        <v>46656</v>
      </c>
      <c r="C4" s="26">
        <v>2017</v>
      </c>
      <c r="D4" s="26" t="s">
        <v>13</v>
      </c>
      <c r="E4" s="26" t="s">
        <v>13</v>
      </c>
      <c r="F4" s="26" t="s">
        <v>13</v>
      </c>
      <c r="G4" s="26"/>
    </row>
    <row r="5" spans="1:7" s="53" customFormat="1">
      <c r="A5" s="51">
        <v>84809</v>
      </c>
      <c r="B5" s="51" t="s">
        <v>17</v>
      </c>
      <c r="C5" s="52" t="s">
        <v>13</v>
      </c>
      <c r="D5" s="52" t="s">
        <v>13</v>
      </c>
      <c r="E5" s="52" t="s">
        <v>13</v>
      </c>
      <c r="F5" s="52" t="s">
        <v>13</v>
      </c>
      <c r="G5" s="52"/>
    </row>
    <row r="6" spans="1:7">
      <c r="A6" s="44"/>
      <c r="B6" s="44"/>
      <c r="C6" s="45"/>
      <c r="D6" s="45"/>
      <c r="E6" s="45"/>
      <c r="F6" s="45"/>
      <c r="G6" s="45"/>
    </row>
    <row r="7" spans="1:7">
      <c r="A7" s="4"/>
      <c r="B7" s="4"/>
      <c r="C7" s="5"/>
      <c r="D7" s="5"/>
      <c r="E7" s="5"/>
      <c r="F7" s="5"/>
      <c r="G7" s="5"/>
    </row>
    <row r="8" spans="1:7">
      <c r="A8" s="3"/>
      <c r="B8" s="3"/>
      <c r="C8" s="5"/>
      <c r="D8" s="5"/>
      <c r="E8" s="5"/>
      <c r="F8" s="5"/>
      <c r="G8" s="5"/>
    </row>
    <row r="9" spans="1:7">
      <c r="A9" s="6"/>
      <c r="B9" s="1"/>
      <c r="C9" s="1"/>
      <c r="D9" s="1"/>
      <c r="E9" s="1"/>
      <c r="F9" s="1"/>
      <c r="G9" s="8"/>
    </row>
    <row r="10" spans="1:7">
      <c r="A10" s="6"/>
      <c r="B10" s="6"/>
      <c r="C10" s="1"/>
      <c r="D10" s="254"/>
      <c r="E10" s="254"/>
      <c r="F10" s="254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6"/>
      <c r="B14" s="1"/>
      <c r="C14" s="1"/>
      <c r="D14" s="1"/>
      <c r="E14" s="1"/>
      <c r="F14" s="1"/>
      <c r="G14" s="1"/>
    </row>
    <row r="15" spans="1:7">
      <c r="A15" s="6"/>
      <c r="B15" s="1"/>
      <c r="C15" s="1"/>
      <c r="D15" s="1"/>
      <c r="E15" s="1"/>
      <c r="F15" s="1"/>
      <c r="G15" s="1"/>
    </row>
    <row r="16" spans="1:7">
      <c r="A16" s="6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 t="s">
        <v>21</v>
      </c>
      <c r="B18" s="1"/>
      <c r="C18" s="1">
        <v>11</v>
      </c>
      <c r="D18" s="1"/>
      <c r="E18" s="1"/>
      <c r="F18" s="1"/>
      <c r="G18" s="1"/>
    </row>
    <row r="19" spans="1:7">
      <c r="A19" s="1" t="s">
        <v>22</v>
      </c>
      <c r="B19" s="1"/>
      <c r="C19" s="1">
        <v>2</v>
      </c>
      <c r="D19" s="7">
        <f>C19/C18</f>
        <v>0.18181818181818182</v>
      </c>
      <c r="E19" s="1"/>
      <c r="F19" s="1"/>
      <c r="G19" s="1"/>
    </row>
    <row r="20" spans="1:7">
      <c r="A20" s="1" t="s">
        <v>30</v>
      </c>
      <c r="B20" s="1"/>
      <c r="C20" s="1">
        <v>0</v>
      </c>
      <c r="D20" s="7">
        <f>C20/C18</f>
        <v>0</v>
      </c>
      <c r="E20" s="1"/>
      <c r="F20" s="1"/>
      <c r="G20" s="1"/>
    </row>
  </sheetData>
  <mergeCells count="2">
    <mergeCell ref="A1:G1"/>
    <mergeCell ref="D10:F10"/>
  </mergeCells>
  <hyperlinks>
    <hyperlink ref="A4" r:id="rId1" display="84562" xr:uid="{26AD88AF-D6AA-44F8-88C5-0BCA6BE57135}"/>
    <hyperlink ref="B4" r:id="rId2" display="46656" xr:uid="{81F62B9E-9761-45FF-870E-1F3E24A03661}"/>
    <hyperlink ref="A5" r:id="rId3" display="84809" xr:uid="{562B0CEF-D0E2-469A-81B6-0CA0DF6044C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0C27-A17A-448A-9333-8FA3371EB37B}">
  <dimension ref="A1:G21"/>
  <sheetViews>
    <sheetView workbookViewId="0">
      <selection activeCell="D12" sqref="D12"/>
    </sheetView>
  </sheetViews>
  <sheetFormatPr defaultRowHeight="15"/>
  <cols>
    <col min="1" max="1" width="12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83.42578125" customWidth="1"/>
  </cols>
  <sheetData>
    <row r="1" spans="1:7">
      <c r="A1" s="251" t="s">
        <v>70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53" customFormat="1">
      <c r="A4" s="51">
        <v>85390</v>
      </c>
      <c r="B4" s="51">
        <v>67944</v>
      </c>
      <c r="C4" s="56">
        <v>2020</v>
      </c>
      <c r="D4" s="57" t="s">
        <v>26</v>
      </c>
      <c r="E4" s="58"/>
      <c r="F4" s="59"/>
      <c r="G4" s="52"/>
    </row>
    <row r="5" spans="1:7" s="53" customFormat="1">
      <c r="A5" s="51">
        <v>86310</v>
      </c>
      <c r="B5" s="51" t="s">
        <v>17</v>
      </c>
      <c r="C5" s="54"/>
      <c r="D5" s="54"/>
      <c r="E5" s="52"/>
      <c r="F5" s="55"/>
      <c r="G5" s="52" t="s">
        <v>58</v>
      </c>
    </row>
    <row r="6" spans="1:7">
      <c r="A6" s="51">
        <v>86529</v>
      </c>
      <c r="B6" s="51">
        <v>73246</v>
      </c>
      <c r="C6" s="54">
        <v>2021</v>
      </c>
      <c r="D6" s="54" t="s">
        <v>8</v>
      </c>
      <c r="E6" s="52" t="s">
        <v>13</v>
      </c>
      <c r="F6" s="55" t="s">
        <v>13</v>
      </c>
      <c r="G6" s="52"/>
    </row>
    <row r="7" spans="1:7">
      <c r="A7" s="51">
        <v>86557</v>
      </c>
      <c r="B7" s="51" t="s">
        <v>17</v>
      </c>
      <c r="C7" s="54"/>
      <c r="D7" s="54"/>
      <c r="E7" s="52"/>
      <c r="F7" s="55"/>
      <c r="G7" s="52" t="s">
        <v>58</v>
      </c>
    </row>
    <row r="8" spans="1:7" s="61" customFormat="1">
      <c r="A8" s="51">
        <v>86997</v>
      </c>
      <c r="B8" s="62" t="s">
        <v>17</v>
      </c>
      <c r="C8" s="54"/>
      <c r="D8" s="54"/>
      <c r="E8" s="52"/>
      <c r="F8" s="55"/>
      <c r="G8" s="52" t="s">
        <v>58</v>
      </c>
    </row>
    <row r="9" spans="1:7" s="1" customFormat="1">
      <c r="A9" s="60"/>
      <c r="B9" s="60"/>
      <c r="C9" s="19"/>
      <c r="D9" s="19"/>
      <c r="E9" s="5"/>
      <c r="F9" s="20"/>
      <c r="G9" s="5"/>
    </row>
    <row r="10" spans="1:7">
      <c r="A10" s="4"/>
      <c r="B10" s="4"/>
      <c r="C10" s="19"/>
      <c r="D10" s="19"/>
      <c r="E10" s="5"/>
      <c r="F10" s="20"/>
      <c r="G10" s="17"/>
    </row>
    <row r="11" spans="1:7">
      <c r="A11" s="18"/>
      <c r="B11" s="18"/>
      <c r="C11" s="19"/>
      <c r="D11" s="19"/>
      <c r="E11" s="5"/>
      <c r="F11" s="20"/>
      <c r="G11" s="5"/>
    </row>
    <row r="12" spans="1:7">
      <c r="A12" s="12"/>
      <c r="B12" s="12"/>
      <c r="C12" s="49"/>
      <c r="D12" s="49"/>
      <c r="E12" s="15"/>
      <c r="F12" s="16"/>
      <c r="G12" s="50"/>
    </row>
    <row r="13" spans="1:7">
      <c r="A13" s="18"/>
      <c r="B13" s="18"/>
      <c r="C13" s="19"/>
      <c r="D13" s="19"/>
      <c r="E13" s="5"/>
      <c r="F13" s="5"/>
      <c r="G13" s="5"/>
    </row>
    <row r="14" spans="1:7">
      <c r="A14" s="18"/>
      <c r="B14" s="18"/>
      <c r="C14" s="19"/>
      <c r="D14" s="19"/>
      <c r="E14" s="5"/>
      <c r="F14" s="5"/>
      <c r="G14" s="5"/>
    </row>
    <row r="15" spans="1:7">
      <c r="A15" s="47"/>
      <c r="B15" s="47"/>
      <c r="C15" s="48"/>
      <c r="D15" s="48"/>
      <c r="E15" s="1"/>
      <c r="F15" s="1"/>
      <c r="G15" s="1"/>
    </row>
    <row r="16" spans="1:7">
      <c r="A16" s="47"/>
      <c r="B16" s="47"/>
      <c r="C16" s="48"/>
      <c r="D16" s="48"/>
      <c r="E16" s="1"/>
      <c r="F16" s="1"/>
      <c r="G16" s="1"/>
    </row>
    <row r="17" spans="1:7">
      <c r="A17" s="6"/>
      <c r="B17" s="6"/>
      <c r="C17" s="48"/>
      <c r="D17" s="48"/>
      <c r="E17" s="1"/>
      <c r="F17" s="1"/>
      <c r="G17" s="8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21</v>
      </c>
      <c r="B19" s="1"/>
      <c r="C19" s="1">
        <v>24</v>
      </c>
      <c r="D19" s="1"/>
      <c r="E19" s="1"/>
      <c r="F19" s="1"/>
      <c r="G19" s="1"/>
    </row>
    <row r="20" spans="1:7">
      <c r="A20" s="1" t="s">
        <v>22</v>
      </c>
      <c r="B20" s="1"/>
      <c r="C20" s="1">
        <v>5</v>
      </c>
      <c r="D20" s="7">
        <f>C20/C19</f>
        <v>0.20833333333333334</v>
      </c>
      <c r="E20" s="1"/>
      <c r="F20" s="1"/>
      <c r="G20" s="1"/>
    </row>
    <row r="21" spans="1:7">
      <c r="A21" s="1" t="s">
        <v>30</v>
      </c>
      <c r="B21" s="1"/>
      <c r="C21" s="1">
        <v>0</v>
      </c>
      <c r="D21" s="7">
        <f>C21/C19</f>
        <v>0</v>
      </c>
      <c r="E21" s="1"/>
      <c r="F21" s="1"/>
      <c r="G21" s="1"/>
    </row>
  </sheetData>
  <mergeCells count="1">
    <mergeCell ref="A1:G1"/>
  </mergeCells>
  <hyperlinks>
    <hyperlink ref="A4" r:id="rId1" display="85390" xr:uid="{9148047D-7185-4690-8C7A-B3A64D95C9D2}"/>
    <hyperlink ref="A5" r:id="rId2" display="86310" xr:uid="{DA2E81FE-13FF-48E9-B7AD-9C7A6AE88335}"/>
    <hyperlink ref="A6" r:id="rId3" display="86529" xr:uid="{5363E63D-FB0E-43DB-AA9B-45B960145E40}"/>
    <hyperlink ref="B6" r:id="rId4" display="73246" xr:uid="{9AA1DCEC-3E76-4C71-904C-7D7E7B903701}"/>
    <hyperlink ref="A7" r:id="rId5" display="86557" xr:uid="{34339313-D21B-4E74-8BA0-2B819059C96A}"/>
    <hyperlink ref="B4" r:id="rId6" display="67944" xr:uid="{B54EEEAE-2AA0-409F-AADE-FC5E90C42D21}"/>
    <hyperlink ref="A8" r:id="rId7" display="86997" xr:uid="{A55945B1-CEC6-4D2F-89DE-1CB9A22C0BA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3253-7C7A-49E2-993D-B0DB0ED74415}">
  <dimension ref="A1:G17"/>
  <sheetViews>
    <sheetView workbookViewId="0"/>
  </sheetViews>
  <sheetFormatPr defaultRowHeight="15"/>
  <cols>
    <col min="1" max="1" width="14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69.85546875" customWidth="1"/>
  </cols>
  <sheetData>
    <row r="1" spans="1:7">
      <c r="A1" s="251" t="s">
        <v>71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21">
        <v>84634</v>
      </c>
      <c r="B4" s="21" t="s">
        <v>17</v>
      </c>
      <c r="C4" s="26"/>
      <c r="D4" s="26"/>
      <c r="E4" s="26"/>
      <c r="F4" s="26"/>
      <c r="G4" s="26"/>
    </row>
    <row r="5" spans="1:7">
      <c r="A5" s="3"/>
      <c r="B5" s="3"/>
      <c r="C5" s="5"/>
      <c r="D5" s="5"/>
      <c r="E5" s="5"/>
      <c r="F5" s="5"/>
      <c r="G5" s="5"/>
    </row>
    <row r="6" spans="1:7">
      <c r="A6" s="6"/>
      <c r="B6" s="1"/>
      <c r="C6" s="1"/>
      <c r="D6" s="1"/>
      <c r="E6" s="1"/>
      <c r="F6" s="1"/>
      <c r="G6" s="8"/>
    </row>
    <row r="7" spans="1:7">
      <c r="A7" s="6"/>
      <c r="B7" s="6"/>
      <c r="C7" s="1"/>
      <c r="D7" s="254"/>
      <c r="E7" s="254"/>
      <c r="F7" s="254"/>
      <c r="G7" s="1"/>
    </row>
    <row r="8" spans="1:7">
      <c r="A8" s="6"/>
      <c r="B8" s="1"/>
      <c r="C8" s="1"/>
      <c r="D8" s="1"/>
      <c r="E8" s="1"/>
      <c r="F8" s="1"/>
      <c r="G8" s="1"/>
    </row>
    <row r="9" spans="1:7">
      <c r="A9" s="6"/>
      <c r="B9" s="1"/>
      <c r="C9" s="1"/>
      <c r="D9" s="1"/>
      <c r="E9" s="1"/>
      <c r="F9" s="1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 t="s">
        <v>21</v>
      </c>
      <c r="B15" s="1"/>
      <c r="C15" s="1">
        <v>13</v>
      </c>
      <c r="D15" s="1"/>
      <c r="E15" s="1"/>
      <c r="F15" s="1"/>
      <c r="G15" s="1"/>
    </row>
    <row r="16" spans="1:7">
      <c r="A16" s="1" t="s">
        <v>22</v>
      </c>
      <c r="B16" s="1"/>
      <c r="C16" s="1">
        <v>1</v>
      </c>
      <c r="D16" s="7">
        <f>C16/C15</f>
        <v>7.6923076923076927E-2</v>
      </c>
      <c r="E16" s="1"/>
      <c r="F16" s="1"/>
      <c r="G16" s="1"/>
    </row>
    <row r="17" spans="1:7">
      <c r="A17" s="1" t="s">
        <v>30</v>
      </c>
      <c r="B17" s="1"/>
      <c r="C17" s="1">
        <v>0</v>
      </c>
      <c r="D17" s="7">
        <f>C17/C15</f>
        <v>0</v>
      </c>
      <c r="E17" s="1"/>
      <c r="F17" s="1"/>
      <c r="G17" s="1"/>
    </row>
  </sheetData>
  <mergeCells count="2">
    <mergeCell ref="A1:G1"/>
    <mergeCell ref="D7:F7"/>
  </mergeCells>
  <hyperlinks>
    <hyperlink ref="A4" r:id="rId1" display="84634" xr:uid="{83FEA490-0C05-437A-8C53-01A2955176F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BDDE-2D6C-45FA-97A1-74DD7F693692}">
  <dimension ref="A1:G21"/>
  <sheetViews>
    <sheetView workbookViewId="0">
      <selection activeCell="G25" sqref="G25"/>
    </sheetView>
  </sheetViews>
  <sheetFormatPr defaultRowHeight="15"/>
  <cols>
    <col min="1" max="1" width="13.5703125" customWidth="1"/>
    <col min="2" max="2" width="12.7109375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83.140625" customWidth="1"/>
  </cols>
  <sheetData>
    <row r="1" spans="1:7">
      <c r="A1" s="251" t="s">
        <v>72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>
      <c r="A4" s="63">
        <v>87481</v>
      </c>
      <c r="B4" s="63">
        <v>83055</v>
      </c>
      <c r="C4" s="49">
        <v>2023</v>
      </c>
      <c r="D4" s="14" t="s">
        <v>12</v>
      </c>
      <c r="E4" s="15" t="s">
        <v>52</v>
      </c>
      <c r="F4" s="16" t="s">
        <v>35</v>
      </c>
      <c r="G4" s="5" t="s">
        <v>73</v>
      </c>
    </row>
    <row r="5" spans="1:7">
      <c r="A5" s="63">
        <v>87463</v>
      </c>
      <c r="B5" s="63">
        <v>85647</v>
      </c>
      <c r="C5" s="19">
        <v>2024</v>
      </c>
      <c r="D5" s="19" t="s">
        <v>8</v>
      </c>
      <c r="E5" s="5" t="s">
        <v>18</v>
      </c>
      <c r="F5" s="20" t="s">
        <v>10</v>
      </c>
      <c r="G5" s="5" t="s">
        <v>74</v>
      </c>
    </row>
    <row r="6" spans="1:7" s="27" customFormat="1">
      <c r="A6" s="64">
        <v>87174</v>
      </c>
      <c r="B6" s="64">
        <v>7898</v>
      </c>
      <c r="C6" s="28">
        <v>2008</v>
      </c>
      <c r="D6" s="28" t="s">
        <v>8</v>
      </c>
      <c r="E6" s="26"/>
      <c r="F6" s="29"/>
      <c r="G6" s="26"/>
    </row>
    <row r="7" spans="1:7">
      <c r="A7" s="63">
        <v>87148</v>
      </c>
      <c r="B7" s="63">
        <v>80366</v>
      </c>
      <c r="C7" s="19">
        <v>2023</v>
      </c>
      <c r="D7" s="19" t="s">
        <v>8</v>
      </c>
      <c r="E7" s="5" t="s">
        <v>9</v>
      </c>
      <c r="F7" s="20" t="s">
        <v>10</v>
      </c>
      <c r="G7" s="5" t="s">
        <v>75</v>
      </c>
    </row>
    <row r="8" spans="1:7" s="27" customFormat="1">
      <c r="A8" s="64">
        <v>86556</v>
      </c>
      <c r="B8" s="65" t="s">
        <v>17</v>
      </c>
      <c r="C8" s="28"/>
      <c r="D8" s="28"/>
      <c r="E8" s="26"/>
      <c r="F8" s="29"/>
      <c r="G8" s="26"/>
    </row>
    <row r="9" spans="1:7">
      <c r="A9" s="63">
        <v>85785</v>
      </c>
      <c r="B9" s="63">
        <v>76192</v>
      </c>
      <c r="C9" s="19">
        <v>2022</v>
      </c>
      <c r="D9" s="19" t="s">
        <v>12</v>
      </c>
      <c r="E9" s="5" t="s">
        <v>76</v>
      </c>
      <c r="F9" s="20" t="s">
        <v>19</v>
      </c>
      <c r="G9" s="5" t="s">
        <v>77</v>
      </c>
    </row>
    <row r="10" spans="1:7">
      <c r="A10" s="4"/>
      <c r="B10" s="4"/>
      <c r="C10" s="19"/>
      <c r="D10" s="19"/>
      <c r="E10" s="5"/>
      <c r="F10" s="20"/>
      <c r="G10" s="17"/>
    </row>
    <row r="11" spans="1:7">
      <c r="A11" s="18"/>
      <c r="B11" s="18"/>
      <c r="C11" s="19"/>
      <c r="D11" s="19"/>
      <c r="E11" s="5"/>
      <c r="F11" s="20"/>
      <c r="G11" s="5"/>
    </row>
    <row r="12" spans="1:7">
      <c r="A12" s="12"/>
      <c r="B12" s="12"/>
      <c r="C12" s="49"/>
      <c r="D12" s="49"/>
      <c r="E12" s="15"/>
      <c r="F12" s="16"/>
      <c r="G12" s="50"/>
    </row>
    <row r="13" spans="1:7">
      <c r="A13" s="18"/>
      <c r="B13" s="18"/>
      <c r="C13" s="19"/>
      <c r="D13" s="19"/>
      <c r="E13" s="5"/>
      <c r="F13" s="5"/>
      <c r="G13" s="5"/>
    </row>
    <row r="14" spans="1:7">
      <c r="A14" s="18"/>
      <c r="B14" s="18"/>
      <c r="C14" s="19"/>
      <c r="D14" s="19"/>
      <c r="E14" s="5"/>
      <c r="F14" s="5"/>
      <c r="G14" s="5"/>
    </row>
    <row r="15" spans="1:7">
      <c r="A15" s="47"/>
      <c r="B15" s="47"/>
      <c r="C15" s="48"/>
      <c r="D15" s="48"/>
      <c r="E15" s="1"/>
      <c r="F15" s="1"/>
      <c r="G15" s="1"/>
    </row>
    <row r="16" spans="1:7">
      <c r="A16" s="47"/>
      <c r="B16" s="47"/>
      <c r="C16" s="48"/>
      <c r="D16" s="48"/>
      <c r="E16" s="1"/>
      <c r="F16" s="1"/>
      <c r="G16" s="1"/>
    </row>
    <row r="17" spans="1:7">
      <c r="A17" s="6"/>
      <c r="B17" s="6"/>
      <c r="C17" s="48"/>
      <c r="D17" s="48"/>
      <c r="E17" s="1"/>
      <c r="F17" s="1"/>
      <c r="G17" s="8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21</v>
      </c>
      <c r="B19" s="1"/>
      <c r="C19" s="1">
        <v>30</v>
      </c>
      <c r="D19" s="1"/>
      <c r="E19" s="1"/>
      <c r="F19" s="1"/>
      <c r="G19" s="1"/>
    </row>
    <row r="20" spans="1:7">
      <c r="A20" s="1" t="s">
        <v>22</v>
      </c>
      <c r="B20" s="1"/>
      <c r="C20" s="1">
        <v>6</v>
      </c>
      <c r="D20" s="7">
        <f>C20/C19</f>
        <v>0.2</v>
      </c>
      <c r="E20" s="1"/>
      <c r="F20" s="1"/>
      <c r="G20" s="1"/>
    </row>
    <row r="21" spans="1:7">
      <c r="A21" s="1" t="s">
        <v>30</v>
      </c>
      <c r="B21" s="1"/>
      <c r="C21" s="1">
        <v>4</v>
      </c>
      <c r="D21" s="7">
        <f>C21/C19</f>
        <v>0.13333333333333333</v>
      </c>
      <c r="E21" s="1"/>
      <c r="F21" s="1"/>
      <c r="G21" s="1"/>
    </row>
  </sheetData>
  <mergeCells count="1">
    <mergeCell ref="A1:G1"/>
  </mergeCells>
  <hyperlinks>
    <hyperlink ref="A4" r:id="rId1" display="87481" xr:uid="{6E575623-9DEC-4437-92A8-79BAC7977E88}"/>
    <hyperlink ref="B4" r:id="rId2" display="83055" xr:uid="{33B63317-3A54-4080-BFF3-AA747B1415FF}"/>
    <hyperlink ref="A5" r:id="rId3" display="87463" xr:uid="{4EAD0931-325A-437A-94B9-00B4875C7FBF}"/>
    <hyperlink ref="B5" r:id="rId4" display="85647" xr:uid="{BEC13FC9-2FE0-4957-9F57-CC76178351EC}"/>
    <hyperlink ref="A6" r:id="rId5" display="87174" xr:uid="{835D7E2F-0586-4630-A54B-300C6D37D8D6}"/>
    <hyperlink ref="B6" r:id="rId6" display="7898" xr:uid="{617D7C37-F93C-4D0D-969A-6298D5E67FC7}"/>
    <hyperlink ref="A7" r:id="rId7" display="87148" xr:uid="{33110CA7-E1B0-4B35-956B-4868704E4336}"/>
    <hyperlink ref="B7" r:id="rId8" display="80366" xr:uid="{AFDF7C89-A2AE-43C8-A9E9-96BC6EFE49AB}"/>
    <hyperlink ref="A8" r:id="rId9" display="86556" xr:uid="{EDE03AD6-9B2F-4AE7-B4C7-3637322A1386}"/>
    <hyperlink ref="A9" r:id="rId10" display="85785" xr:uid="{8CF74512-D3B2-4220-AC8A-8235259E580E}"/>
    <hyperlink ref="B9" r:id="rId11" display="76192" xr:uid="{D372BA50-A71F-4D7F-85B0-EC780598384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DB22-3E73-4203-93B2-D3A94F12B540}">
  <dimension ref="A1:G17"/>
  <sheetViews>
    <sheetView workbookViewId="0">
      <selection activeCell="G19" sqref="G19"/>
    </sheetView>
  </sheetViews>
  <sheetFormatPr defaultRowHeight="15"/>
  <cols>
    <col min="1" max="1" width="18.28515625" customWidth="1"/>
    <col min="2" max="2" width="12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71.85546875" customWidth="1"/>
  </cols>
  <sheetData>
    <row r="1" spans="1:7">
      <c r="A1" s="251" t="s">
        <v>78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21"/>
      <c r="B4" s="21"/>
      <c r="C4" s="26"/>
      <c r="D4" s="26"/>
      <c r="E4" s="26"/>
      <c r="F4" s="26"/>
      <c r="G4" s="26"/>
    </row>
    <row r="5" spans="1:7">
      <c r="A5" s="3"/>
      <c r="B5" s="3"/>
      <c r="C5" s="5"/>
      <c r="D5" s="5"/>
      <c r="E5" s="5"/>
      <c r="F5" s="5"/>
      <c r="G5" s="5"/>
    </row>
    <row r="6" spans="1:7">
      <c r="A6" s="6"/>
      <c r="B6" s="1"/>
      <c r="C6" s="1"/>
      <c r="D6" s="1"/>
      <c r="E6" s="1"/>
      <c r="F6" s="1"/>
      <c r="G6" s="8"/>
    </row>
    <row r="7" spans="1:7">
      <c r="A7" s="6"/>
      <c r="B7" s="6"/>
      <c r="C7" s="1"/>
      <c r="D7" s="254"/>
      <c r="E7" s="254"/>
      <c r="F7" s="254"/>
      <c r="G7" s="1"/>
    </row>
    <row r="8" spans="1:7">
      <c r="A8" s="6"/>
      <c r="B8" s="1"/>
      <c r="C8" s="1"/>
      <c r="D8" s="1"/>
      <c r="E8" s="1"/>
      <c r="F8" s="1"/>
      <c r="G8" s="1"/>
    </row>
    <row r="9" spans="1:7">
      <c r="A9" s="6"/>
      <c r="B9" s="1"/>
      <c r="C9" s="1"/>
      <c r="D9" s="1"/>
      <c r="E9" s="1"/>
      <c r="F9" s="1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 t="s">
        <v>21</v>
      </c>
      <c r="B15" s="1"/>
      <c r="C15" s="1">
        <v>8</v>
      </c>
      <c r="D15" s="1"/>
      <c r="E15" s="1"/>
      <c r="F15" s="1"/>
      <c r="G15" s="1"/>
    </row>
    <row r="16" spans="1:7">
      <c r="A16" s="1" t="s">
        <v>22</v>
      </c>
      <c r="B16" s="1"/>
      <c r="C16" s="1">
        <v>0</v>
      </c>
      <c r="D16" s="7">
        <f>C16/C15</f>
        <v>0</v>
      </c>
      <c r="E16" s="1"/>
      <c r="F16" s="1"/>
      <c r="G16" s="1"/>
    </row>
    <row r="17" spans="1:7">
      <c r="A17" s="1" t="s">
        <v>30</v>
      </c>
      <c r="B17" s="1"/>
      <c r="C17" s="1">
        <v>0</v>
      </c>
      <c r="D17" s="7">
        <f>C17/C15</f>
        <v>0</v>
      </c>
      <c r="E17" s="1"/>
      <c r="F17" s="1"/>
      <c r="G17" s="1"/>
    </row>
  </sheetData>
  <mergeCells count="2">
    <mergeCell ref="A1:G1"/>
    <mergeCell ref="D7:F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4411-2C6B-4FE1-9A06-1BF2356AE165}">
  <dimension ref="A1:G16"/>
  <sheetViews>
    <sheetView workbookViewId="0"/>
  </sheetViews>
  <sheetFormatPr defaultRowHeight="15"/>
  <cols>
    <col min="1" max="1" width="16.28515625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85.7109375" bestFit="1" customWidth="1"/>
  </cols>
  <sheetData>
    <row r="1" spans="1:7">
      <c r="A1" s="251" t="s">
        <v>79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>
      <c r="A4" s="63">
        <v>86273</v>
      </c>
      <c r="B4" s="63">
        <v>80230</v>
      </c>
      <c r="C4" s="49">
        <v>2023</v>
      </c>
      <c r="D4" s="14" t="s">
        <v>12</v>
      </c>
      <c r="E4" s="15" t="s">
        <v>52</v>
      </c>
      <c r="F4" s="16" t="s">
        <v>35</v>
      </c>
      <c r="G4" s="5" t="s">
        <v>80</v>
      </c>
    </row>
    <row r="5" spans="1:7" s="27" customFormat="1">
      <c r="A5" s="64">
        <v>87966</v>
      </c>
      <c r="B5" s="64">
        <v>87350</v>
      </c>
      <c r="C5" s="28">
        <v>2024</v>
      </c>
      <c r="D5" s="28" t="s">
        <v>12</v>
      </c>
      <c r="E5" s="26" t="s">
        <v>35</v>
      </c>
      <c r="F5" s="29" t="s">
        <v>15</v>
      </c>
      <c r="G5" s="26" t="s">
        <v>81</v>
      </c>
    </row>
    <row r="6" spans="1:7">
      <c r="A6" s="18"/>
      <c r="B6" s="18"/>
      <c r="C6" s="19"/>
      <c r="D6" s="19"/>
      <c r="E6" s="5"/>
      <c r="F6" s="5"/>
      <c r="G6" s="5"/>
    </row>
    <row r="7" spans="1:7">
      <c r="A7" s="18"/>
      <c r="B7" s="18"/>
      <c r="C7" s="19"/>
      <c r="D7" s="19"/>
      <c r="E7" s="5"/>
      <c r="F7" s="5"/>
      <c r="G7" s="5"/>
    </row>
    <row r="8" spans="1:7">
      <c r="A8" s="18"/>
      <c r="B8" s="18"/>
      <c r="C8" s="19"/>
      <c r="D8" s="19"/>
      <c r="E8" s="5"/>
      <c r="F8" s="5"/>
      <c r="G8" s="5"/>
    </row>
    <row r="9" spans="1:7">
      <c r="A9" s="18"/>
      <c r="B9" s="18"/>
      <c r="C9" s="19"/>
      <c r="D9" s="19"/>
      <c r="E9" s="5"/>
      <c r="F9" s="5"/>
      <c r="G9" s="5"/>
    </row>
    <row r="10" spans="1:7">
      <c r="A10" s="47"/>
      <c r="B10" s="47"/>
      <c r="C10" s="48"/>
      <c r="D10" s="48"/>
      <c r="E10" s="1"/>
      <c r="F10" s="1"/>
      <c r="G10" s="1"/>
    </row>
    <row r="11" spans="1:7">
      <c r="A11" s="47"/>
      <c r="B11" s="47"/>
      <c r="C11" s="48"/>
      <c r="D11" s="48"/>
      <c r="E11" s="1"/>
      <c r="F11" s="1"/>
      <c r="G11" s="1"/>
    </row>
    <row r="12" spans="1:7">
      <c r="A12" s="6"/>
      <c r="B12" s="6"/>
      <c r="C12" s="48"/>
      <c r="D12" s="48"/>
      <c r="E12" s="1"/>
      <c r="F12" s="1"/>
      <c r="G12" s="8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 t="s">
        <v>21</v>
      </c>
      <c r="B14" s="1"/>
      <c r="C14" s="1">
        <v>28</v>
      </c>
      <c r="D14" s="1"/>
      <c r="E14" s="1"/>
      <c r="F14" s="1"/>
      <c r="G14" s="1"/>
    </row>
    <row r="15" spans="1:7">
      <c r="A15" s="1" t="s">
        <v>22</v>
      </c>
      <c r="B15" s="1"/>
      <c r="C15" s="1">
        <v>2</v>
      </c>
      <c r="D15" s="7">
        <f>C15/C14</f>
        <v>7.1428571428571425E-2</v>
      </c>
      <c r="E15" s="1"/>
      <c r="F15" s="1"/>
      <c r="G15" s="1"/>
    </row>
    <row r="16" spans="1:7">
      <c r="A16" s="1" t="s">
        <v>30</v>
      </c>
      <c r="B16" s="1"/>
      <c r="C16" s="1">
        <v>1</v>
      </c>
      <c r="D16" s="7">
        <f>C16/C14</f>
        <v>3.5714285714285712E-2</v>
      </c>
      <c r="E16" s="1"/>
      <c r="F16" s="1"/>
      <c r="G16" s="1"/>
    </row>
  </sheetData>
  <mergeCells count="1">
    <mergeCell ref="A1:G1"/>
  </mergeCells>
  <hyperlinks>
    <hyperlink ref="A4" r:id="rId1" display="86273" xr:uid="{60F01300-9C67-4CAB-923F-D50E5180951B}"/>
    <hyperlink ref="B4" r:id="rId2" display="80230" xr:uid="{D3D87F30-AA99-4437-AE51-1A645DCC6A0B}"/>
    <hyperlink ref="A5" r:id="rId3" display="87966" xr:uid="{9E6DB3DA-726B-46F6-A178-9E813EBA72A7}"/>
    <hyperlink ref="B5" r:id="rId4" display="87350" xr:uid="{9270BF05-A501-462D-B67F-7CBE342E8DC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D45D-ECA3-4776-95AD-8EB099DB4AB8}">
  <dimension ref="A1:G17"/>
  <sheetViews>
    <sheetView workbookViewId="0"/>
  </sheetViews>
  <sheetFormatPr defaultRowHeight="15"/>
  <cols>
    <col min="1" max="1" width="26" bestFit="1" customWidth="1"/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71.5703125" customWidth="1"/>
  </cols>
  <sheetData>
    <row r="1" spans="1:7">
      <c r="A1" s="251" t="s">
        <v>82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 s="27" customFormat="1">
      <c r="A4" s="21">
        <v>87992</v>
      </c>
      <c r="B4" s="21" t="s">
        <v>17</v>
      </c>
      <c r="C4" s="26"/>
      <c r="D4" s="26"/>
      <c r="E4" s="26"/>
      <c r="F4" s="26"/>
      <c r="G4" s="26"/>
    </row>
    <row r="5" spans="1:7" s="27" customFormat="1">
      <c r="A5" s="21">
        <v>86444</v>
      </c>
      <c r="B5" s="21" t="s">
        <v>17</v>
      </c>
      <c r="C5" s="26"/>
      <c r="D5" s="26"/>
      <c r="E5" s="26"/>
      <c r="F5" s="26"/>
      <c r="G5" s="26"/>
    </row>
    <row r="6" spans="1:7">
      <c r="A6" s="18">
        <v>86061</v>
      </c>
      <c r="B6" s="18">
        <v>85420</v>
      </c>
      <c r="C6" s="5">
        <v>2024</v>
      </c>
      <c r="D6" s="5" t="s">
        <v>1</v>
      </c>
      <c r="E6" s="5" t="s">
        <v>59</v>
      </c>
      <c r="F6" s="5" t="s">
        <v>59</v>
      </c>
      <c r="G6" s="5"/>
    </row>
    <row r="7" spans="1:7">
      <c r="A7" s="3"/>
      <c r="B7" s="3"/>
      <c r="C7" s="5"/>
      <c r="D7" s="5"/>
      <c r="E7" s="5"/>
      <c r="F7" s="5"/>
      <c r="G7" s="5"/>
    </row>
    <row r="8" spans="1:7">
      <c r="A8" s="6"/>
      <c r="B8" s="1"/>
      <c r="C8" s="1"/>
      <c r="D8" s="1"/>
      <c r="E8" s="1"/>
      <c r="F8" s="1"/>
      <c r="G8" s="8"/>
    </row>
    <row r="9" spans="1:7">
      <c r="A9" s="6"/>
      <c r="B9" s="6"/>
      <c r="C9" s="1"/>
      <c r="D9" s="254"/>
      <c r="E9" s="254"/>
      <c r="F9" s="254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 t="s">
        <v>21</v>
      </c>
      <c r="B15" s="1"/>
      <c r="C15" s="1">
        <v>9</v>
      </c>
      <c r="D15" s="1"/>
      <c r="E15" s="1"/>
      <c r="F15" s="1"/>
      <c r="G15" s="1"/>
    </row>
    <row r="16" spans="1:7">
      <c r="A16" s="1" t="s">
        <v>22</v>
      </c>
      <c r="B16" s="1"/>
      <c r="C16" s="1">
        <v>3</v>
      </c>
      <c r="D16" s="7">
        <f>C16/C15</f>
        <v>0.33333333333333331</v>
      </c>
      <c r="E16" s="1"/>
      <c r="F16" s="1"/>
      <c r="G16" s="1"/>
    </row>
    <row r="17" spans="1:7">
      <c r="A17" s="1" t="s">
        <v>30</v>
      </c>
      <c r="B17" s="1"/>
      <c r="C17" s="1">
        <v>1</v>
      </c>
      <c r="D17" s="7">
        <f>C17/C15</f>
        <v>0.1111111111111111</v>
      </c>
      <c r="E17" s="1"/>
      <c r="F17" s="1"/>
      <c r="G17" s="1"/>
    </row>
  </sheetData>
  <mergeCells count="2">
    <mergeCell ref="A1:G1"/>
    <mergeCell ref="D9:F9"/>
  </mergeCells>
  <hyperlinks>
    <hyperlink ref="A4" r:id="rId1" display="87992" xr:uid="{9470A916-0D1F-4958-AF13-5378FD6E178C}"/>
    <hyperlink ref="A5" r:id="rId2" display="86444" xr:uid="{6101F9C7-A587-48BC-B13A-68E38EB116A0}"/>
    <hyperlink ref="A6" r:id="rId3" display="86061" xr:uid="{BFC2984C-E8B7-4664-A620-103942B9E118}"/>
    <hyperlink ref="B6" r:id="rId4" display="85420" xr:uid="{07F1DF1A-A865-4A17-A225-7B0E7D2D169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68E1-1EB4-44AB-B109-2F348AF79591}">
  <dimension ref="A1:G16"/>
  <sheetViews>
    <sheetView workbookViewId="0">
      <selection activeCell="D21" sqref="D21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17.5703125" customWidth="1"/>
  </cols>
  <sheetData>
    <row r="1" spans="1:7">
      <c r="A1" s="251" t="s">
        <v>83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27" customFormat="1">
      <c r="A4" s="64">
        <v>87646</v>
      </c>
      <c r="B4" s="64">
        <v>35685</v>
      </c>
      <c r="C4" s="22">
        <v>2015</v>
      </c>
      <c r="D4" s="23" t="s">
        <v>12</v>
      </c>
      <c r="E4" s="24"/>
      <c r="F4" s="25"/>
      <c r="G4" s="26"/>
    </row>
    <row r="5" spans="1:7">
      <c r="A5" s="63">
        <v>88512</v>
      </c>
      <c r="B5" s="63">
        <v>73747</v>
      </c>
      <c r="C5" s="19">
        <v>2024</v>
      </c>
      <c r="D5" s="19" t="s">
        <v>12</v>
      </c>
      <c r="E5" s="5" t="s">
        <v>35</v>
      </c>
      <c r="F5" s="20" t="s">
        <v>15</v>
      </c>
      <c r="G5" s="5" t="s">
        <v>84</v>
      </c>
    </row>
    <row r="6" spans="1:7">
      <c r="A6" s="18"/>
      <c r="B6" s="18"/>
      <c r="C6" s="19"/>
      <c r="D6" s="19"/>
      <c r="E6" s="5"/>
      <c r="F6" s="5"/>
      <c r="G6" s="5"/>
    </row>
    <row r="7" spans="1:7">
      <c r="A7" s="18"/>
      <c r="B7" s="18"/>
      <c r="C7" s="19"/>
      <c r="D7" s="19"/>
      <c r="E7" s="5"/>
      <c r="F7" s="5"/>
      <c r="G7" s="5"/>
    </row>
    <row r="8" spans="1:7">
      <c r="A8" s="18"/>
      <c r="B8" s="18"/>
      <c r="C8" s="19"/>
      <c r="D8" s="19"/>
      <c r="E8" s="5"/>
      <c r="F8" s="5"/>
      <c r="G8" s="5"/>
    </row>
    <row r="9" spans="1:7">
      <c r="A9" s="18"/>
      <c r="B9" s="18"/>
      <c r="C9" s="19"/>
      <c r="D9" s="19"/>
      <c r="E9" s="5"/>
      <c r="F9" s="5"/>
      <c r="G9" s="5"/>
    </row>
    <row r="10" spans="1:7">
      <c r="A10" s="47"/>
      <c r="B10" s="47"/>
      <c r="C10" s="48"/>
      <c r="D10" s="48"/>
      <c r="E10" s="1"/>
      <c r="F10" s="1"/>
      <c r="G10" s="1"/>
    </row>
    <row r="11" spans="1:7">
      <c r="A11" s="47"/>
      <c r="B11" s="47"/>
      <c r="C11" s="48"/>
      <c r="D11" s="48"/>
      <c r="E11" s="1"/>
      <c r="F11" s="1"/>
      <c r="G11" s="1"/>
    </row>
    <row r="12" spans="1:7">
      <c r="A12" s="6"/>
      <c r="B12" s="6"/>
      <c r="C12" s="48"/>
      <c r="D12" s="48"/>
      <c r="E12" s="1"/>
      <c r="F12" s="1"/>
      <c r="G12" s="8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 t="s">
        <v>21</v>
      </c>
      <c r="B14" s="1"/>
      <c r="C14" s="1">
        <v>21</v>
      </c>
      <c r="D14" s="1"/>
      <c r="E14" s="1"/>
      <c r="F14" s="1"/>
      <c r="G14" s="1"/>
    </row>
    <row r="15" spans="1:7">
      <c r="A15" s="1" t="s">
        <v>22</v>
      </c>
      <c r="B15" s="1"/>
      <c r="C15" s="1">
        <v>2</v>
      </c>
      <c r="D15" s="7">
        <f>C15/C14</f>
        <v>9.5238095238095233E-2</v>
      </c>
      <c r="E15" s="1"/>
      <c r="F15" s="1"/>
      <c r="G15" s="1"/>
    </row>
    <row r="16" spans="1:7">
      <c r="A16" s="1" t="s">
        <v>30</v>
      </c>
      <c r="B16" s="1"/>
      <c r="C16" s="1">
        <v>1</v>
      </c>
      <c r="D16" s="7">
        <f>C16/C14</f>
        <v>4.7619047619047616E-2</v>
      </c>
      <c r="E16" s="1"/>
      <c r="F16" s="1"/>
      <c r="G16" s="1"/>
    </row>
  </sheetData>
  <mergeCells count="1">
    <mergeCell ref="A1:G1"/>
  </mergeCells>
  <hyperlinks>
    <hyperlink ref="A4" r:id="rId1" display="87646" xr:uid="{2F26B19D-CF96-4E72-9D17-1CB1827A1898}"/>
    <hyperlink ref="B4" r:id="rId2" display="35685" xr:uid="{9A9552C8-BD95-443E-911B-949A8908B164}"/>
    <hyperlink ref="A5" r:id="rId3" display="88512" xr:uid="{3D5EB21C-5A08-474B-9A32-AB43CDBFA2CB}"/>
    <hyperlink ref="B5" r:id="rId4" display="73747" xr:uid="{6F0E9999-C2B9-4FE0-9CC9-9FFAB8AC8B56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9C22-9C5F-464A-85BF-F0B2DCBA824F}">
  <dimension ref="A1:G17"/>
  <sheetViews>
    <sheetView workbookViewId="0">
      <selection activeCell="G17" sqref="G17"/>
    </sheetView>
  </sheetViews>
  <sheetFormatPr defaultRowHeight="15"/>
  <cols>
    <col min="1" max="1" width="10.5703125" customWidth="1"/>
    <col min="2" max="2" width="15.28515625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65.5703125" customWidth="1"/>
  </cols>
  <sheetData>
    <row r="1" spans="1:7">
      <c r="A1" s="251" t="s">
        <v>85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 s="27" customFormat="1">
      <c r="A4" s="21">
        <v>86240</v>
      </c>
      <c r="B4" s="21" t="s">
        <v>17</v>
      </c>
      <c r="C4" s="26"/>
      <c r="D4" s="26"/>
      <c r="E4" s="26"/>
      <c r="F4" s="26"/>
      <c r="G4" s="26"/>
    </row>
    <row r="5" spans="1:7" s="27" customFormat="1">
      <c r="A5" s="21">
        <v>88483</v>
      </c>
      <c r="B5" s="21" t="s">
        <v>17</v>
      </c>
      <c r="C5" s="26"/>
      <c r="D5" s="26"/>
      <c r="E5" s="26"/>
      <c r="F5" s="26"/>
      <c r="G5" s="26"/>
    </row>
    <row r="6" spans="1:7">
      <c r="A6" s="18"/>
      <c r="B6" s="18"/>
      <c r="C6" s="5"/>
      <c r="D6" s="5"/>
      <c r="E6" s="5"/>
      <c r="F6" s="5"/>
      <c r="G6" s="5"/>
    </row>
    <row r="7" spans="1:7">
      <c r="A7" s="3"/>
      <c r="B7" s="3"/>
      <c r="C7" s="5"/>
      <c r="D7" s="5"/>
      <c r="E7" s="5"/>
      <c r="F7" s="5"/>
      <c r="G7" s="5"/>
    </row>
    <row r="8" spans="1:7">
      <c r="A8" s="6"/>
      <c r="B8" s="1"/>
      <c r="C8" s="1"/>
      <c r="D8" s="1"/>
      <c r="E8" s="1"/>
      <c r="F8" s="1"/>
      <c r="G8" s="8"/>
    </row>
    <row r="9" spans="1:7">
      <c r="A9" s="6"/>
      <c r="B9" s="6"/>
      <c r="C9" s="1"/>
      <c r="D9" s="254"/>
      <c r="E9" s="254"/>
      <c r="F9" s="254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 t="s">
        <v>21</v>
      </c>
      <c r="B15" s="1"/>
      <c r="C15" s="1">
        <v>9</v>
      </c>
      <c r="D15" s="1"/>
      <c r="E15" s="1"/>
      <c r="F15" s="1"/>
      <c r="G15" s="1"/>
    </row>
    <row r="16" spans="1:7">
      <c r="A16" s="1" t="s">
        <v>22</v>
      </c>
      <c r="B16" s="1"/>
      <c r="C16" s="1">
        <v>2</v>
      </c>
      <c r="D16" s="7">
        <f>C16/C15</f>
        <v>0.22222222222222221</v>
      </c>
      <c r="E16" s="1"/>
      <c r="F16" s="1"/>
      <c r="G16" s="1"/>
    </row>
    <row r="17" spans="1:7">
      <c r="A17" s="1" t="s">
        <v>30</v>
      </c>
      <c r="B17" s="1"/>
      <c r="C17" s="1">
        <v>0</v>
      </c>
      <c r="D17" s="7">
        <f>C17/C15</f>
        <v>0</v>
      </c>
      <c r="E17" s="1"/>
      <c r="F17" s="1"/>
      <c r="G17" s="1"/>
    </row>
  </sheetData>
  <mergeCells count="2">
    <mergeCell ref="A1:G1"/>
    <mergeCell ref="D9:F9"/>
  </mergeCells>
  <hyperlinks>
    <hyperlink ref="A4" r:id="rId1" display="86240" xr:uid="{643108DB-3587-4DDA-AF4F-990595EB1F4E}"/>
    <hyperlink ref="A5" r:id="rId2" display="88483" xr:uid="{DAAA068D-F7DE-4ACE-94FC-B755555FAE9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CCB7-3CBF-4949-B0B1-76891B931076}">
  <dimension ref="A1:H19"/>
  <sheetViews>
    <sheetView workbookViewId="0">
      <selection activeCell="B10" sqref="B10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26.28515625" customWidth="1"/>
  </cols>
  <sheetData>
    <row r="1" spans="1:8">
      <c r="A1" s="251" t="s">
        <v>86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8" s="27" customFormat="1">
      <c r="A4" s="64">
        <v>87382</v>
      </c>
      <c r="B4" s="64" t="s">
        <v>17</v>
      </c>
      <c r="C4" s="22"/>
      <c r="D4" s="23"/>
      <c r="E4" s="24"/>
      <c r="F4" s="25"/>
      <c r="G4" s="24"/>
    </row>
    <row r="5" spans="1:8">
      <c r="A5" s="63">
        <v>88237</v>
      </c>
      <c r="B5" s="63">
        <v>86273</v>
      </c>
      <c r="C5" s="19">
        <v>2024</v>
      </c>
      <c r="D5" s="19" t="s">
        <v>1</v>
      </c>
      <c r="E5" s="5" t="s">
        <v>87</v>
      </c>
      <c r="F5" s="20" t="s">
        <v>35</v>
      </c>
      <c r="G5" s="5" t="s">
        <v>88</v>
      </c>
    </row>
    <row r="6" spans="1:8">
      <c r="A6" s="63">
        <v>89145</v>
      </c>
      <c r="B6" s="18">
        <v>85209</v>
      </c>
      <c r="C6" s="19">
        <v>2024</v>
      </c>
      <c r="D6" s="19" t="s">
        <v>12</v>
      </c>
      <c r="E6" s="5" t="s">
        <v>52</v>
      </c>
      <c r="F6" s="20" t="s">
        <v>35</v>
      </c>
      <c r="G6" s="5" t="s">
        <v>89</v>
      </c>
    </row>
    <row r="7" spans="1:8">
      <c r="A7" s="63">
        <v>89257</v>
      </c>
      <c r="B7" s="63">
        <v>76208</v>
      </c>
      <c r="C7" s="19">
        <v>2024</v>
      </c>
      <c r="D7" s="19" t="s">
        <v>26</v>
      </c>
      <c r="E7" s="5" t="s">
        <v>34</v>
      </c>
      <c r="F7" s="5" t="s">
        <v>19</v>
      </c>
      <c r="G7" s="71" t="s">
        <v>90</v>
      </c>
      <c r="H7" t="s">
        <v>91</v>
      </c>
    </row>
    <row r="8" spans="1:8">
      <c r="A8" s="63">
        <v>89278</v>
      </c>
      <c r="B8" s="63">
        <v>83219</v>
      </c>
      <c r="C8" s="19">
        <v>2023</v>
      </c>
      <c r="D8" s="19" t="s">
        <v>8</v>
      </c>
      <c r="E8" s="5" t="s">
        <v>61</v>
      </c>
      <c r="F8" s="5" t="s">
        <v>35</v>
      </c>
      <c r="G8" s="5" t="s">
        <v>92</v>
      </c>
    </row>
    <row r="9" spans="1:8" s="27" customFormat="1">
      <c r="A9" s="64">
        <v>89395</v>
      </c>
      <c r="B9" s="64">
        <v>33209</v>
      </c>
      <c r="C9" s="28">
        <v>2014</v>
      </c>
      <c r="D9" s="28" t="s">
        <v>12</v>
      </c>
      <c r="E9" s="26"/>
      <c r="F9" s="26"/>
      <c r="G9" s="26"/>
    </row>
    <row r="10" spans="1:8">
      <c r="A10" s="63">
        <v>89381</v>
      </c>
      <c r="B10" s="63">
        <v>85105</v>
      </c>
      <c r="C10" s="19">
        <v>2024</v>
      </c>
      <c r="D10" s="19" t="s">
        <v>8</v>
      </c>
      <c r="E10" s="5" t="s">
        <v>93</v>
      </c>
      <c r="F10" s="5" t="s">
        <v>19</v>
      </c>
      <c r="G10" s="5" t="s">
        <v>94</v>
      </c>
    </row>
    <row r="11" spans="1:8">
      <c r="A11" s="63">
        <v>89524</v>
      </c>
      <c r="B11" s="63">
        <v>88173</v>
      </c>
      <c r="C11" s="19">
        <v>2024</v>
      </c>
      <c r="D11" s="19" t="s">
        <v>12</v>
      </c>
      <c r="E11" s="5" t="s">
        <v>49</v>
      </c>
      <c r="F11" s="5" t="s">
        <v>35</v>
      </c>
      <c r="G11" s="5" t="s">
        <v>95</v>
      </c>
    </row>
    <row r="12" spans="1:8">
      <c r="A12" s="63"/>
      <c r="B12" s="63"/>
      <c r="C12" s="19"/>
      <c r="D12" s="19"/>
      <c r="E12" s="5"/>
      <c r="F12" s="5"/>
      <c r="G12" s="5"/>
    </row>
    <row r="13" spans="1:8">
      <c r="A13" s="47"/>
      <c r="B13" s="47"/>
      <c r="C13" s="48"/>
      <c r="D13" s="48"/>
      <c r="E13" s="1"/>
      <c r="F13" s="1"/>
      <c r="G13" s="1"/>
    </row>
    <row r="14" spans="1:8">
      <c r="A14" s="47"/>
      <c r="B14" s="47"/>
      <c r="C14" s="48"/>
      <c r="D14" s="48"/>
      <c r="E14" s="1"/>
      <c r="F14" s="1"/>
      <c r="G14" s="1"/>
    </row>
    <row r="15" spans="1:8">
      <c r="A15" s="6"/>
      <c r="B15" s="6"/>
      <c r="C15" s="48"/>
      <c r="D15" s="48"/>
      <c r="E15" s="1"/>
      <c r="F15" s="1"/>
      <c r="G15" s="8"/>
    </row>
    <row r="16" spans="1:8">
      <c r="A16" s="1"/>
      <c r="B16" s="1"/>
      <c r="C16" s="1"/>
      <c r="D16" s="1"/>
      <c r="E16" s="1"/>
      <c r="F16" s="1"/>
      <c r="G16" s="1"/>
    </row>
    <row r="17" spans="1:7">
      <c r="A17" s="1" t="s">
        <v>21</v>
      </c>
      <c r="B17" s="1"/>
      <c r="C17" s="1">
        <v>22</v>
      </c>
      <c r="D17" s="1"/>
      <c r="E17" s="1"/>
      <c r="F17" s="1"/>
      <c r="G17" s="1"/>
    </row>
    <row r="18" spans="1:7">
      <c r="A18" s="1" t="s">
        <v>22</v>
      </c>
      <c r="B18" s="1"/>
      <c r="C18" s="1">
        <v>8</v>
      </c>
      <c r="D18" s="7">
        <f>C18/C17</f>
        <v>0.36363636363636365</v>
      </c>
      <c r="E18" s="1"/>
      <c r="F18" s="1"/>
      <c r="G18" s="1"/>
    </row>
    <row r="19" spans="1:7">
      <c r="A19" s="1" t="s">
        <v>30</v>
      </c>
      <c r="B19" s="1"/>
      <c r="C19" s="1">
        <v>6</v>
      </c>
      <c r="D19" s="7">
        <f>C19/C17</f>
        <v>0.27272727272727271</v>
      </c>
      <c r="E19" s="1"/>
      <c r="F19" s="1"/>
      <c r="G19" s="1"/>
    </row>
  </sheetData>
  <mergeCells count="1">
    <mergeCell ref="A1:G1"/>
  </mergeCells>
  <hyperlinks>
    <hyperlink ref="A4" r:id="rId1" display="87382" xr:uid="{3E2E1FE8-848E-48D8-8159-881D323FFB82}"/>
    <hyperlink ref="A5" r:id="rId2" display="88237" xr:uid="{88F9A590-CE9E-4232-9EA2-000066BB7928}"/>
    <hyperlink ref="B5" r:id="rId3" display="86273" xr:uid="{6F519B97-4DF3-422F-BE6D-C3D2A90159E1}"/>
    <hyperlink ref="A6" r:id="rId4" display="89145" xr:uid="{B59F5BF1-25A1-41AD-B054-1BD97E358E1C}"/>
    <hyperlink ref="A7" r:id="rId5" display="89257" xr:uid="{AB96ECE4-B977-4E10-BF1F-E42262D1284E}"/>
    <hyperlink ref="B7" r:id="rId6" display="76208" xr:uid="{9CCE89C7-66FE-4FEC-8B9E-961E1CF41BE3}"/>
    <hyperlink ref="A8" r:id="rId7" display="89278" xr:uid="{58087064-33D6-4149-B42F-4E37C46C2FA8}"/>
    <hyperlink ref="B8" r:id="rId8" display="83219" xr:uid="{6AC99CFA-4124-4434-8343-5C7B65E1E70C}"/>
    <hyperlink ref="A9" r:id="rId9" display="89395" xr:uid="{0A8411A2-7E02-4E57-8E2D-69F4C9400AB5}"/>
    <hyperlink ref="B9" r:id="rId10" display="33209" xr:uid="{D17CB510-0D8A-41BE-A933-107EC84E27E5}"/>
    <hyperlink ref="A10" r:id="rId11" display="89381" xr:uid="{6196F126-29D1-492C-BC81-8676932634BB}"/>
    <hyperlink ref="B10" r:id="rId12" display="85105" xr:uid="{7F0DA3CB-C1AB-4E4E-952C-5F4DF1A9B30A}"/>
    <hyperlink ref="A11" r:id="rId13" display="89524" xr:uid="{7307EE1E-9AC9-4AB0-9DB0-D0DA946C6E69}"/>
    <hyperlink ref="B11" r:id="rId14" display="88173" xr:uid="{17A09466-9232-4273-883C-42DF05B2326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9EE4-E0FF-45CA-BF6E-DD4120B68892}">
  <dimension ref="A1:G17"/>
  <sheetViews>
    <sheetView workbookViewId="0">
      <selection activeCell="D17" sqref="D17"/>
    </sheetView>
  </sheetViews>
  <sheetFormatPr defaultRowHeight="15"/>
  <cols>
    <col min="1" max="1" width="10.5703125" customWidth="1"/>
    <col min="2" max="2" width="15.28515625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65.5703125" customWidth="1"/>
  </cols>
  <sheetData>
    <row r="1" spans="1:7">
      <c r="A1" s="251" t="s">
        <v>85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 s="27" customFormat="1">
      <c r="A4" s="64">
        <v>87915</v>
      </c>
      <c r="B4" s="64">
        <v>36739</v>
      </c>
      <c r="C4" s="26">
        <v>2015</v>
      </c>
      <c r="D4" s="26"/>
      <c r="E4" s="26"/>
      <c r="F4" s="26"/>
      <c r="G4" s="26"/>
    </row>
    <row r="5" spans="1:7" s="27" customFormat="1">
      <c r="A5" s="64">
        <v>87575</v>
      </c>
      <c r="B5" s="21" t="s">
        <v>17</v>
      </c>
      <c r="C5" s="26"/>
      <c r="D5" s="26"/>
      <c r="E5" s="26"/>
      <c r="F5" s="26"/>
      <c r="G5" s="26"/>
    </row>
    <row r="6" spans="1:7">
      <c r="A6" s="18"/>
      <c r="B6" s="18"/>
      <c r="C6" s="5"/>
      <c r="D6" s="5"/>
      <c r="E6" s="5"/>
      <c r="F6" s="5"/>
      <c r="G6" s="5"/>
    </row>
    <row r="7" spans="1:7">
      <c r="A7" s="3"/>
      <c r="B7" s="3"/>
      <c r="C7" s="5"/>
      <c r="D7" s="5"/>
      <c r="E7" s="5"/>
      <c r="F7" s="5"/>
      <c r="G7" s="5"/>
    </row>
    <row r="8" spans="1:7">
      <c r="A8" s="6"/>
      <c r="B8" s="1"/>
      <c r="C8" s="1"/>
      <c r="D8" s="1"/>
      <c r="E8" s="1"/>
      <c r="F8" s="1"/>
      <c r="G8" s="8"/>
    </row>
    <row r="9" spans="1:7">
      <c r="A9" s="6"/>
      <c r="B9" s="6"/>
      <c r="C9" s="1"/>
      <c r="D9" s="254"/>
      <c r="E9" s="254"/>
      <c r="F9" s="254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 t="s">
        <v>21</v>
      </c>
      <c r="B15" s="1"/>
      <c r="C15" s="1">
        <v>12</v>
      </c>
      <c r="D15" s="1"/>
      <c r="E15" s="1"/>
      <c r="F15" s="1"/>
      <c r="G15" s="1"/>
    </row>
    <row r="16" spans="1:7">
      <c r="A16" s="1" t="s">
        <v>22</v>
      </c>
      <c r="B16" s="1"/>
      <c r="C16" s="1">
        <v>2</v>
      </c>
      <c r="D16" s="7">
        <f>C16/C15</f>
        <v>0.16666666666666666</v>
      </c>
      <c r="E16" s="1"/>
      <c r="F16" s="1"/>
      <c r="G16" s="1"/>
    </row>
    <row r="17" spans="1:7">
      <c r="A17" s="1" t="s">
        <v>30</v>
      </c>
      <c r="B17" s="1"/>
      <c r="C17" s="1">
        <v>0</v>
      </c>
      <c r="D17" s="7">
        <f>C17/C15</f>
        <v>0</v>
      </c>
      <c r="E17" s="1"/>
      <c r="F17" s="1"/>
      <c r="G17" s="1"/>
    </row>
  </sheetData>
  <mergeCells count="2">
    <mergeCell ref="A1:G1"/>
    <mergeCell ref="D9:F9"/>
  </mergeCells>
  <hyperlinks>
    <hyperlink ref="A4" r:id="rId1" display="87915" xr:uid="{CA7294F6-5714-4DA1-94C6-4CB643F59F55}"/>
    <hyperlink ref="B4" r:id="rId2" display="36739" xr:uid="{ABE7F527-03BC-486B-B3BE-EB534F324D16}"/>
    <hyperlink ref="A5" r:id="rId3" display="87575" xr:uid="{6E3EB8D1-3E75-4831-8767-74078AD4E1F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AFB0-2A8B-452C-A17A-8574224FCA7D}">
  <dimension ref="A1:H19"/>
  <sheetViews>
    <sheetView workbookViewId="0">
      <selection activeCell="G8" sqref="G8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8">
      <c r="A1" s="251" t="s">
        <v>86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8" s="27" customFormat="1">
      <c r="A4" s="64">
        <v>88732</v>
      </c>
      <c r="B4" s="64">
        <v>20373</v>
      </c>
      <c r="C4" s="22">
        <v>2012</v>
      </c>
      <c r="D4" s="23" t="s">
        <v>12</v>
      </c>
      <c r="E4" s="24"/>
      <c r="F4" s="25"/>
      <c r="G4" s="24"/>
    </row>
    <row r="5" spans="1:8">
      <c r="A5" s="63">
        <v>89152</v>
      </c>
      <c r="B5" s="63">
        <v>77258</v>
      </c>
      <c r="C5" s="19">
        <v>2022</v>
      </c>
      <c r="D5" s="19" t="s">
        <v>8</v>
      </c>
      <c r="E5" s="5" t="s">
        <v>61</v>
      </c>
      <c r="F5" s="20" t="s">
        <v>15</v>
      </c>
      <c r="G5" s="5" t="s">
        <v>96</v>
      </c>
    </row>
    <row r="6" spans="1:8">
      <c r="A6" s="63">
        <v>89773</v>
      </c>
      <c r="B6" s="63">
        <v>73747</v>
      </c>
      <c r="C6" s="19">
        <v>2022</v>
      </c>
      <c r="D6" s="19" t="s">
        <v>12</v>
      </c>
      <c r="E6" s="5" t="s">
        <v>35</v>
      </c>
      <c r="F6" s="20" t="s">
        <v>15</v>
      </c>
      <c r="G6" s="5" t="s">
        <v>97</v>
      </c>
    </row>
    <row r="7" spans="1:8">
      <c r="A7" s="63">
        <v>89963</v>
      </c>
      <c r="B7" s="63">
        <v>88600</v>
      </c>
      <c r="C7" s="19">
        <v>2024</v>
      </c>
      <c r="D7" s="19" t="s">
        <v>8</v>
      </c>
      <c r="E7" s="5" t="s">
        <v>98</v>
      </c>
      <c r="F7" s="20" t="s">
        <v>33</v>
      </c>
      <c r="G7" s="5" t="s">
        <v>99</v>
      </c>
      <c r="H7" t="s">
        <v>100</v>
      </c>
    </row>
    <row r="8" spans="1:8">
      <c r="A8" s="63">
        <v>90082</v>
      </c>
      <c r="B8" s="63">
        <v>84108</v>
      </c>
      <c r="C8" s="19">
        <v>2024</v>
      </c>
      <c r="D8" s="19" t="s">
        <v>8</v>
      </c>
      <c r="E8" s="5" t="s">
        <v>101</v>
      </c>
      <c r="F8" s="20" t="s">
        <v>35</v>
      </c>
      <c r="G8" s="5" t="s">
        <v>102</v>
      </c>
    </row>
    <row r="9" spans="1:8" s="27" customFormat="1">
      <c r="A9" s="63"/>
      <c r="B9" s="63"/>
      <c r="C9" s="19"/>
      <c r="D9" s="19"/>
      <c r="E9" s="5"/>
      <c r="F9" s="5"/>
      <c r="G9" s="71" t="s">
        <v>103</v>
      </c>
      <c r="H9"/>
    </row>
    <row r="10" spans="1:8">
      <c r="A10" s="63"/>
      <c r="B10" s="63"/>
      <c r="C10" s="19"/>
      <c r="D10" s="19"/>
      <c r="E10" s="5"/>
      <c r="F10" s="5"/>
      <c r="G10" s="5"/>
    </row>
    <row r="11" spans="1:8">
      <c r="A11" s="63"/>
      <c r="B11" s="63"/>
      <c r="C11" s="19"/>
      <c r="D11" s="19"/>
      <c r="E11" s="5"/>
      <c r="F11" s="5"/>
      <c r="G11" s="5"/>
    </row>
    <row r="12" spans="1:8">
      <c r="A12" s="63"/>
      <c r="B12" s="63"/>
      <c r="C12" s="19"/>
      <c r="D12" s="19"/>
      <c r="E12" s="5"/>
      <c r="F12" s="5"/>
      <c r="G12" s="5"/>
    </row>
    <row r="13" spans="1:8">
      <c r="A13" s="47"/>
      <c r="B13" s="47"/>
      <c r="C13" s="48"/>
      <c r="D13" s="48"/>
      <c r="E13" s="1"/>
      <c r="F13" s="1"/>
      <c r="G13" s="1"/>
    </row>
    <row r="14" spans="1:8">
      <c r="A14" s="47"/>
      <c r="B14" s="47"/>
      <c r="C14" s="48"/>
      <c r="D14" s="48"/>
      <c r="E14" s="1"/>
      <c r="F14" s="1"/>
      <c r="G14" s="1"/>
    </row>
    <row r="15" spans="1:8">
      <c r="A15" s="6"/>
      <c r="B15" s="6"/>
      <c r="C15" s="48"/>
      <c r="D15" s="48"/>
      <c r="E15" s="1"/>
      <c r="F15" s="1"/>
      <c r="G15" s="8"/>
    </row>
    <row r="16" spans="1:8">
      <c r="A16" s="1"/>
      <c r="B16" s="1"/>
      <c r="C16" s="1"/>
      <c r="D16" s="1"/>
      <c r="E16" s="1"/>
      <c r="F16" s="1"/>
      <c r="G16" s="1"/>
    </row>
    <row r="17" spans="1:7">
      <c r="A17" s="1" t="s">
        <v>21</v>
      </c>
      <c r="B17" s="1"/>
      <c r="C17" s="1">
        <v>32</v>
      </c>
      <c r="D17" s="1"/>
      <c r="E17" s="1"/>
      <c r="F17" s="1"/>
      <c r="G17" s="1"/>
    </row>
    <row r="18" spans="1:7">
      <c r="A18" s="1" t="s">
        <v>22</v>
      </c>
      <c r="B18" s="1"/>
      <c r="C18" s="1">
        <v>5</v>
      </c>
      <c r="D18" s="7">
        <f>C18/C17</f>
        <v>0.15625</v>
      </c>
      <c r="E18" s="1"/>
      <c r="F18" s="1"/>
      <c r="G18" s="1"/>
    </row>
    <row r="19" spans="1:7">
      <c r="A19" s="1" t="s">
        <v>30</v>
      </c>
      <c r="B19" s="1"/>
      <c r="C19" s="1">
        <v>4</v>
      </c>
      <c r="D19" s="7">
        <f>C19/C17</f>
        <v>0.125</v>
      </c>
      <c r="E19" s="1"/>
      <c r="F19" s="1"/>
      <c r="G19" s="1"/>
    </row>
  </sheetData>
  <mergeCells count="1">
    <mergeCell ref="A1:G1"/>
  </mergeCells>
  <hyperlinks>
    <hyperlink ref="A4" r:id="rId1" display="88732" xr:uid="{01252693-D618-4055-982D-F5177D27E90E}"/>
    <hyperlink ref="B4" r:id="rId2" display="20373" xr:uid="{27B6CFB4-6F82-433E-AF6D-5BD7B7CDCDA0}"/>
    <hyperlink ref="A5" r:id="rId3" display="89152" xr:uid="{89A6CD45-B29C-4D0E-A1B9-13A15A5C87EB}"/>
    <hyperlink ref="B5" r:id="rId4" display="77258" xr:uid="{A8C64C9C-D11F-496A-8B44-E834E34DEC49}"/>
    <hyperlink ref="A6" r:id="rId5" display="89773" xr:uid="{0AD2A9F4-8185-41CF-9188-E5DF008EECE3}"/>
    <hyperlink ref="B6" r:id="rId6" display="73747" xr:uid="{544116F2-051C-4872-B02A-E0F1DDD7E124}"/>
    <hyperlink ref="A7" r:id="rId7" display="89963" xr:uid="{D553DE9F-690C-4239-80CC-9CC06C8B6DD3}"/>
    <hyperlink ref="B7" r:id="rId8" display="88600" xr:uid="{44DCA43F-4EB3-4B23-9C91-DCFE029999C1}"/>
    <hyperlink ref="A8" r:id="rId9" display="90082" xr:uid="{F56778F7-4A1A-4434-A6CB-DC9C6C9EBD96}"/>
    <hyperlink ref="B8" r:id="rId10" display="84108" xr:uid="{8F7C516D-6CA3-4ED6-85AA-2BBBA77A272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E53C-9DED-4861-AD6D-BCE461CBC697}">
  <dimension ref="A1:G17"/>
  <sheetViews>
    <sheetView workbookViewId="0">
      <selection activeCell="H24" sqref="H24"/>
    </sheetView>
  </sheetViews>
  <sheetFormatPr defaultRowHeight="15"/>
  <cols>
    <col min="1" max="1" width="10.5703125" customWidth="1"/>
    <col min="2" max="2" width="15.28515625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65.5703125" customWidth="1"/>
  </cols>
  <sheetData>
    <row r="1" spans="1:7">
      <c r="A1" s="251" t="s">
        <v>85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 s="27" customFormat="1">
      <c r="A4" s="64">
        <v>89839</v>
      </c>
      <c r="B4" s="64">
        <v>80843</v>
      </c>
      <c r="C4" s="26">
        <v>2023</v>
      </c>
      <c r="D4" s="26" t="s">
        <v>1</v>
      </c>
      <c r="E4" s="26" t="s">
        <v>59</v>
      </c>
      <c r="F4" s="26" t="s">
        <v>59</v>
      </c>
      <c r="G4" s="26" t="s">
        <v>104</v>
      </c>
    </row>
    <row r="5" spans="1:7" s="27" customFormat="1">
      <c r="A5" s="64">
        <v>89035</v>
      </c>
      <c r="B5" s="64">
        <v>86460</v>
      </c>
      <c r="C5" s="26">
        <v>2024</v>
      </c>
      <c r="D5" s="26" t="s">
        <v>26</v>
      </c>
      <c r="E5" s="26" t="s">
        <v>59</v>
      </c>
      <c r="F5" s="26" t="s">
        <v>28</v>
      </c>
      <c r="G5" s="26" t="s">
        <v>104</v>
      </c>
    </row>
    <row r="6" spans="1:7">
      <c r="A6" s="18"/>
      <c r="B6" s="18"/>
      <c r="C6" s="5"/>
      <c r="D6" s="5"/>
      <c r="E6" s="5"/>
      <c r="F6" s="5"/>
      <c r="G6" s="5"/>
    </row>
    <row r="7" spans="1:7">
      <c r="A7" s="3"/>
      <c r="B7" s="3"/>
      <c r="C7" s="5"/>
      <c r="D7" s="5"/>
      <c r="E7" s="5"/>
      <c r="F7" s="5"/>
      <c r="G7" s="5"/>
    </row>
    <row r="8" spans="1:7">
      <c r="A8" s="6"/>
      <c r="B8" s="1"/>
      <c r="C8" s="1"/>
      <c r="D8" s="1"/>
      <c r="E8" s="1"/>
      <c r="F8" s="1"/>
      <c r="G8" s="8"/>
    </row>
    <row r="9" spans="1:7">
      <c r="A9" s="6"/>
      <c r="B9" s="6"/>
      <c r="C9" s="1"/>
      <c r="D9" s="254"/>
      <c r="E9" s="254"/>
      <c r="F9" s="254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 t="s">
        <v>21</v>
      </c>
      <c r="B15" s="1"/>
      <c r="C15" s="1">
        <v>15</v>
      </c>
      <c r="D15" s="1"/>
      <c r="E15" s="1"/>
      <c r="F15" s="1"/>
      <c r="G15" s="1"/>
    </row>
    <row r="16" spans="1:7">
      <c r="A16" s="1" t="s">
        <v>22</v>
      </c>
      <c r="B16" s="1"/>
      <c r="C16" s="1">
        <v>2</v>
      </c>
      <c r="D16" s="7">
        <f>C16/C15</f>
        <v>0.13333333333333333</v>
      </c>
      <c r="E16" s="1"/>
      <c r="F16" s="1"/>
      <c r="G16" s="1"/>
    </row>
    <row r="17" spans="1:7">
      <c r="A17" s="1" t="s">
        <v>30</v>
      </c>
      <c r="B17" s="1"/>
      <c r="C17" s="1">
        <v>1</v>
      </c>
      <c r="D17" s="7">
        <f>C17/C15</f>
        <v>6.6666666666666666E-2</v>
      </c>
      <c r="E17" s="1"/>
      <c r="F17" s="1"/>
      <c r="G17" s="1"/>
    </row>
  </sheetData>
  <mergeCells count="2">
    <mergeCell ref="A1:G1"/>
    <mergeCell ref="D9:F9"/>
  </mergeCells>
  <hyperlinks>
    <hyperlink ref="A4" r:id="rId1" display="89839" xr:uid="{8FFD1AF7-9BA7-43AB-A88E-A38DC61E99D9}"/>
    <hyperlink ref="B4" r:id="rId2" display="80843" xr:uid="{A6BE4C15-A021-4A4F-BB65-77ED4362715A}"/>
    <hyperlink ref="A5" r:id="rId3" display="89035" xr:uid="{04308133-5157-44B7-8CCC-3780EE188E12}"/>
    <hyperlink ref="B5" r:id="rId4" display="86460" xr:uid="{52150276-45AB-4E6F-AA22-DB214C0433B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FBE3-37E4-4303-B045-C3E4D8D76966}">
  <dimension ref="A1:I10"/>
  <sheetViews>
    <sheetView workbookViewId="0">
      <selection activeCell="C4" sqref="C4"/>
    </sheetView>
  </sheetViews>
  <sheetFormatPr defaultRowHeight="15"/>
  <cols>
    <col min="1" max="1" width="16" customWidth="1"/>
    <col min="2" max="2" width="19.85546875" customWidth="1"/>
    <col min="3" max="3" width="15.28515625" customWidth="1"/>
    <col min="5" max="5" width="16.140625" bestFit="1" customWidth="1"/>
    <col min="8" max="8" width="16.85546875" customWidth="1"/>
  </cols>
  <sheetData>
    <row r="1" spans="1:9">
      <c r="A1" s="66" t="s">
        <v>105</v>
      </c>
      <c r="B1" s="66" t="s">
        <v>106</v>
      </c>
      <c r="C1" s="66" t="s">
        <v>107</v>
      </c>
      <c r="E1" s="255" t="s">
        <v>108</v>
      </c>
      <c r="F1" s="255"/>
      <c r="H1" s="256" t="s">
        <v>109</v>
      </c>
      <c r="I1" s="257"/>
    </row>
    <row r="2" spans="1:9">
      <c r="A2" s="66"/>
      <c r="B2" s="66"/>
      <c r="C2" s="66"/>
      <c r="E2" s="67" t="s">
        <v>52</v>
      </c>
      <c r="F2" s="67">
        <v>7</v>
      </c>
      <c r="H2" s="69"/>
      <c r="I2" s="70"/>
    </row>
    <row r="3" spans="1:9">
      <c r="A3" s="67">
        <v>297</v>
      </c>
      <c r="B3" s="67">
        <v>30</v>
      </c>
      <c r="C3" s="68">
        <f>B3/A3</f>
        <v>0.10101010101010101</v>
      </c>
      <c r="E3" s="67" t="s">
        <v>9</v>
      </c>
      <c r="F3" s="67">
        <v>4</v>
      </c>
      <c r="H3" s="67" t="s">
        <v>10</v>
      </c>
      <c r="I3" s="67">
        <v>4</v>
      </c>
    </row>
    <row r="4" spans="1:9">
      <c r="E4" s="67" t="s">
        <v>14</v>
      </c>
      <c r="F4" s="67">
        <v>3</v>
      </c>
      <c r="H4" s="67" t="s">
        <v>19</v>
      </c>
      <c r="I4" s="67">
        <v>9</v>
      </c>
    </row>
    <row r="5" spans="1:9">
      <c r="E5" s="67" t="s">
        <v>18</v>
      </c>
      <c r="F5" s="67">
        <v>2</v>
      </c>
      <c r="H5" s="67" t="s">
        <v>28</v>
      </c>
      <c r="I5" s="67">
        <v>4</v>
      </c>
    </row>
    <row r="6" spans="1:9">
      <c r="E6" s="67" t="s">
        <v>27</v>
      </c>
      <c r="F6" s="67">
        <v>1</v>
      </c>
      <c r="H6" s="67" t="s">
        <v>35</v>
      </c>
      <c r="I6" s="67">
        <v>5</v>
      </c>
    </row>
    <row r="7" spans="1:9">
      <c r="E7" s="67" t="s">
        <v>34</v>
      </c>
      <c r="F7" s="67">
        <v>1</v>
      </c>
    </row>
    <row r="8" spans="1:9">
      <c r="E8" s="67" t="s">
        <v>28</v>
      </c>
      <c r="F8" s="67">
        <v>1</v>
      </c>
    </row>
    <row r="9" spans="1:9">
      <c r="E9" s="67" t="s">
        <v>59</v>
      </c>
      <c r="F9" s="67">
        <v>2</v>
      </c>
    </row>
    <row r="10" spans="1:9">
      <c r="E10" s="67" t="s">
        <v>65</v>
      </c>
      <c r="F10" s="67">
        <v>1</v>
      </c>
    </row>
  </sheetData>
  <mergeCells count="2">
    <mergeCell ref="E1:F1"/>
    <mergeCell ref="H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ED80-AC01-42FA-9CCD-9693061F7699}">
  <dimension ref="A1:G13"/>
  <sheetViews>
    <sheetView workbookViewId="0">
      <selection activeCell="C19" sqref="C19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7">
      <c r="A1" s="251" t="s">
        <v>110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27" customFormat="1">
      <c r="A4" s="64">
        <v>89629</v>
      </c>
      <c r="B4" s="64">
        <v>71834</v>
      </c>
      <c r="C4" s="22">
        <v>2021</v>
      </c>
      <c r="D4" s="72" t="s">
        <v>13</v>
      </c>
      <c r="E4" s="24" t="s">
        <v>13</v>
      </c>
      <c r="F4" s="25" t="s">
        <v>13</v>
      </c>
      <c r="G4" s="24"/>
    </row>
    <row r="5" spans="1:7" s="27" customFormat="1">
      <c r="A5" s="64">
        <v>89464</v>
      </c>
      <c r="B5" s="64">
        <v>44674</v>
      </c>
      <c r="C5" s="28">
        <v>2016</v>
      </c>
      <c r="D5" s="73" t="s">
        <v>13</v>
      </c>
      <c r="E5" s="26"/>
      <c r="F5" s="29"/>
      <c r="G5" s="26"/>
    </row>
    <row r="6" spans="1:7">
      <c r="A6" s="63"/>
      <c r="B6" s="63"/>
      <c r="C6" s="19"/>
      <c r="D6" s="19"/>
      <c r="E6" s="5"/>
      <c r="F6" s="20"/>
      <c r="G6" s="5"/>
    </row>
    <row r="7" spans="1:7">
      <c r="A7" s="47"/>
      <c r="B7" s="47"/>
      <c r="C7" s="48"/>
      <c r="D7" s="48"/>
      <c r="E7" s="1"/>
      <c r="F7" s="1"/>
      <c r="G7" s="1"/>
    </row>
    <row r="8" spans="1:7">
      <c r="A8" s="47"/>
      <c r="B8" s="47"/>
      <c r="C8" s="48"/>
      <c r="D8" s="48"/>
      <c r="E8" s="1"/>
      <c r="F8" s="1"/>
      <c r="G8" s="1"/>
    </row>
    <row r="9" spans="1:7">
      <c r="A9" s="6"/>
      <c r="B9" s="6"/>
      <c r="C9" s="48"/>
      <c r="D9" s="48"/>
      <c r="E9" s="1"/>
      <c r="F9" s="1"/>
      <c r="G9" s="8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 t="s">
        <v>21</v>
      </c>
      <c r="B11" s="1"/>
      <c r="C11" s="1">
        <v>19</v>
      </c>
      <c r="D11" s="1"/>
      <c r="E11" s="1"/>
      <c r="F11" s="1"/>
      <c r="G11" s="1"/>
    </row>
    <row r="12" spans="1:7">
      <c r="A12" s="1" t="s">
        <v>22</v>
      </c>
      <c r="B12" s="1"/>
      <c r="C12" s="1">
        <v>2</v>
      </c>
      <c r="D12" s="7">
        <f>C12/C11</f>
        <v>0.10526315789473684</v>
      </c>
      <c r="E12" s="1"/>
      <c r="F12" s="1"/>
      <c r="G12" s="1"/>
    </row>
    <row r="13" spans="1:7">
      <c r="A13" s="1" t="s">
        <v>30</v>
      </c>
      <c r="B13" s="1"/>
      <c r="C13" s="1">
        <v>0</v>
      </c>
      <c r="D13" s="7">
        <f>C13/C11</f>
        <v>0</v>
      </c>
      <c r="E13" s="1"/>
      <c r="F13" s="1"/>
      <c r="G13" s="1"/>
    </row>
  </sheetData>
  <mergeCells count="1">
    <mergeCell ref="A1:G1"/>
  </mergeCells>
  <hyperlinks>
    <hyperlink ref="A4" r:id="rId1" display="89629" xr:uid="{5C92F4EA-7FC4-4111-95D6-11AA845126D7}"/>
    <hyperlink ref="B4" r:id="rId2" display="71834" xr:uid="{BEE9D260-6436-4FB4-B8A6-6D58A01110BA}"/>
    <hyperlink ref="A5" r:id="rId3" display="89464" xr:uid="{6796A866-05B9-4098-94F7-18F6D8917989}"/>
    <hyperlink ref="B5" r:id="rId4" display="44674" xr:uid="{C9E9126F-4A9E-4380-936C-40B1F4A99C1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CE5A-DCBD-402A-95DC-69C93CBFE88F}">
  <dimension ref="A1:H17"/>
  <sheetViews>
    <sheetView workbookViewId="0">
      <selection activeCell="D18" sqref="D18"/>
    </sheetView>
  </sheetViews>
  <sheetFormatPr defaultRowHeight="15"/>
  <cols>
    <col min="1" max="2" width="10.5703125" customWidth="1"/>
    <col min="3" max="3" width="15.28515625" customWidth="1"/>
    <col min="4" max="4" width="15.28515625" bestFit="1" customWidth="1"/>
    <col min="5" max="5" width="15.5703125" bestFit="1" customWidth="1"/>
    <col min="6" max="6" width="16.85546875" bestFit="1" customWidth="1"/>
    <col min="7" max="7" width="15.7109375" bestFit="1" customWidth="1"/>
    <col min="8" max="8" width="114.85546875" customWidth="1"/>
  </cols>
  <sheetData>
    <row r="1" spans="1:8">
      <c r="A1" s="251" t="s">
        <v>111</v>
      </c>
      <c r="B1" s="252"/>
      <c r="C1" s="252"/>
      <c r="D1" s="252"/>
      <c r="E1" s="252"/>
      <c r="F1" s="252"/>
      <c r="G1" s="252"/>
      <c r="H1" s="253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2" t="s">
        <v>1</v>
      </c>
      <c r="B3" s="11" t="s">
        <v>81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25</v>
      </c>
    </row>
    <row r="4" spans="1:8">
      <c r="A4" s="63">
        <v>89523</v>
      </c>
      <c r="B4" s="120" t="s">
        <v>112</v>
      </c>
      <c r="C4" s="63">
        <v>77330</v>
      </c>
      <c r="D4" s="5">
        <v>2023</v>
      </c>
      <c r="E4" s="5" t="s">
        <v>26</v>
      </c>
      <c r="F4" s="5" t="s">
        <v>34</v>
      </c>
      <c r="G4" s="5" t="s">
        <v>19</v>
      </c>
      <c r="H4" s="17" t="s">
        <v>113</v>
      </c>
    </row>
    <row r="5" spans="1:8" s="27" customFormat="1">
      <c r="A5" s="64">
        <v>89913</v>
      </c>
      <c r="B5" s="121" t="s">
        <v>112</v>
      </c>
      <c r="C5" s="64">
        <v>82801</v>
      </c>
      <c r="D5" s="26">
        <v>2023</v>
      </c>
      <c r="E5" s="26" t="s">
        <v>26</v>
      </c>
      <c r="F5" s="26" t="s">
        <v>59</v>
      </c>
      <c r="G5" s="26" t="s">
        <v>28</v>
      </c>
      <c r="H5" s="26" t="s">
        <v>114</v>
      </c>
    </row>
    <row r="6" spans="1:8" s="27" customFormat="1">
      <c r="A6" s="64">
        <v>90626</v>
      </c>
      <c r="B6" s="121" t="s">
        <v>112</v>
      </c>
      <c r="C6" s="64">
        <v>22295</v>
      </c>
      <c r="D6" s="26">
        <v>2012</v>
      </c>
      <c r="E6" s="26" t="s">
        <v>26</v>
      </c>
      <c r="F6" s="26" t="s">
        <v>13</v>
      </c>
      <c r="G6" s="26" t="s">
        <v>13</v>
      </c>
      <c r="H6" s="26"/>
    </row>
    <row r="7" spans="1:8">
      <c r="A7" s="3"/>
      <c r="B7" s="3"/>
      <c r="C7" s="3"/>
      <c r="D7" s="5"/>
      <c r="E7" s="5"/>
      <c r="F7" s="5"/>
      <c r="G7" s="5"/>
      <c r="H7" s="5"/>
    </row>
    <row r="8" spans="1:8">
      <c r="A8" s="6"/>
      <c r="B8" s="6"/>
      <c r="C8" s="1"/>
      <c r="D8" s="1"/>
      <c r="E8" s="1"/>
      <c r="F8" s="1"/>
      <c r="G8" s="1"/>
      <c r="H8" s="8"/>
    </row>
    <row r="9" spans="1:8">
      <c r="A9" s="6"/>
      <c r="B9" s="6"/>
      <c r="C9" s="6"/>
      <c r="D9" s="1"/>
      <c r="E9" s="254"/>
      <c r="F9" s="254"/>
      <c r="G9" s="254"/>
      <c r="H9" s="1"/>
    </row>
    <row r="10" spans="1:8">
      <c r="A10" s="6"/>
      <c r="B10" s="6"/>
      <c r="C10" s="1"/>
      <c r="D10" s="1"/>
      <c r="E10" s="1"/>
      <c r="F10" s="1"/>
      <c r="G10" s="1"/>
      <c r="H10" s="1"/>
    </row>
    <row r="11" spans="1:8">
      <c r="A11" s="6"/>
      <c r="B11" s="6"/>
      <c r="C11" s="1"/>
      <c r="D11" s="1"/>
      <c r="E11" s="1"/>
      <c r="F11" s="1"/>
      <c r="G11" s="1"/>
      <c r="H11" s="1"/>
    </row>
    <row r="12" spans="1:8">
      <c r="A12" s="6"/>
      <c r="B12" s="6"/>
      <c r="C12" s="1"/>
      <c r="D12" s="1"/>
      <c r="E12" s="1"/>
      <c r="F12" s="1"/>
      <c r="G12" s="1"/>
      <c r="H12" s="1"/>
    </row>
    <row r="13" spans="1:8">
      <c r="A13" s="6"/>
      <c r="B13" s="6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 t="s">
        <v>21</v>
      </c>
      <c r="B15" s="1"/>
      <c r="C15" s="1"/>
      <c r="D15" s="1">
        <v>15</v>
      </c>
      <c r="E15" s="1"/>
      <c r="F15" s="1"/>
      <c r="G15" s="1"/>
      <c r="H15" s="1"/>
    </row>
    <row r="16" spans="1:8">
      <c r="A16" s="1" t="s">
        <v>22</v>
      </c>
      <c r="B16" s="1"/>
      <c r="C16" s="1"/>
      <c r="D16" s="1">
        <v>3</v>
      </c>
      <c r="E16" s="7">
        <f>D16/D15</f>
        <v>0.2</v>
      </c>
      <c r="F16" s="1"/>
      <c r="G16" s="1"/>
      <c r="H16" s="1"/>
    </row>
    <row r="17" spans="1:8">
      <c r="A17" s="1" t="s">
        <v>30</v>
      </c>
      <c r="B17" s="1"/>
      <c r="C17" s="1"/>
      <c r="D17" s="1">
        <v>2</v>
      </c>
      <c r="E17" s="7">
        <f>D17/D15</f>
        <v>0.13333333333333333</v>
      </c>
      <c r="F17" s="1"/>
      <c r="G17" s="1"/>
      <c r="H17" s="1"/>
    </row>
  </sheetData>
  <mergeCells count="2">
    <mergeCell ref="A1:H1"/>
    <mergeCell ref="E9:G9"/>
  </mergeCells>
  <hyperlinks>
    <hyperlink ref="A4" r:id="rId1" display="89523" xr:uid="{279088C2-365F-49C6-BA35-721B3B64E00E}"/>
    <hyperlink ref="C4" r:id="rId2" display="77330" xr:uid="{7098A96E-E1F3-4EE2-89BB-FCBFEC2219A7}"/>
    <hyperlink ref="A5" r:id="rId3" display="89913" xr:uid="{BC88D5D6-E4FC-4084-BC0A-5F37B93920A3}"/>
    <hyperlink ref="A6" r:id="rId4" display="90626" xr:uid="{5276EAD2-8486-4407-9117-6E120C85D474}"/>
    <hyperlink ref="C6" r:id="rId5" display="22295" xr:uid="{5F39E81B-94B4-4127-BAAD-DB6901083BD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67A2-C6C6-43CB-BE65-63501392DCDC}">
  <dimension ref="A1:H13"/>
  <sheetViews>
    <sheetView workbookViewId="0">
      <selection activeCell="C28" sqref="C28:C47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8">
      <c r="A1" s="251" t="s">
        <v>110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8" s="27" customFormat="1" ht="30">
      <c r="A4" s="64">
        <v>91665</v>
      </c>
      <c r="B4" s="64">
        <v>91126</v>
      </c>
      <c r="C4" s="22">
        <v>2024</v>
      </c>
      <c r="D4" s="72" t="s">
        <v>12</v>
      </c>
      <c r="E4" s="75" t="s">
        <v>115</v>
      </c>
      <c r="F4" s="76" t="s">
        <v>116</v>
      </c>
      <c r="G4" s="24" t="s">
        <v>117</v>
      </c>
    </row>
    <row r="5" spans="1:8" s="27" customFormat="1" ht="30">
      <c r="A5" s="64">
        <v>90840</v>
      </c>
      <c r="B5" s="64">
        <v>80117</v>
      </c>
      <c r="C5" s="28">
        <v>2023</v>
      </c>
      <c r="D5" s="73" t="s">
        <v>8</v>
      </c>
      <c r="E5" s="26" t="s">
        <v>118</v>
      </c>
      <c r="F5" s="77" t="s">
        <v>119</v>
      </c>
      <c r="G5" s="26" t="s">
        <v>120</v>
      </c>
    </row>
    <row r="6" spans="1:8" ht="30">
      <c r="A6" s="64">
        <v>90824</v>
      </c>
      <c r="B6" s="64">
        <v>64287</v>
      </c>
      <c r="C6" s="28">
        <v>2020</v>
      </c>
      <c r="D6" s="73" t="s">
        <v>12</v>
      </c>
      <c r="E6" s="34" t="s">
        <v>116</v>
      </c>
      <c r="F6" s="77" t="s">
        <v>121</v>
      </c>
      <c r="G6" s="34" t="s">
        <v>122</v>
      </c>
      <c r="H6" s="27"/>
    </row>
    <row r="7" spans="1:8" ht="30">
      <c r="A7" s="64">
        <v>90858</v>
      </c>
      <c r="B7" s="78">
        <v>36022</v>
      </c>
      <c r="C7" s="28">
        <v>2015</v>
      </c>
      <c r="D7" s="73" t="s">
        <v>12</v>
      </c>
      <c r="E7" s="34" t="s">
        <v>123</v>
      </c>
      <c r="F7" s="77" t="s">
        <v>121</v>
      </c>
      <c r="G7" s="26" t="s">
        <v>124</v>
      </c>
      <c r="H7" s="27"/>
    </row>
    <row r="8" spans="1:8">
      <c r="A8" s="64"/>
      <c r="B8" s="64"/>
      <c r="C8" s="28"/>
      <c r="D8" s="73" t="s">
        <v>13</v>
      </c>
      <c r="E8" s="26"/>
      <c r="F8" s="29"/>
      <c r="G8" s="26"/>
      <c r="H8" s="27"/>
    </row>
    <row r="9" spans="1:8">
      <c r="A9" s="6"/>
      <c r="B9" s="6"/>
      <c r="C9" s="48"/>
      <c r="D9" s="48"/>
      <c r="E9" s="1"/>
      <c r="F9" s="1"/>
      <c r="G9" s="8"/>
    </row>
    <row r="10" spans="1:8">
      <c r="A10" s="1"/>
      <c r="B10" s="1"/>
      <c r="C10" s="1"/>
      <c r="D10" s="1"/>
      <c r="E10" s="1"/>
      <c r="F10" s="1"/>
      <c r="G10" s="1"/>
    </row>
    <row r="11" spans="1:8">
      <c r="A11" s="1" t="s">
        <v>21</v>
      </c>
      <c r="B11" s="1"/>
      <c r="C11" s="1">
        <v>24</v>
      </c>
      <c r="D11" s="1"/>
      <c r="E11" s="1"/>
      <c r="F11" s="1"/>
      <c r="G11" s="1"/>
    </row>
    <row r="12" spans="1:8">
      <c r="A12" s="1" t="s">
        <v>22</v>
      </c>
      <c r="B12" s="1"/>
      <c r="C12" s="1">
        <v>4</v>
      </c>
      <c r="D12" s="7">
        <f>C12/C11</f>
        <v>0.16666666666666666</v>
      </c>
      <c r="E12" s="1"/>
      <c r="F12" s="1"/>
      <c r="G12" s="1"/>
    </row>
    <row r="13" spans="1:8">
      <c r="A13" s="1" t="s">
        <v>30</v>
      </c>
      <c r="B13" s="1"/>
      <c r="C13" s="1">
        <v>2</v>
      </c>
      <c r="D13" s="7">
        <f>C13/C11</f>
        <v>8.3333333333333329E-2</v>
      </c>
      <c r="E13" s="1"/>
      <c r="F13" s="1"/>
      <c r="G13" s="1"/>
    </row>
  </sheetData>
  <mergeCells count="1">
    <mergeCell ref="A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898A-4FBD-40D3-8C03-D1843B9D018B}">
  <dimension ref="A1:H17"/>
  <sheetViews>
    <sheetView workbookViewId="0">
      <selection activeCell="F17" sqref="F17"/>
    </sheetView>
  </sheetViews>
  <sheetFormatPr defaultRowHeight="15"/>
  <cols>
    <col min="1" max="2" width="10.5703125" customWidth="1"/>
    <col min="3" max="3" width="15.28515625" customWidth="1"/>
    <col min="4" max="4" width="15.28515625" bestFit="1" customWidth="1"/>
    <col min="5" max="5" width="15.5703125" bestFit="1" customWidth="1"/>
    <col min="6" max="6" width="16.85546875" bestFit="1" customWidth="1"/>
    <col min="7" max="7" width="15.7109375" bestFit="1" customWidth="1"/>
    <col min="8" max="8" width="114.85546875" customWidth="1"/>
  </cols>
  <sheetData>
    <row r="1" spans="1:8">
      <c r="A1" s="251" t="s">
        <v>111</v>
      </c>
      <c r="B1" s="252"/>
      <c r="C1" s="252"/>
      <c r="D1" s="252"/>
      <c r="E1" s="252"/>
      <c r="F1" s="252"/>
      <c r="G1" s="252"/>
      <c r="H1" s="253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2" t="s">
        <v>1</v>
      </c>
      <c r="B3" s="122" t="s">
        <v>81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25</v>
      </c>
    </row>
    <row r="4" spans="1:8">
      <c r="A4" s="63">
        <v>91580</v>
      </c>
      <c r="B4" s="120" t="s">
        <v>112</v>
      </c>
      <c r="C4" s="79" t="s">
        <v>13</v>
      </c>
      <c r="D4" s="5"/>
      <c r="E4" s="5"/>
      <c r="F4" s="5"/>
      <c r="G4" s="5"/>
      <c r="H4" s="17"/>
    </row>
    <row r="5" spans="1:8" s="27" customFormat="1">
      <c r="A5" s="64">
        <v>90467</v>
      </c>
      <c r="B5" s="120" t="s">
        <v>112</v>
      </c>
      <c r="C5" s="78" t="s">
        <v>13</v>
      </c>
      <c r="D5" s="26"/>
      <c r="E5" s="26"/>
      <c r="F5" s="26"/>
      <c r="G5" s="26"/>
      <c r="H5" s="26"/>
    </row>
    <row r="6" spans="1:8" s="27" customFormat="1">
      <c r="A6" s="117">
        <v>90300</v>
      </c>
      <c r="B6" s="120" t="s">
        <v>112</v>
      </c>
      <c r="C6" s="78">
        <v>85059</v>
      </c>
      <c r="D6" s="26">
        <v>2024</v>
      </c>
      <c r="E6" s="24" t="s">
        <v>8</v>
      </c>
      <c r="F6" s="24" t="s">
        <v>65</v>
      </c>
      <c r="G6" s="24" t="s">
        <v>10</v>
      </c>
      <c r="H6" s="26" t="s">
        <v>125</v>
      </c>
    </row>
    <row r="7" spans="1:8">
      <c r="A7" s="118">
        <v>90470</v>
      </c>
      <c r="B7" s="120" t="s">
        <v>112</v>
      </c>
      <c r="C7" s="125">
        <v>74333</v>
      </c>
      <c r="D7" s="16">
        <v>2022</v>
      </c>
      <c r="E7" s="5" t="s">
        <v>26</v>
      </c>
      <c r="F7" s="5" t="s">
        <v>28</v>
      </c>
      <c r="G7" s="5" t="s">
        <v>28</v>
      </c>
      <c r="H7" s="123"/>
    </row>
    <row r="8" spans="1:8" s="67" customFormat="1">
      <c r="A8" s="119">
        <v>90361</v>
      </c>
      <c r="B8" s="120" t="s">
        <v>112</v>
      </c>
      <c r="C8" s="19">
        <v>35685</v>
      </c>
      <c r="D8" s="20">
        <v>2015</v>
      </c>
      <c r="E8" s="5" t="s">
        <v>12</v>
      </c>
      <c r="F8" s="5" t="s">
        <v>33</v>
      </c>
      <c r="G8" s="5" t="s">
        <v>126</v>
      </c>
      <c r="H8" s="124" t="s">
        <v>125</v>
      </c>
    </row>
    <row r="9" spans="1:8" s="67" customFormat="1">
      <c r="A9" s="3"/>
      <c r="B9" s="3"/>
      <c r="C9" s="3"/>
      <c r="D9" s="20"/>
      <c r="E9" s="258"/>
      <c r="F9" s="258"/>
      <c r="G9" s="258"/>
      <c r="H9" s="110"/>
    </row>
    <row r="10" spans="1:8">
      <c r="A10" s="6"/>
      <c r="B10" s="6"/>
      <c r="C10" s="1"/>
      <c r="D10" s="1"/>
      <c r="E10" s="1"/>
      <c r="F10" s="1"/>
      <c r="G10" s="1"/>
      <c r="H10" s="1"/>
    </row>
    <row r="11" spans="1:8">
      <c r="A11" s="6"/>
      <c r="B11" s="6"/>
      <c r="C11" s="1"/>
      <c r="D11" s="1"/>
      <c r="E11" s="1"/>
      <c r="F11" s="1"/>
      <c r="G11" s="1"/>
      <c r="H11" s="1"/>
    </row>
    <row r="12" spans="1:8">
      <c r="A12" s="6"/>
      <c r="B12" s="6"/>
      <c r="C12" s="1"/>
      <c r="D12" s="1"/>
      <c r="E12" s="1"/>
      <c r="F12" s="1"/>
      <c r="G12" s="1"/>
      <c r="H12" s="1"/>
    </row>
    <row r="13" spans="1:8">
      <c r="A13" s="6"/>
      <c r="B13" s="6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 t="s">
        <v>21</v>
      </c>
      <c r="B15" s="1"/>
      <c r="C15" s="1"/>
      <c r="D15" s="1">
        <v>17</v>
      </c>
      <c r="E15" s="1"/>
      <c r="F15" s="1"/>
      <c r="G15" s="1"/>
      <c r="H15" s="1"/>
    </row>
    <row r="16" spans="1:8">
      <c r="A16" s="1" t="s">
        <v>22</v>
      </c>
      <c r="B16" s="1"/>
      <c r="C16" s="1"/>
      <c r="D16" s="1">
        <v>5</v>
      </c>
      <c r="E16" s="7">
        <f>D16/D15</f>
        <v>0.29411764705882354</v>
      </c>
      <c r="F16" s="1"/>
      <c r="G16" s="1"/>
      <c r="H16" s="1"/>
    </row>
    <row r="17" spans="1:8">
      <c r="A17" s="1" t="s">
        <v>30</v>
      </c>
      <c r="B17" s="1"/>
      <c r="C17" s="1"/>
      <c r="D17" s="1">
        <v>1</v>
      </c>
      <c r="E17" s="7">
        <f>D17/D15</f>
        <v>5.8823529411764705E-2</v>
      </c>
      <c r="F17" s="1"/>
      <c r="G17" s="1"/>
      <c r="H17" s="1"/>
    </row>
  </sheetData>
  <mergeCells count="2">
    <mergeCell ref="A1:H1"/>
    <mergeCell ref="E9:G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7788-A1E1-439E-AC4C-C78D25CBFBAD}">
  <dimension ref="A1:G12"/>
  <sheetViews>
    <sheetView workbookViewId="0">
      <selection activeCell="A10" sqref="A10:D12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7">
      <c r="A1" s="251" t="s">
        <v>110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27" customFormat="1" ht="30">
      <c r="A4" s="64">
        <v>92775</v>
      </c>
      <c r="B4" s="64">
        <v>90909</v>
      </c>
      <c r="C4" s="22">
        <v>2024</v>
      </c>
      <c r="D4" s="72" t="s">
        <v>12</v>
      </c>
      <c r="E4" s="75" t="s">
        <v>127</v>
      </c>
      <c r="F4" s="76" t="s">
        <v>128</v>
      </c>
      <c r="G4" s="24" t="s">
        <v>129</v>
      </c>
    </row>
    <row r="5" spans="1:7" s="27" customFormat="1" ht="30">
      <c r="A5" s="64">
        <v>92472</v>
      </c>
      <c r="B5" s="64">
        <v>91126</v>
      </c>
      <c r="C5" s="28">
        <v>2024</v>
      </c>
      <c r="D5" s="73" t="s">
        <v>12</v>
      </c>
      <c r="E5" s="34" t="s">
        <v>115</v>
      </c>
      <c r="F5" s="77" t="s">
        <v>116</v>
      </c>
      <c r="G5" s="26"/>
    </row>
    <row r="6" spans="1:7" ht="30">
      <c r="A6" s="64">
        <v>92395</v>
      </c>
      <c r="B6" s="64">
        <v>73453</v>
      </c>
      <c r="C6" s="28">
        <v>2022</v>
      </c>
      <c r="D6" s="73" t="s">
        <v>12</v>
      </c>
      <c r="E6" s="34" t="s">
        <v>130</v>
      </c>
      <c r="F6" s="77" t="s">
        <v>116</v>
      </c>
      <c r="G6" s="26" t="s">
        <v>131</v>
      </c>
    </row>
    <row r="7" spans="1:7">
      <c r="A7" s="47"/>
      <c r="B7" s="47"/>
      <c r="C7" s="48"/>
      <c r="D7" s="48"/>
      <c r="E7" s="1"/>
      <c r="F7" s="1"/>
      <c r="G7" s="1"/>
    </row>
    <row r="8" spans="1:7">
      <c r="A8" s="6"/>
      <c r="B8" s="6"/>
      <c r="C8" s="48"/>
      <c r="D8" s="48"/>
      <c r="E8" s="1"/>
      <c r="F8" s="1"/>
      <c r="G8" s="8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21</v>
      </c>
      <c r="B10" s="1"/>
      <c r="C10" s="1">
        <v>27</v>
      </c>
      <c r="D10" s="1"/>
      <c r="E10" s="1"/>
      <c r="F10" s="1"/>
      <c r="G10" s="1"/>
    </row>
    <row r="11" spans="1:7">
      <c r="A11" s="1" t="s">
        <v>22</v>
      </c>
      <c r="B11" s="1"/>
      <c r="C11" s="1">
        <v>3</v>
      </c>
      <c r="D11" s="7">
        <f>C11/C10</f>
        <v>0.1111111111111111</v>
      </c>
      <c r="E11" s="1"/>
      <c r="F11" s="1"/>
      <c r="G11" s="1"/>
    </row>
    <row r="12" spans="1:7">
      <c r="A12" s="1" t="s">
        <v>30</v>
      </c>
      <c r="B12" s="1"/>
      <c r="C12" s="1">
        <v>2</v>
      </c>
      <c r="D12" s="7">
        <f>C12/C10</f>
        <v>7.407407407407407E-2</v>
      </c>
      <c r="E12" s="1"/>
      <c r="F12" s="1"/>
      <c r="G12" s="1"/>
    </row>
  </sheetData>
  <mergeCells count="1">
    <mergeCell ref="A1:G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A08A-111B-4A38-9DB3-DFC369D5F5B1}">
  <dimension ref="A1:H17"/>
  <sheetViews>
    <sheetView workbookViewId="0">
      <selection activeCell="D18" sqref="D18"/>
    </sheetView>
  </sheetViews>
  <sheetFormatPr defaultRowHeight="15"/>
  <cols>
    <col min="1" max="2" width="10.5703125" customWidth="1"/>
    <col min="3" max="3" width="15.28515625" customWidth="1"/>
    <col min="4" max="4" width="15.28515625" bestFit="1" customWidth="1"/>
    <col min="5" max="5" width="15.5703125" bestFit="1" customWidth="1"/>
    <col min="6" max="6" width="22.28515625" bestFit="1" customWidth="1"/>
    <col min="7" max="7" width="19" bestFit="1" customWidth="1"/>
    <col min="8" max="8" width="114.85546875" customWidth="1"/>
  </cols>
  <sheetData>
    <row r="1" spans="1:8">
      <c r="A1" s="251" t="s">
        <v>111</v>
      </c>
      <c r="B1" s="252"/>
      <c r="C1" s="252"/>
      <c r="D1" s="252"/>
      <c r="E1" s="252"/>
      <c r="F1" s="252"/>
      <c r="G1" s="252"/>
      <c r="H1" s="253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2" t="s">
        <v>1</v>
      </c>
      <c r="B3" s="2" t="s">
        <v>81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25</v>
      </c>
    </row>
    <row r="4" spans="1:8">
      <c r="A4" s="63">
        <v>91827</v>
      </c>
      <c r="B4" s="120" t="s">
        <v>112</v>
      </c>
      <c r="C4" s="79">
        <v>28398</v>
      </c>
      <c r="D4" s="80">
        <v>2015</v>
      </c>
      <c r="E4" s="80" t="s">
        <v>26</v>
      </c>
      <c r="F4" s="5" t="s">
        <v>132</v>
      </c>
      <c r="G4" s="5" t="s">
        <v>133</v>
      </c>
      <c r="H4" s="17" t="s">
        <v>134</v>
      </c>
    </row>
    <row r="5" spans="1:8" s="27" customFormat="1">
      <c r="A5" s="64">
        <v>90813</v>
      </c>
      <c r="B5" s="120" t="s">
        <v>112</v>
      </c>
      <c r="C5" s="64">
        <v>78890</v>
      </c>
      <c r="D5" s="26">
        <v>2023</v>
      </c>
      <c r="E5" s="26" t="s">
        <v>26</v>
      </c>
      <c r="F5" s="26" t="s">
        <v>135</v>
      </c>
      <c r="G5" s="26" t="s">
        <v>136</v>
      </c>
      <c r="H5" s="26" t="s">
        <v>137</v>
      </c>
    </row>
    <row r="6" spans="1:8" s="27" customFormat="1">
      <c r="A6" s="64">
        <v>92149</v>
      </c>
      <c r="B6" s="120" t="s">
        <v>112</v>
      </c>
      <c r="C6" s="78" t="s">
        <v>13</v>
      </c>
      <c r="D6" s="81" t="s">
        <v>13</v>
      </c>
      <c r="E6" s="81" t="s">
        <v>13</v>
      </c>
      <c r="F6" s="81" t="s">
        <v>13</v>
      </c>
      <c r="G6" s="81" t="s">
        <v>13</v>
      </c>
      <c r="H6" s="26" t="s">
        <v>138</v>
      </c>
    </row>
    <row r="7" spans="1:8">
      <c r="A7" s="63">
        <v>91503</v>
      </c>
      <c r="B7" s="120" t="s">
        <v>112</v>
      </c>
      <c r="C7" s="79" t="s">
        <v>13</v>
      </c>
      <c r="D7" s="79" t="s">
        <v>13</v>
      </c>
      <c r="E7" s="79" t="s">
        <v>13</v>
      </c>
      <c r="F7" s="79" t="s">
        <v>13</v>
      </c>
      <c r="G7" s="79" t="s">
        <v>13</v>
      </c>
      <c r="H7" s="5" t="s">
        <v>138</v>
      </c>
    </row>
    <row r="8" spans="1:8">
      <c r="A8" s="6"/>
      <c r="B8" s="6"/>
      <c r="C8" s="1"/>
      <c r="D8" s="1"/>
      <c r="E8" s="1"/>
      <c r="F8" s="1"/>
      <c r="G8" s="1"/>
      <c r="H8" s="8"/>
    </row>
    <row r="9" spans="1:8">
      <c r="A9" s="6"/>
      <c r="B9" s="6"/>
      <c r="C9" s="6"/>
      <c r="D9" s="1"/>
      <c r="E9" s="254"/>
      <c r="F9" s="254"/>
      <c r="G9" s="254"/>
      <c r="H9" s="1"/>
    </row>
    <row r="10" spans="1:8">
      <c r="A10" s="6"/>
      <c r="B10" s="6"/>
      <c r="C10" s="1"/>
      <c r="D10" s="1"/>
      <c r="E10" s="1"/>
      <c r="F10" s="1"/>
      <c r="G10" s="1"/>
      <c r="H10" s="1"/>
    </row>
    <row r="11" spans="1:8">
      <c r="A11" s="6"/>
      <c r="B11" s="6"/>
      <c r="C11" s="1"/>
      <c r="D11" s="1"/>
      <c r="E11" s="1"/>
      <c r="F11" s="1"/>
      <c r="G11" s="1"/>
      <c r="H11" s="1"/>
    </row>
    <row r="12" spans="1:8">
      <c r="A12" s="6"/>
      <c r="B12" s="6"/>
      <c r="C12" s="1"/>
      <c r="D12" s="1"/>
      <c r="E12" s="1"/>
      <c r="F12" s="1"/>
      <c r="G12" s="1"/>
      <c r="H12" s="1"/>
    </row>
    <row r="13" spans="1:8">
      <c r="A13" s="6"/>
      <c r="B13" s="6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 t="s">
        <v>21</v>
      </c>
      <c r="B15" s="1"/>
      <c r="C15" s="1"/>
      <c r="D15" s="1">
        <v>14</v>
      </c>
      <c r="E15" s="1"/>
      <c r="F15" s="1"/>
      <c r="G15" s="1"/>
      <c r="H15" s="1"/>
    </row>
    <row r="16" spans="1:8">
      <c r="A16" s="1" t="s">
        <v>22</v>
      </c>
      <c r="B16" s="1"/>
      <c r="C16" s="1"/>
      <c r="D16" s="1">
        <v>4</v>
      </c>
      <c r="E16" s="7">
        <f>D16/D15</f>
        <v>0.2857142857142857</v>
      </c>
      <c r="F16" s="1"/>
      <c r="G16" s="1"/>
      <c r="H16" s="1"/>
    </row>
    <row r="17" spans="1:8">
      <c r="A17" s="1" t="s">
        <v>30</v>
      </c>
      <c r="B17" s="1"/>
      <c r="C17" s="1"/>
      <c r="D17" s="1">
        <v>1</v>
      </c>
      <c r="E17" s="7">
        <f>D17/D15</f>
        <v>7.1428571428571425E-2</v>
      </c>
      <c r="F17" s="1"/>
      <c r="G17" s="1"/>
      <c r="H17" s="1"/>
    </row>
  </sheetData>
  <mergeCells count="2">
    <mergeCell ref="A1:H1"/>
    <mergeCell ref="E9:G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CED6-16C6-4B50-B616-2739E5F9F1C6}">
  <dimension ref="A1:G13"/>
  <sheetViews>
    <sheetView workbookViewId="0">
      <selection activeCell="A5" sqref="A5:G5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7">
      <c r="A1" s="251" t="s">
        <v>110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27" customFormat="1">
      <c r="A4" s="64">
        <v>93479</v>
      </c>
      <c r="B4" s="64" t="s">
        <v>139</v>
      </c>
      <c r="C4" s="22"/>
      <c r="D4" s="72"/>
      <c r="E4" s="75"/>
      <c r="F4" s="76"/>
      <c r="G4" s="24"/>
    </row>
    <row r="5" spans="1:7" s="27" customFormat="1" ht="30">
      <c r="A5" s="64">
        <v>93046</v>
      </c>
      <c r="B5" s="64">
        <v>91914</v>
      </c>
      <c r="C5" s="28">
        <v>2025</v>
      </c>
      <c r="D5" s="73" t="s">
        <v>8</v>
      </c>
      <c r="E5" s="34" t="s">
        <v>115</v>
      </c>
      <c r="F5" s="77" t="s">
        <v>128</v>
      </c>
      <c r="G5" s="26" t="s">
        <v>140</v>
      </c>
    </row>
    <row r="6" spans="1:7">
      <c r="A6" s="64">
        <v>92461</v>
      </c>
      <c r="B6" s="64">
        <v>39242</v>
      </c>
      <c r="C6" s="28">
        <v>2015</v>
      </c>
      <c r="D6" s="73" t="s">
        <v>8</v>
      </c>
      <c r="E6" s="34" t="s">
        <v>141</v>
      </c>
      <c r="F6" s="77" t="s">
        <v>142</v>
      </c>
      <c r="G6" s="26" t="s">
        <v>131</v>
      </c>
    </row>
    <row r="7" spans="1:7">
      <c r="A7" s="64"/>
      <c r="B7" s="64"/>
      <c r="C7" s="28"/>
      <c r="D7" s="73"/>
      <c r="E7" s="34"/>
      <c r="F7" s="77"/>
      <c r="G7" s="26"/>
    </row>
    <row r="8" spans="1:7">
      <c r="A8" s="47"/>
      <c r="B8" s="47"/>
      <c r="C8" s="48"/>
      <c r="D8" s="48"/>
      <c r="E8" s="1"/>
      <c r="F8" s="1"/>
      <c r="G8" s="1"/>
    </row>
    <row r="9" spans="1:7">
      <c r="A9" s="6"/>
      <c r="B9" s="6"/>
      <c r="C9" s="48"/>
      <c r="D9" s="48"/>
      <c r="E9" s="1"/>
      <c r="F9" s="1"/>
      <c r="G9" s="8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 t="s">
        <v>21</v>
      </c>
      <c r="B11" s="1"/>
      <c r="C11" s="1">
        <v>27</v>
      </c>
      <c r="D11" s="1"/>
      <c r="E11" s="1"/>
      <c r="F11" s="1"/>
      <c r="G11" s="1"/>
    </row>
    <row r="12" spans="1:7">
      <c r="A12" s="1" t="s">
        <v>22</v>
      </c>
      <c r="B12" s="1"/>
      <c r="C12" s="1">
        <v>3</v>
      </c>
      <c r="D12" s="7">
        <f>C12/C11</f>
        <v>0.1111111111111111</v>
      </c>
      <c r="E12" s="1"/>
      <c r="F12" s="1"/>
      <c r="G12" s="1"/>
    </row>
    <row r="13" spans="1:7">
      <c r="A13" s="1" t="s">
        <v>30</v>
      </c>
      <c r="B13" s="1"/>
      <c r="C13" s="1">
        <v>0</v>
      </c>
      <c r="D13" s="7">
        <f>C13/C11</f>
        <v>0</v>
      </c>
      <c r="E13" s="1"/>
      <c r="F13" s="1"/>
      <c r="G13" s="1"/>
    </row>
  </sheetData>
  <mergeCells count="1">
    <mergeCell ref="A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A8FB-DB50-48BA-AA62-60313258453E}">
  <dimension ref="A1:G17"/>
  <sheetViews>
    <sheetView workbookViewId="0">
      <selection activeCell="G5" sqref="G5"/>
    </sheetView>
  </sheetViews>
  <sheetFormatPr defaultRowHeight="15"/>
  <cols>
    <col min="1" max="1" width="10.5703125" customWidth="1"/>
    <col min="2" max="2" width="15.2851562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14.85546875" customWidth="1"/>
  </cols>
  <sheetData>
    <row r="1" spans="1:7">
      <c r="A1" s="251" t="s">
        <v>111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63">
        <v>91986</v>
      </c>
      <c r="B4" s="79">
        <v>61979</v>
      </c>
      <c r="C4" s="80">
        <v>2019</v>
      </c>
      <c r="D4" s="80" t="s">
        <v>26</v>
      </c>
      <c r="E4" s="5" t="s">
        <v>143</v>
      </c>
      <c r="F4" s="5" t="s">
        <v>144</v>
      </c>
      <c r="G4" s="17"/>
    </row>
    <row r="5" spans="1:7" s="27" customFormat="1">
      <c r="A5" s="64">
        <v>91797</v>
      </c>
      <c r="B5" s="64">
        <v>18084</v>
      </c>
      <c r="C5" s="26">
        <v>2011</v>
      </c>
      <c r="D5" s="26" t="s">
        <v>26</v>
      </c>
      <c r="E5" s="26" t="s">
        <v>145</v>
      </c>
      <c r="F5" s="26" t="s">
        <v>145</v>
      </c>
      <c r="G5" s="26"/>
    </row>
    <row r="6" spans="1:7" s="27" customFormat="1">
      <c r="A6" s="64"/>
      <c r="B6" s="78"/>
      <c r="C6" s="81"/>
      <c r="D6" s="81"/>
      <c r="E6" s="81"/>
      <c r="F6" s="81"/>
      <c r="G6" s="26"/>
    </row>
    <row r="7" spans="1:7">
      <c r="A7" s="63"/>
      <c r="B7" s="79"/>
      <c r="C7" s="79"/>
      <c r="D7" s="79"/>
      <c r="E7" s="79"/>
      <c r="F7" s="79"/>
      <c r="G7" s="5"/>
    </row>
    <row r="8" spans="1:7">
      <c r="A8" s="6"/>
      <c r="B8" s="1"/>
      <c r="C8" s="1"/>
      <c r="D8" s="1"/>
      <c r="E8" s="1"/>
      <c r="F8" s="1"/>
      <c r="G8" s="8"/>
    </row>
    <row r="9" spans="1:7">
      <c r="A9" s="6"/>
      <c r="B9" s="6"/>
      <c r="C9" s="1"/>
      <c r="D9" s="254"/>
      <c r="E9" s="254"/>
      <c r="F9" s="254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6"/>
      <c r="B11" s="1"/>
      <c r="C11" s="1"/>
      <c r="D11" s="1"/>
      <c r="E11" s="1"/>
      <c r="F11" s="1"/>
      <c r="G11" s="1"/>
    </row>
    <row r="12" spans="1:7">
      <c r="A12" s="6"/>
      <c r="B12" s="1"/>
      <c r="C12" s="1"/>
      <c r="D12" s="1"/>
      <c r="E12" s="1"/>
      <c r="F12" s="1"/>
      <c r="G12" s="1"/>
    </row>
    <row r="13" spans="1:7">
      <c r="A13" s="6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 t="s">
        <v>21</v>
      </c>
      <c r="B15" s="1"/>
      <c r="C15" s="1">
        <v>7</v>
      </c>
      <c r="D15" s="1"/>
      <c r="E15" s="1"/>
      <c r="F15" s="1"/>
      <c r="G15" s="1"/>
    </row>
    <row r="16" spans="1:7">
      <c r="A16" s="1" t="s">
        <v>22</v>
      </c>
      <c r="B16" s="1"/>
      <c r="C16" s="1">
        <v>2</v>
      </c>
      <c r="D16" s="7">
        <f>C16/C15</f>
        <v>0.2857142857142857</v>
      </c>
      <c r="E16" s="1"/>
      <c r="F16" s="1"/>
      <c r="G16" s="1"/>
    </row>
    <row r="17" spans="1:7">
      <c r="A17" s="1" t="s">
        <v>30</v>
      </c>
      <c r="B17" s="1"/>
      <c r="C17" s="1">
        <v>0</v>
      </c>
      <c r="D17" s="7">
        <f>C17/C15</f>
        <v>0</v>
      </c>
      <c r="E17" s="1"/>
      <c r="F17" s="1"/>
      <c r="G17" s="1"/>
    </row>
  </sheetData>
  <mergeCells count="2">
    <mergeCell ref="A1:G1"/>
    <mergeCell ref="D9:F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A04A-B5AD-4328-94B1-5DDA8FE522AB}">
  <dimension ref="A1:G13"/>
  <sheetViews>
    <sheetView workbookViewId="0">
      <selection activeCell="G14" sqref="G14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7">
      <c r="A1" s="251" t="s">
        <v>110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27" customFormat="1">
      <c r="A4" s="63">
        <v>93834</v>
      </c>
      <c r="B4" s="63">
        <v>91200</v>
      </c>
      <c r="C4" s="49">
        <v>2024</v>
      </c>
      <c r="D4" s="198" t="s">
        <v>8</v>
      </c>
      <c r="E4" s="50" t="s">
        <v>146</v>
      </c>
      <c r="F4" s="199" t="s">
        <v>147</v>
      </c>
      <c r="G4" s="15"/>
    </row>
    <row r="5" spans="1:7" s="27" customFormat="1">
      <c r="A5" s="64">
        <v>93598</v>
      </c>
      <c r="B5" s="64">
        <v>35686</v>
      </c>
      <c r="C5" s="28">
        <v>2015</v>
      </c>
      <c r="D5" s="73" t="s">
        <v>12</v>
      </c>
      <c r="E5" s="34" t="s">
        <v>147</v>
      </c>
      <c r="F5" s="77" t="s">
        <v>126</v>
      </c>
      <c r="G5" s="26"/>
    </row>
    <row r="6" spans="1:7">
      <c r="A6" s="64">
        <v>92822</v>
      </c>
      <c r="B6" s="64">
        <v>50777</v>
      </c>
      <c r="C6" s="28">
        <v>2017</v>
      </c>
      <c r="D6" s="73" t="s">
        <v>26</v>
      </c>
      <c r="E6" s="34" t="s">
        <v>148</v>
      </c>
      <c r="F6" s="77" t="s">
        <v>149</v>
      </c>
      <c r="G6" s="26"/>
    </row>
    <row r="7" spans="1:7">
      <c r="A7" s="64">
        <v>92367</v>
      </c>
      <c r="B7" s="64" t="s">
        <v>139</v>
      </c>
      <c r="C7" s="28"/>
      <c r="D7" s="73"/>
      <c r="E7" s="34"/>
      <c r="F7" s="77">
        <v>3</v>
      </c>
      <c r="G7" s="26"/>
    </row>
    <row r="8" spans="1:7">
      <c r="A8" s="47"/>
      <c r="B8" s="47"/>
      <c r="C8" s="48"/>
      <c r="D8" s="48"/>
      <c r="E8" s="1"/>
      <c r="F8" s="1"/>
      <c r="G8" s="1"/>
    </row>
    <row r="9" spans="1:7">
      <c r="A9" s="6"/>
      <c r="B9" s="6"/>
      <c r="C9" s="48"/>
      <c r="D9" s="48"/>
      <c r="E9" s="1"/>
      <c r="F9" s="1"/>
      <c r="G9" s="8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 t="s">
        <v>21</v>
      </c>
      <c r="B11" s="1"/>
      <c r="C11" s="1">
        <v>21</v>
      </c>
      <c r="D11" s="1"/>
      <c r="E11" s="1"/>
      <c r="F11" s="1"/>
      <c r="G11" s="1"/>
    </row>
    <row r="12" spans="1:7">
      <c r="A12" s="1" t="s">
        <v>22</v>
      </c>
      <c r="B12" s="1"/>
      <c r="C12" s="1">
        <v>4</v>
      </c>
      <c r="D12" s="7">
        <f>C12/C11</f>
        <v>0.19047619047619047</v>
      </c>
      <c r="E12" s="1"/>
      <c r="F12" s="1"/>
      <c r="G12" s="1"/>
    </row>
    <row r="13" spans="1:7">
      <c r="A13" s="1" t="s">
        <v>30</v>
      </c>
      <c r="B13" s="1"/>
      <c r="C13" s="1">
        <v>1</v>
      </c>
      <c r="D13" s="7">
        <f>C13/C11</f>
        <v>4.7619047619047616E-2</v>
      </c>
      <c r="E13" s="1"/>
      <c r="F13" s="1"/>
      <c r="G13" s="1"/>
    </row>
  </sheetData>
  <mergeCells count="1">
    <mergeCell ref="A1:G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37CB-A417-46A3-9956-D7A62A2A4426}">
  <dimension ref="A1:H17"/>
  <sheetViews>
    <sheetView workbookViewId="0">
      <selection activeCell="D4" sqref="D4"/>
    </sheetView>
  </sheetViews>
  <sheetFormatPr defaultRowHeight="15"/>
  <cols>
    <col min="1" max="2" width="10.42578125" customWidth="1"/>
    <col min="3" max="3" width="15.28515625" customWidth="1"/>
    <col min="4" max="4" width="15.28515625" bestFit="1" customWidth="1"/>
    <col min="5" max="5" width="15.5703125" bestFit="1" customWidth="1"/>
    <col min="6" max="6" width="22.28515625" bestFit="1" customWidth="1"/>
    <col min="7" max="7" width="19" bestFit="1" customWidth="1"/>
    <col min="8" max="8" width="114.85546875" customWidth="1"/>
  </cols>
  <sheetData>
    <row r="1" spans="1:8">
      <c r="A1" s="259" t="s">
        <v>111</v>
      </c>
      <c r="B1" s="260"/>
      <c r="C1" s="260"/>
      <c r="D1" s="260"/>
      <c r="E1" s="260"/>
      <c r="F1" s="260"/>
      <c r="G1" s="260"/>
      <c r="H1" s="261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2" t="s">
        <v>1</v>
      </c>
      <c r="B3" s="2" t="s">
        <v>81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25</v>
      </c>
    </row>
    <row r="4" spans="1:8">
      <c r="A4" s="63">
        <v>94124</v>
      </c>
      <c r="B4" s="120" t="s">
        <v>112</v>
      </c>
      <c r="C4" s="79">
        <v>92022</v>
      </c>
      <c r="D4" s="80">
        <v>2025</v>
      </c>
      <c r="E4" s="80" t="s">
        <v>26</v>
      </c>
      <c r="F4" s="5" t="s">
        <v>59</v>
      </c>
      <c r="G4" s="5" t="s">
        <v>28</v>
      </c>
      <c r="H4" s="17" t="s">
        <v>150</v>
      </c>
    </row>
    <row r="5" spans="1:8" s="27" customFormat="1">
      <c r="A5" s="64">
        <v>93954</v>
      </c>
      <c r="B5" s="121" t="s">
        <v>151</v>
      </c>
      <c r="C5" s="64">
        <v>93834</v>
      </c>
      <c r="D5" s="26">
        <v>2025</v>
      </c>
      <c r="E5" s="26" t="s">
        <v>1</v>
      </c>
      <c r="F5" s="26" t="s">
        <v>152</v>
      </c>
      <c r="G5" s="26" t="s">
        <v>152</v>
      </c>
      <c r="H5" s="26" t="s">
        <v>153</v>
      </c>
    </row>
    <row r="6" spans="1:8" s="27" customFormat="1">
      <c r="A6" s="64">
        <v>92253</v>
      </c>
      <c r="B6" s="121" t="s">
        <v>112</v>
      </c>
      <c r="C6" s="78">
        <v>52053</v>
      </c>
      <c r="D6" s="81">
        <v>2018</v>
      </c>
      <c r="E6" s="81" t="s">
        <v>26</v>
      </c>
      <c r="F6" s="81" t="s">
        <v>154</v>
      </c>
      <c r="G6" s="81" t="s">
        <v>155</v>
      </c>
      <c r="H6" s="26"/>
    </row>
    <row r="7" spans="1:8">
      <c r="A7" s="63">
        <v>92109</v>
      </c>
      <c r="B7" s="120" t="s">
        <v>112</v>
      </c>
      <c r="C7" s="79"/>
      <c r="D7" s="79"/>
      <c r="E7" s="79"/>
      <c r="F7" s="126"/>
      <c r="G7" s="126"/>
      <c r="H7" s="15" t="s">
        <v>156</v>
      </c>
    </row>
    <row r="8" spans="1:8">
      <c r="A8" s="63">
        <v>92210</v>
      </c>
      <c r="B8" s="120" t="s">
        <v>112</v>
      </c>
      <c r="C8" s="19">
        <v>62017</v>
      </c>
      <c r="D8" s="5">
        <v>2019</v>
      </c>
      <c r="E8" s="20" t="s">
        <v>26</v>
      </c>
      <c r="F8" s="5" t="s">
        <v>28</v>
      </c>
      <c r="G8" s="5" t="s">
        <v>133</v>
      </c>
      <c r="H8" s="17"/>
    </row>
    <row r="9" spans="1:8">
      <c r="A9" s="6"/>
      <c r="B9" s="6"/>
      <c r="C9" s="6"/>
      <c r="D9" s="1"/>
      <c r="E9" s="254"/>
      <c r="F9" s="254"/>
      <c r="G9" s="254"/>
      <c r="H9" s="1"/>
    </row>
    <row r="10" spans="1:8">
      <c r="A10" s="6"/>
      <c r="B10" s="6"/>
      <c r="C10" s="1"/>
      <c r="D10" s="1"/>
      <c r="E10" s="1"/>
      <c r="F10" s="1"/>
      <c r="G10" s="1"/>
      <c r="H10" s="1"/>
    </row>
    <row r="11" spans="1:8">
      <c r="A11" s="6"/>
      <c r="B11" s="6"/>
      <c r="C11" s="1"/>
      <c r="D11" s="1"/>
      <c r="E11" s="1"/>
      <c r="F11" s="1"/>
      <c r="G11" s="1"/>
      <c r="H11" s="1"/>
    </row>
    <row r="12" spans="1:8">
      <c r="A12" s="6"/>
      <c r="B12" s="6"/>
      <c r="C12" s="1"/>
      <c r="D12" s="1"/>
      <c r="E12" s="1"/>
      <c r="F12" s="1"/>
      <c r="G12" s="1"/>
      <c r="H12" s="1"/>
    </row>
    <row r="13" spans="1:8">
      <c r="A13" s="6"/>
      <c r="B13" s="6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 t="s">
        <v>21</v>
      </c>
      <c r="B15" s="1"/>
      <c r="C15" s="1"/>
      <c r="D15" s="1">
        <v>14</v>
      </c>
      <c r="E15" s="1"/>
      <c r="F15" s="1"/>
      <c r="G15" s="1"/>
      <c r="H15" s="1"/>
    </row>
    <row r="16" spans="1:8">
      <c r="A16" s="1" t="s">
        <v>22</v>
      </c>
      <c r="B16" s="1"/>
      <c r="C16" s="1"/>
      <c r="D16" s="1">
        <v>5</v>
      </c>
      <c r="E16" s="7">
        <f>D16/D15</f>
        <v>0.35714285714285715</v>
      </c>
      <c r="F16" s="1"/>
      <c r="G16" s="1"/>
      <c r="H16" s="1"/>
    </row>
    <row r="17" spans="1:8">
      <c r="A17" s="1" t="s">
        <v>30</v>
      </c>
      <c r="B17" s="1"/>
      <c r="C17" s="1"/>
      <c r="D17" s="1">
        <v>2</v>
      </c>
      <c r="E17" s="7">
        <f>D17/D15</f>
        <v>0.14285714285714285</v>
      </c>
      <c r="F17" s="1"/>
      <c r="G17" s="1"/>
      <c r="H17" s="1"/>
    </row>
  </sheetData>
  <mergeCells count="2">
    <mergeCell ref="A1:H1"/>
    <mergeCell ref="E9:G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5A50-757E-4210-94BE-375CF056E244}">
  <dimension ref="A1:G14"/>
  <sheetViews>
    <sheetView topLeftCell="A2" workbookViewId="0">
      <selection activeCell="A4" sqref="A4:XFD4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7">
      <c r="A1" s="251" t="s">
        <v>157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>
      <c r="A4" s="63">
        <v>94822</v>
      </c>
      <c r="B4" s="63">
        <v>91469</v>
      </c>
      <c r="C4" s="49">
        <v>2025</v>
      </c>
      <c r="D4" s="198" t="s">
        <v>12</v>
      </c>
      <c r="E4" s="50" t="s">
        <v>65</v>
      </c>
      <c r="F4" s="199" t="s">
        <v>158</v>
      </c>
      <c r="G4" s="15" t="s">
        <v>159</v>
      </c>
    </row>
    <row r="5" spans="1:7">
      <c r="A5" s="64">
        <v>94458</v>
      </c>
      <c r="B5" s="64" t="s">
        <v>139</v>
      </c>
      <c r="C5" s="28"/>
      <c r="D5" s="73"/>
      <c r="E5" s="34"/>
      <c r="F5" s="77"/>
      <c r="G5" s="26" t="s">
        <v>160</v>
      </c>
    </row>
    <row r="6" spans="1:7">
      <c r="A6" s="64">
        <v>93271</v>
      </c>
      <c r="B6" s="64">
        <v>20303</v>
      </c>
      <c r="C6" s="28">
        <v>2012</v>
      </c>
      <c r="D6" s="73" t="s">
        <v>12</v>
      </c>
      <c r="E6" s="34" t="s">
        <v>161</v>
      </c>
      <c r="F6" s="77" t="s">
        <v>126</v>
      </c>
      <c r="G6" s="26" t="s">
        <v>162</v>
      </c>
    </row>
    <row r="7" spans="1:7">
      <c r="A7" s="64">
        <v>92873</v>
      </c>
      <c r="B7" s="64">
        <v>28899</v>
      </c>
      <c r="C7" s="28">
        <v>2014</v>
      </c>
      <c r="D7" s="73" t="s">
        <v>26</v>
      </c>
      <c r="E7" s="34" t="s">
        <v>163</v>
      </c>
      <c r="F7" s="77" t="s">
        <v>164</v>
      </c>
      <c r="G7" s="26" t="s">
        <v>165</v>
      </c>
    </row>
    <row r="8" spans="1:7">
      <c r="A8" s="64">
        <v>92838</v>
      </c>
      <c r="B8" s="64">
        <v>74162</v>
      </c>
      <c r="C8" s="28">
        <v>2022</v>
      </c>
      <c r="D8" s="73" t="s">
        <v>1</v>
      </c>
      <c r="E8" s="34" t="s">
        <v>152</v>
      </c>
      <c r="F8" s="77" t="s">
        <v>152</v>
      </c>
      <c r="G8" s="26" t="s">
        <v>166</v>
      </c>
    </row>
    <row r="9" spans="1:7">
      <c r="A9" s="47"/>
      <c r="B9" s="47"/>
      <c r="C9" s="48"/>
      <c r="D9" s="48"/>
      <c r="E9" s="1"/>
      <c r="F9" s="1"/>
      <c r="G9" s="1"/>
    </row>
    <row r="10" spans="1:7">
      <c r="A10" s="6"/>
      <c r="B10" s="6"/>
      <c r="C10" s="48"/>
      <c r="D10" s="48"/>
      <c r="E10" s="1"/>
      <c r="F10" s="1"/>
      <c r="G10" s="8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23</v>
      </c>
      <c r="D12" s="1"/>
      <c r="E12" s="1"/>
      <c r="F12" s="1"/>
      <c r="G12" s="1"/>
    </row>
    <row r="13" spans="1:7">
      <c r="A13" s="1" t="s">
        <v>22</v>
      </c>
      <c r="B13" s="1"/>
      <c r="C13" s="1">
        <v>5</v>
      </c>
      <c r="D13" s="7">
        <f>C13/C12</f>
        <v>0.21739130434782608</v>
      </c>
      <c r="E13" s="1"/>
      <c r="F13" s="1"/>
      <c r="G13" s="1"/>
    </row>
    <row r="14" spans="1:7">
      <c r="A14" s="1" t="s">
        <v>30</v>
      </c>
      <c r="B14" s="1"/>
      <c r="C14" s="1">
        <v>1</v>
      </c>
      <c r="D14" s="7">
        <f>C14/C12</f>
        <v>4.3478260869565216E-2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77DD-66CA-4AC7-9193-D0AF9B177996}">
  <dimension ref="A1:H14"/>
  <sheetViews>
    <sheetView workbookViewId="0">
      <selection activeCell="D15" sqref="D15"/>
    </sheetView>
  </sheetViews>
  <sheetFormatPr defaultRowHeight="15"/>
  <cols>
    <col min="1" max="2" width="10.5703125" customWidth="1"/>
    <col min="3" max="3" width="15.28515625" customWidth="1"/>
    <col min="4" max="4" width="15.28515625" bestFit="1" customWidth="1"/>
    <col min="5" max="5" width="15.5703125" bestFit="1" customWidth="1"/>
    <col min="6" max="6" width="22.28515625" bestFit="1" customWidth="1"/>
    <col min="7" max="7" width="19" bestFit="1" customWidth="1"/>
    <col min="8" max="8" width="114.85546875" customWidth="1"/>
  </cols>
  <sheetData>
    <row r="1" spans="1:8">
      <c r="A1" s="251" t="s">
        <v>167</v>
      </c>
      <c r="B1" s="252"/>
      <c r="C1" s="252"/>
      <c r="D1" s="252"/>
      <c r="E1" s="252"/>
      <c r="F1" s="252"/>
      <c r="G1" s="252"/>
      <c r="H1" s="253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2" t="s">
        <v>1</v>
      </c>
      <c r="B3" s="2" t="s">
        <v>81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25</v>
      </c>
    </row>
    <row r="4" spans="1:8">
      <c r="A4" s="82">
        <v>94723</v>
      </c>
      <c r="B4" s="127" t="s">
        <v>112</v>
      </c>
      <c r="C4" s="83">
        <v>88823</v>
      </c>
      <c r="D4" s="84">
        <v>2024</v>
      </c>
      <c r="E4" s="84" t="s">
        <v>26</v>
      </c>
      <c r="F4" s="106" t="s">
        <v>59</v>
      </c>
      <c r="G4" s="106" t="s">
        <v>28</v>
      </c>
      <c r="H4" s="86" t="s">
        <v>168</v>
      </c>
    </row>
    <row r="5" spans="1:8" s="27" customFormat="1">
      <c r="A5" s="128">
        <v>92940</v>
      </c>
      <c r="B5" s="129" t="s">
        <v>112</v>
      </c>
      <c r="C5" s="128">
        <v>80560</v>
      </c>
      <c r="D5" s="106">
        <v>2023</v>
      </c>
      <c r="E5" s="130" t="s">
        <v>26</v>
      </c>
      <c r="F5" s="106" t="s">
        <v>59</v>
      </c>
      <c r="G5" s="106" t="s">
        <v>28</v>
      </c>
      <c r="H5" s="131" t="s">
        <v>169</v>
      </c>
    </row>
    <row r="6" spans="1:8" s="67" customFormat="1">
      <c r="A6" s="119">
        <v>93167</v>
      </c>
      <c r="B6" s="127" t="s">
        <v>112</v>
      </c>
      <c r="C6" s="132"/>
      <c r="D6" s="5"/>
      <c r="E6" s="133"/>
      <c r="F6" s="133"/>
      <c r="G6" s="133"/>
      <c r="H6" s="110"/>
    </row>
    <row r="7" spans="1:8">
      <c r="A7" s="6"/>
      <c r="B7" s="6"/>
      <c r="C7" s="1"/>
      <c r="D7" s="1"/>
      <c r="E7" s="1"/>
      <c r="F7" s="1"/>
      <c r="G7" s="1"/>
      <c r="H7" s="1"/>
    </row>
    <row r="8" spans="1:8">
      <c r="A8" s="6"/>
      <c r="B8" s="6"/>
      <c r="C8" s="1"/>
      <c r="D8" s="1"/>
      <c r="E8" s="1"/>
      <c r="F8" s="1"/>
      <c r="G8" s="1"/>
      <c r="H8" s="1"/>
    </row>
    <row r="9" spans="1:8">
      <c r="A9" s="6"/>
      <c r="B9" s="6"/>
      <c r="C9" s="1"/>
      <c r="D9" s="1"/>
      <c r="E9" s="1"/>
      <c r="F9" s="1"/>
      <c r="G9" s="1"/>
      <c r="H9" s="1"/>
    </row>
    <row r="10" spans="1:8">
      <c r="A10" s="6"/>
      <c r="B10" s="6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 t="s">
        <v>21</v>
      </c>
      <c r="B12" s="1"/>
      <c r="C12" s="1"/>
      <c r="D12" s="1">
        <v>12</v>
      </c>
      <c r="E12" s="1"/>
      <c r="F12" s="1"/>
      <c r="G12" s="1"/>
      <c r="H12" s="1"/>
    </row>
    <row r="13" spans="1:8">
      <c r="A13" s="1" t="s">
        <v>22</v>
      </c>
      <c r="B13" s="1"/>
      <c r="C13" s="1"/>
      <c r="D13" s="1">
        <v>3</v>
      </c>
      <c r="E13" s="7">
        <f>D13/D12</f>
        <v>0.25</v>
      </c>
      <c r="F13" s="1"/>
      <c r="G13" s="1"/>
      <c r="H13" s="1"/>
    </row>
    <row r="14" spans="1:8">
      <c r="A14" s="1" t="s">
        <v>30</v>
      </c>
      <c r="B14" s="1"/>
      <c r="C14" s="1"/>
      <c r="D14" s="1">
        <v>2</v>
      </c>
      <c r="E14" s="7">
        <f>D14/D12</f>
        <v>0.16666666666666666</v>
      </c>
      <c r="F14" s="1"/>
      <c r="G14" s="1"/>
      <c r="H14" s="1"/>
    </row>
  </sheetData>
  <mergeCells count="1"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FBB5-083C-4743-9F25-EBF73E664BD6}">
  <dimension ref="A1:G14"/>
  <sheetViews>
    <sheetView workbookViewId="0">
      <selection activeCell="C15" sqref="C15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7">
      <c r="A1" s="251" t="s">
        <v>170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27" customFormat="1">
      <c r="A4" s="64">
        <v>95200</v>
      </c>
      <c r="B4" s="64">
        <v>92838</v>
      </c>
      <c r="C4" s="22">
        <v>2025</v>
      </c>
      <c r="D4" s="72" t="s">
        <v>1</v>
      </c>
      <c r="E4" s="75" t="s">
        <v>171</v>
      </c>
      <c r="F4" s="76" t="s">
        <v>44</v>
      </c>
      <c r="G4" s="24"/>
    </row>
    <row r="5" spans="1:7">
      <c r="A5" s="64">
        <v>94946</v>
      </c>
      <c r="B5" s="64">
        <v>79994</v>
      </c>
      <c r="C5" s="28">
        <v>2023</v>
      </c>
      <c r="D5" s="73" t="s">
        <v>12</v>
      </c>
      <c r="E5" s="34" t="s">
        <v>158</v>
      </c>
      <c r="F5" s="77" t="s">
        <v>19</v>
      </c>
      <c r="G5" s="26" t="s">
        <v>172</v>
      </c>
    </row>
    <row r="6" spans="1:7">
      <c r="A6" s="64">
        <v>94868</v>
      </c>
      <c r="B6" s="64">
        <v>79994</v>
      </c>
      <c r="C6" s="28">
        <v>2023</v>
      </c>
      <c r="D6" s="73" t="s">
        <v>12</v>
      </c>
      <c r="E6" s="34" t="s">
        <v>158</v>
      </c>
      <c r="F6" s="77" t="s">
        <v>19</v>
      </c>
      <c r="G6" s="26" t="s">
        <v>173</v>
      </c>
    </row>
    <row r="7" spans="1:7">
      <c r="A7" s="64">
        <v>94819</v>
      </c>
      <c r="B7" s="64">
        <v>49498</v>
      </c>
      <c r="C7" s="28">
        <v>2017</v>
      </c>
      <c r="D7" s="73" t="s">
        <v>12</v>
      </c>
      <c r="E7" s="34" t="s">
        <v>174</v>
      </c>
      <c r="F7" s="77" t="s">
        <v>161</v>
      </c>
      <c r="G7" s="26" t="s">
        <v>175</v>
      </c>
    </row>
    <row r="8" spans="1:7">
      <c r="A8" s="64">
        <v>94555</v>
      </c>
      <c r="B8" s="64">
        <v>79994</v>
      </c>
      <c r="C8" s="28">
        <v>2023</v>
      </c>
      <c r="D8" s="73" t="s">
        <v>12</v>
      </c>
      <c r="E8" s="34" t="s">
        <v>158</v>
      </c>
      <c r="F8" s="77" t="s">
        <v>19</v>
      </c>
      <c r="G8" s="26" t="s">
        <v>176</v>
      </c>
    </row>
    <row r="9" spans="1:7">
      <c r="A9" s="47"/>
      <c r="B9" s="47"/>
      <c r="C9" s="48"/>
      <c r="D9" s="48"/>
      <c r="E9" s="1"/>
      <c r="F9" s="1"/>
      <c r="G9" s="1"/>
    </row>
    <row r="10" spans="1:7">
      <c r="A10" s="6"/>
      <c r="B10" s="6"/>
      <c r="C10" s="48"/>
      <c r="D10" s="48"/>
      <c r="E10" s="1"/>
      <c r="F10" s="1"/>
      <c r="G10" s="8">
        <v>4</v>
      </c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20</v>
      </c>
      <c r="D12" s="1"/>
      <c r="E12" s="1"/>
      <c r="F12" s="1"/>
      <c r="G12" s="1"/>
    </row>
    <row r="13" spans="1:7">
      <c r="A13" s="1" t="s">
        <v>22</v>
      </c>
      <c r="B13" s="1"/>
      <c r="C13" s="1">
        <v>5</v>
      </c>
      <c r="D13" s="7">
        <f>C13/C12</f>
        <v>0.25</v>
      </c>
      <c r="E13" s="1"/>
      <c r="F13" s="1"/>
      <c r="G13" s="1"/>
    </row>
    <row r="14" spans="1:7">
      <c r="A14" s="1" t="s">
        <v>30</v>
      </c>
      <c r="B14" s="1"/>
      <c r="C14" s="1">
        <v>4</v>
      </c>
      <c r="D14" s="7">
        <f>C14/C12</f>
        <v>0.2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14A1-E81F-485C-8EDF-DCD6973C1C16}">
  <dimension ref="A1:G14"/>
  <sheetViews>
    <sheetView workbookViewId="0">
      <selection activeCell="G21" sqref="G21"/>
    </sheetView>
  </sheetViews>
  <sheetFormatPr defaultRowHeight="15"/>
  <cols>
    <col min="1" max="1" width="10.5703125" customWidth="1"/>
    <col min="2" max="2" width="15.2851562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14.85546875" customWidth="1"/>
  </cols>
  <sheetData>
    <row r="1" spans="1:7">
      <c r="A1" s="251" t="s">
        <v>177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82"/>
      <c r="B4" s="83"/>
      <c r="C4" s="84"/>
      <c r="D4" s="84"/>
      <c r="E4" s="85"/>
      <c r="F4" s="85"/>
      <c r="G4" s="86"/>
    </row>
    <row r="5" spans="1:7" s="27" customFormat="1">
      <c r="A5" s="82"/>
      <c r="B5" s="82"/>
      <c r="C5" s="85"/>
      <c r="D5" s="85"/>
      <c r="E5" s="85"/>
      <c r="F5" s="85"/>
      <c r="G5" s="85"/>
    </row>
    <row r="6" spans="1:7">
      <c r="A6" s="6"/>
      <c r="B6" s="6"/>
      <c r="C6" s="1"/>
      <c r="D6" s="254"/>
      <c r="E6" s="254"/>
      <c r="F6" s="254"/>
      <c r="G6" s="1"/>
    </row>
    <row r="7" spans="1:7">
      <c r="A7" s="6"/>
      <c r="B7" s="1"/>
      <c r="C7" s="1"/>
      <c r="D7" s="1"/>
      <c r="E7" s="1"/>
      <c r="F7" s="1"/>
      <c r="G7" s="1"/>
    </row>
    <row r="8" spans="1:7">
      <c r="A8" s="6"/>
      <c r="B8" s="1"/>
      <c r="C8" s="1"/>
      <c r="D8" s="1"/>
      <c r="E8" s="1"/>
      <c r="F8" s="1"/>
      <c r="G8" s="1"/>
    </row>
    <row r="9" spans="1:7">
      <c r="A9" s="6"/>
      <c r="B9" s="1"/>
      <c r="C9" s="1"/>
      <c r="D9" s="1"/>
      <c r="E9" s="1"/>
      <c r="F9" s="1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9</v>
      </c>
      <c r="D12" s="1"/>
      <c r="E12" s="1"/>
      <c r="F12" s="1"/>
      <c r="G12" s="1"/>
    </row>
    <row r="13" spans="1:7">
      <c r="A13" s="1" t="s">
        <v>22</v>
      </c>
      <c r="B13" s="1"/>
      <c r="C13" s="1">
        <v>0</v>
      </c>
      <c r="D13" s="7">
        <f>C13/C12</f>
        <v>0</v>
      </c>
      <c r="E13" s="1"/>
      <c r="F13" s="1"/>
      <c r="G13" s="1"/>
    </row>
    <row r="14" spans="1:7">
      <c r="A14" s="1" t="s">
        <v>30</v>
      </c>
      <c r="B14" s="1"/>
      <c r="C14" s="1"/>
      <c r="D14" s="7">
        <f>C14/C12</f>
        <v>0</v>
      </c>
      <c r="E14" s="1"/>
      <c r="F14" s="1"/>
      <c r="G14" s="1"/>
    </row>
  </sheetData>
  <mergeCells count="2">
    <mergeCell ref="A1:G1"/>
    <mergeCell ref="D6:F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DF67-CBF6-440B-811C-5F880C9DB150}">
  <dimension ref="A1:G14"/>
  <sheetViews>
    <sheetView workbookViewId="0">
      <selection activeCell="C14" sqref="C14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34" customWidth="1"/>
  </cols>
  <sheetData>
    <row r="1" spans="1:7">
      <c r="A1" s="251" t="s">
        <v>178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 s="27" customFormat="1">
      <c r="A4" s="102" t="s">
        <v>179</v>
      </c>
      <c r="B4" s="102" t="s">
        <v>180</v>
      </c>
      <c r="C4" s="22">
        <v>2025</v>
      </c>
      <c r="D4" s="72" t="s">
        <v>26</v>
      </c>
      <c r="E4" s="75" t="s">
        <v>34</v>
      </c>
      <c r="F4" s="76" t="s">
        <v>19</v>
      </c>
      <c r="G4" s="24" t="s">
        <v>181</v>
      </c>
    </row>
    <row r="5" spans="1:7">
      <c r="A5" s="102" t="s">
        <v>182</v>
      </c>
      <c r="B5" s="102" t="s">
        <v>183</v>
      </c>
      <c r="C5" s="28">
        <v>2025</v>
      </c>
      <c r="D5" s="73" t="s">
        <v>12</v>
      </c>
      <c r="E5" s="34" t="s">
        <v>184</v>
      </c>
      <c r="F5" s="77" t="s">
        <v>158</v>
      </c>
      <c r="G5" s="26" t="s">
        <v>185</v>
      </c>
    </row>
    <row r="6" spans="1:7">
      <c r="A6" s="102" t="s">
        <v>186</v>
      </c>
      <c r="B6" s="102" t="s">
        <v>187</v>
      </c>
      <c r="C6" s="28">
        <v>2025</v>
      </c>
      <c r="D6" s="73" t="s">
        <v>8</v>
      </c>
      <c r="E6" s="34" t="s">
        <v>188</v>
      </c>
      <c r="F6" s="77" t="s">
        <v>189</v>
      </c>
      <c r="G6" s="26" t="s">
        <v>190</v>
      </c>
    </row>
    <row r="7" spans="1:7">
      <c r="A7" s="102" t="s">
        <v>191</v>
      </c>
      <c r="B7" s="102" t="s">
        <v>192</v>
      </c>
      <c r="C7" s="28">
        <v>2024</v>
      </c>
      <c r="D7" s="73" t="s">
        <v>12</v>
      </c>
      <c r="E7" s="34" t="s">
        <v>193</v>
      </c>
      <c r="F7" s="77" t="s">
        <v>19</v>
      </c>
      <c r="G7" s="26" t="s">
        <v>194</v>
      </c>
    </row>
    <row r="8" spans="1:7">
      <c r="A8" s="102" t="s">
        <v>195</v>
      </c>
      <c r="B8" s="102" t="s">
        <v>196</v>
      </c>
      <c r="C8" s="28">
        <v>2019</v>
      </c>
      <c r="D8" s="73" t="s">
        <v>12</v>
      </c>
      <c r="E8" s="34" t="s">
        <v>174</v>
      </c>
      <c r="F8" s="77" t="s">
        <v>149</v>
      </c>
      <c r="G8" s="26" t="s">
        <v>197</v>
      </c>
    </row>
    <row r="9" spans="1:7">
      <c r="A9" s="47"/>
      <c r="B9" s="47"/>
      <c r="C9" s="48"/>
      <c r="D9" s="48"/>
      <c r="E9" s="1"/>
      <c r="F9" s="1"/>
      <c r="G9" s="1"/>
    </row>
    <row r="10" spans="1:7">
      <c r="A10" s="6"/>
      <c r="B10" s="6"/>
      <c r="C10" s="48"/>
      <c r="D10" s="48"/>
      <c r="E10" s="1"/>
      <c r="F10" s="1"/>
      <c r="G10" s="8">
        <v>4</v>
      </c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31</v>
      </c>
      <c r="D12" s="1"/>
      <c r="E12" s="1"/>
      <c r="F12" s="1"/>
      <c r="G12" s="1"/>
    </row>
    <row r="13" spans="1:7">
      <c r="A13" s="1" t="s">
        <v>22</v>
      </c>
      <c r="B13" s="1"/>
      <c r="C13" s="1">
        <v>5</v>
      </c>
      <c r="D13" s="7">
        <f>C13/C12</f>
        <v>0.16129032258064516</v>
      </c>
      <c r="E13" s="1"/>
      <c r="F13" s="1"/>
      <c r="G13" s="1"/>
    </row>
    <row r="14" spans="1:7">
      <c r="A14" s="1" t="s">
        <v>30</v>
      </c>
      <c r="B14" s="1"/>
      <c r="C14" s="1">
        <v>4</v>
      </c>
      <c r="D14" s="7">
        <f>C14/C12</f>
        <v>0.12903225806451613</v>
      </c>
      <c r="E14" s="1"/>
      <c r="F14" s="1"/>
      <c r="G14" s="1"/>
    </row>
  </sheetData>
  <mergeCells count="1">
    <mergeCell ref="A1:G1"/>
  </mergeCells>
  <hyperlinks>
    <hyperlink ref="A4" r:id="rId1" xr:uid="{B0EE54E9-9882-4CDE-B667-6FA4F54745E0}"/>
    <hyperlink ref="B4" r:id="rId2" xr:uid="{50C6F1A0-5564-4E21-80C4-9994083C27D7}"/>
    <hyperlink ref="A5" r:id="rId3" xr:uid="{FC2A0611-A765-4EEA-A3C3-C873AB869925}"/>
    <hyperlink ref="B5" r:id="rId4" xr:uid="{694D197F-7DF3-4CB5-AA64-0B98EFAB7A92}"/>
    <hyperlink ref="A6" r:id="rId5" xr:uid="{DE4D08C3-4DAA-4B5B-A7E3-417074423690}"/>
    <hyperlink ref="B6" r:id="rId6" xr:uid="{5BF5496C-EF61-472B-A517-5133319EF517}"/>
    <hyperlink ref="A7" r:id="rId7" xr:uid="{8FE8011F-1AEA-4993-A50F-AB8286D57925}"/>
    <hyperlink ref="B7" r:id="rId8" xr:uid="{61932709-6FFA-4A70-B937-A820D2698412}"/>
    <hyperlink ref="A8" r:id="rId9" xr:uid="{2FA2409F-A786-4808-BE45-F5E00F351C8E}"/>
    <hyperlink ref="B8" r:id="rId10" xr:uid="{0FD25861-007E-4A53-896F-08B056C0D69E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D74D-B2B7-4B5B-8181-DCC4A5FDF759}">
  <dimension ref="A1:G14"/>
  <sheetViews>
    <sheetView workbookViewId="0">
      <selection activeCell="C14" sqref="C14"/>
    </sheetView>
  </sheetViews>
  <sheetFormatPr defaultRowHeight="15"/>
  <cols>
    <col min="1" max="1" width="10.5703125" customWidth="1"/>
    <col min="2" max="2" width="15.2851562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14.85546875" customWidth="1"/>
  </cols>
  <sheetData>
    <row r="1" spans="1:7">
      <c r="A1" s="251" t="s">
        <v>198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25</v>
      </c>
    </row>
    <row r="4" spans="1:7" s="67" customFormat="1">
      <c r="A4" s="4" t="s">
        <v>199</v>
      </c>
      <c r="B4" s="4" t="s">
        <v>200</v>
      </c>
      <c r="C4" s="84">
        <v>2024</v>
      </c>
      <c r="D4" s="84" t="s">
        <v>26</v>
      </c>
      <c r="E4" s="85" t="s">
        <v>27</v>
      </c>
      <c r="F4" s="85" t="s">
        <v>28</v>
      </c>
      <c r="G4" s="86" t="s">
        <v>201</v>
      </c>
    </row>
    <row r="5" spans="1:7" s="135" customFormat="1">
      <c r="A5" s="134" t="s">
        <v>202</v>
      </c>
      <c r="B5" s="134" t="s">
        <v>203</v>
      </c>
      <c r="C5" s="106">
        <v>2016</v>
      </c>
      <c r="D5" s="106" t="s">
        <v>26</v>
      </c>
      <c r="E5" s="106" t="s">
        <v>132</v>
      </c>
      <c r="F5" s="106" t="s">
        <v>133</v>
      </c>
      <c r="G5" s="106" t="s">
        <v>204</v>
      </c>
    </row>
    <row r="6" spans="1:7" s="95" customFormat="1">
      <c r="A6" s="136">
        <v>94193</v>
      </c>
      <c r="B6" s="136">
        <v>35911</v>
      </c>
      <c r="C6" s="15">
        <v>2015</v>
      </c>
      <c r="D6" s="106" t="s">
        <v>26</v>
      </c>
      <c r="E6" s="106" t="s">
        <v>132</v>
      </c>
      <c r="F6" s="106" t="s">
        <v>132</v>
      </c>
      <c r="G6" s="106" t="s">
        <v>205</v>
      </c>
    </row>
    <row r="7" spans="1:7" s="67" customFormat="1">
      <c r="A7" s="3">
        <v>94192</v>
      </c>
      <c r="B7" s="5">
        <v>78956</v>
      </c>
      <c r="C7" s="5">
        <v>2023</v>
      </c>
      <c r="D7" s="5" t="s">
        <v>26</v>
      </c>
      <c r="E7" s="5" t="s">
        <v>27</v>
      </c>
      <c r="F7" s="5" t="s">
        <v>28</v>
      </c>
      <c r="G7" s="5" t="s">
        <v>205</v>
      </c>
    </row>
    <row r="8" spans="1:7">
      <c r="A8" s="6"/>
      <c r="B8" s="1"/>
      <c r="C8" s="1"/>
      <c r="D8" s="1"/>
      <c r="E8" s="1"/>
      <c r="F8" s="1"/>
      <c r="G8" s="1"/>
    </row>
    <row r="9" spans="1:7">
      <c r="A9" s="6"/>
      <c r="B9" s="1"/>
      <c r="C9" s="1"/>
      <c r="D9" s="1"/>
      <c r="E9" s="1"/>
      <c r="F9" s="1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19</v>
      </c>
      <c r="D12" s="1"/>
      <c r="E12" s="1"/>
      <c r="F12" s="1"/>
      <c r="G12" s="1"/>
    </row>
    <row r="13" spans="1:7">
      <c r="A13" s="1" t="s">
        <v>22</v>
      </c>
      <c r="B13" s="1"/>
      <c r="C13" s="1">
        <v>4</v>
      </c>
      <c r="D13" s="7">
        <f>C13/C12</f>
        <v>0.21052631578947367</v>
      </c>
      <c r="E13" s="1"/>
      <c r="F13" s="1"/>
      <c r="G13" s="1"/>
    </row>
    <row r="14" spans="1:7">
      <c r="A14" s="1" t="s">
        <v>30</v>
      </c>
      <c r="B14" s="1"/>
      <c r="C14" s="1">
        <v>2</v>
      </c>
      <c r="D14" s="7">
        <f>C14/C12</f>
        <v>0.10526315789473684</v>
      </c>
      <c r="E14" s="1"/>
      <c r="F14" s="1"/>
      <c r="G14" s="1"/>
    </row>
  </sheetData>
  <mergeCells count="1">
    <mergeCell ref="A1:G1"/>
  </mergeCells>
  <hyperlinks>
    <hyperlink ref="A4" r:id="rId1" xr:uid="{11E5FFD3-E34F-40AD-A0A3-FFF5730132C0}"/>
    <hyperlink ref="B4" r:id="rId2" xr:uid="{60F6CE89-2015-4B42-BC4E-D2A28B3F98E0}"/>
    <hyperlink ref="A5" r:id="rId3" xr:uid="{415E695E-DE3A-4F58-BA14-CE497D46BE1A}"/>
    <hyperlink ref="B5" r:id="rId4" xr:uid="{58FCBF5C-CBC2-458A-8C99-02559FC8737D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928D-0B9D-4F30-BCD2-A6C1216B5BB7}">
  <dimension ref="A1:G14"/>
  <sheetViews>
    <sheetView workbookViewId="0">
      <selection activeCell="E25" sqref="E25"/>
    </sheetView>
  </sheetViews>
  <sheetFormatPr defaultRowHeight="15"/>
  <cols>
    <col min="1" max="1" width="12.42578125" customWidth="1"/>
    <col min="2" max="2" width="12.85546875" customWidth="1"/>
    <col min="3" max="3" width="15.85546875" customWidth="1"/>
    <col min="4" max="4" width="19.42578125" customWidth="1"/>
    <col min="5" max="5" width="19.85546875" customWidth="1"/>
    <col min="6" max="6" width="19" customWidth="1"/>
    <col min="7" max="7" width="186" customWidth="1"/>
  </cols>
  <sheetData>
    <row r="1" spans="1:7">
      <c r="A1" s="251" t="s">
        <v>206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>
      <c r="A4" s="102">
        <v>96576</v>
      </c>
      <c r="B4" s="102">
        <v>95528</v>
      </c>
      <c r="C4" s="22">
        <v>2025</v>
      </c>
      <c r="D4" s="72" t="s">
        <v>8</v>
      </c>
      <c r="E4" s="75" t="s">
        <v>207</v>
      </c>
      <c r="F4" s="76" t="s">
        <v>33</v>
      </c>
      <c r="G4" s="24" t="s">
        <v>208</v>
      </c>
    </row>
    <row r="5" spans="1:7">
      <c r="A5" s="102">
        <v>96378</v>
      </c>
      <c r="B5" s="102">
        <v>94081</v>
      </c>
      <c r="C5" s="28">
        <v>2025</v>
      </c>
      <c r="D5" s="73" t="s">
        <v>8</v>
      </c>
      <c r="E5" s="34" t="s">
        <v>209</v>
      </c>
      <c r="F5" s="76" t="s">
        <v>33</v>
      </c>
      <c r="G5" s="26" t="s">
        <v>210</v>
      </c>
    </row>
    <row r="6" spans="1:7">
      <c r="A6" s="102">
        <v>96089</v>
      </c>
      <c r="B6" s="102">
        <v>91200</v>
      </c>
      <c r="C6" s="28">
        <v>2025</v>
      </c>
      <c r="D6" s="73" t="s">
        <v>8</v>
      </c>
      <c r="E6" s="34" t="s">
        <v>52</v>
      </c>
      <c r="F6" s="76" t="s">
        <v>33</v>
      </c>
      <c r="G6" s="26" t="s">
        <v>211</v>
      </c>
    </row>
    <row r="7" spans="1:7">
      <c r="A7" s="102">
        <v>95769</v>
      </c>
      <c r="B7" s="102">
        <v>69736</v>
      </c>
      <c r="C7" s="28">
        <v>2021</v>
      </c>
      <c r="D7" s="73" t="s">
        <v>26</v>
      </c>
      <c r="E7" s="34" t="s">
        <v>52</v>
      </c>
      <c r="F7" s="76" t="s">
        <v>33</v>
      </c>
      <c r="G7" s="26" t="s">
        <v>212</v>
      </c>
    </row>
    <row r="8" spans="1:7">
      <c r="A8" s="102">
        <v>95102</v>
      </c>
      <c r="B8" s="102">
        <v>83156</v>
      </c>
      <c r="C8" s="22">
        <v>2024</v>
      </c>
      <c r="D8" s="103" t="s">
        <v>26</v>
      </c>
      <c r="E8" s="75" t="s">
        <v>213</v>
      </c>
      <c r="F8" s="76" t="s">
        <v>19</v>
      </c>
      <c r="G8" s="24" t="s">
        <v>214</v>
      </c>
    </row>
    <row r="9" spans="1:7">
      <c r="A9" s="47">
        <v>94947</v>
      </c>
      <c r="B9" s="47">
        <v>67944</v>
      </c>
      <c r="C9" s="28">
        <v>2020</v>
      </c>
      <c r="D9" s="73" t="s">
        <v>26</v>
      </c>
      <c r="E9" s="26" t="s">
        <v>215</v>
      </c>
      <c r="F9" s="26" t="s">
        <v>161</v>
      </c>
      <c r="G9" s="26" t="s">
        <v>216</v>
      </c>
    </row>
    <row r="10" spans="1:7">
      <c r="A10" s="6"/>
      <c r="B10" s="6"/>
      <c r="C10" s="48"/>
      <c r="D10" s="48"/>
      <c r="E10" s="1"/>
      <c r="F10" s="1"/>
      <c r="G10" s="8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36</v>
      </c>
      <c r="D12" s="1"/>
      <c r="E12" s="1"/>
      <c r="F12" s="1"/>
      <c r="G12" s="1"/>
    </row>
    <row r="13" spans="1:7">
      <c r="A13" s="1" t="s">
        <v>22</v>
      </c>
      <c r="B13" s="1"/>
      <c r="C13" s="1">
        <v>6</v>
      </c>
      <c r="D13" s="7">
        <f>C13/C12</f>
        <v>0.16666666666666666</v>
      </c>
      <c r="E13" s="1"/>
      <c r="F13" s="1"/>
      <c r="G13" s="1"/>
    </row>
    <row r="14" spans="1:7">
      <c r="A14" s="1" t="s">
        <v>30</v>
      </c>
      <c r="B14" s="1"/>
      <c r="C14" s="1">
        <v>4</v>
      </c>
      <c r="D14" s="7">
        <f>C14/C12</f>
        <v>0.1111111111111111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0BF3-4399-4986-9D90-C481F9AD6547}">
  <dimension ref="A1:G14"/>
  <sheetViews>
    <sheetView workbookViewId="0">
      <selection activeCell="A5" sqref="A5"/>
    </sheetView>
  </sheetViews>
  <sheetFormatPr defaultRowHeight="15"/>
  <cols>
    <col min="1" max="1" width="10.5703125" customWidth="1"/>
    <col min="2" max="2" width="15.2851562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14.85546875" customWidth="1"/>
  </cols>
  <sheetData>
    <row r="1" spans="1:7">
      <c r="A1" s="251" t="s">
        <v>217</v>
      </c>
      <c r="B1" s="252"/>
      <c r="C1" s="252"/>
      <c r="D1" s="252"/>
      <c r="E1" s="252"/>
      <c r="F1" s="252"/>
      <c r="G1" s="253"/>
    </row>
    <row r="2" spans="1:7">
      <c r="A2" s="5"/>
      <c r="B2" s="5"/>
      <c r="C2" s="5"/>
      <c r="D2" s="5"/>
      <c r="E2" s="5"/>
      <c r="F2" s="5"/>
      <c r="G2" s="5"/>
    </row>
    <row r="3" spans="1:7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25</v>
      </c>
    </row>
    <row r="4" spans="1:7" s="67" customFormat="1">
      <c r="A4" s="4">
        <v>95006</v>
      </c>
      <c r="B4" s="4">
        <v>53824</v>
      </c>
      <c r="C4" s="84">
        <v>2018</v>
      </c>
      <c r="D4" s="84" t="s">
        <v>26</v>
      </c>
      <c r="E4" s="85" t="s">
        <v>174</v>
      </c>
      <c r="F4" s="85" t="s">
        <v>161</v>
      </c>
      <c r="G4" s="86" t="s">
        <v>205</v>
      </c>
    </row>
    <row r="5" spans="1:7" s="137" customFormat="1">
      <c r="A5" s="4">
        <v>94807</v>
      </c>
      <c r="B5" s="4">
        <v>44394</v>
      </c>
      <c r="C5" s="85">
        <v>2016</v>
      </c>
      <c r="D5" s="85" t="s">
        <v>1</v>
      </c>
      <c r="E5" s="85" t="s">
        <v>218</v>
      </c>
      <c r="F5" s="85" t="s">
        <v>44</v>
      </c>
      <c r="G5" s="85" t="s">
        <v>205</v>
      </c>
    </row>
    <row r="6" spans="1:7" s="67" customFormat="1">
      <c r="A6" s="3"/>
      <c r="B6" s="3"/>
      <c r="C6" s="5"/>
      <c r="D6" s="133"/>
      <c r="E6" s="133"/>
      <c r="F6" s="133"/>
      <c r="G6" s="5"/>
    </row>
    <row r="7" spans="1:7" s="67" customFormat="1">
      <c r="A7" s="3"/>
      <c r="B7" s="5"/>
      <c r="C7" s="5"/>
      <c r="D7" s="5"/>
      <c r="E7" s="5"/>
      <c r="F7" s="5"/>
      <c r="G7" s="5"/>
    </row>
    <row r="8" spans="1:7" s="67" customFormat="1">
      <c r="A8" s="3"/>
      <c r="B8" s="5"/>
      <c r="C8" s="5"/>
      <c r="D8" s="5"/>
      <c r="E8" s="5"/>
      <c r="F8" s="5"/>
      <c r="G8" s="5"/>
    </row>
    <row r="9" spans="1:7">
      <c r="A9" s="6"/>
      <c r="B9" s="1"/>
      <c r="C9" s="1"/>
      <c r="D9" s="1"/>
      <c r="E9" s="1"/>
      <c r="F9" s="1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10</v>
      </c>
      <c r="D12" s="1"/>
      <c r="E12" s="1"/>
      <c r="F12" s="1"/>
      <c r="G12" s="1"/>
    </row>
    <row r="13" spans="1:7">
      <c r="A13" s="1" t="s">
        <v>22</v>
      </c>
      <c r="B13" s="1"/>
      <c r="C13" s="1">
        <v>2</v>
      </c>
      <c r="D13" s="7">
        <f>C13/C12</f>
        <v>0.2</v>
      </c>
      <c r="E13" s="1"/>
      <c r="F13" s="1"/>
      <c r="G13" s="1"/>
    </row>
    <row r="14" spans="1:7">
      <c r="A14" s="1" t="s">
        <v>30</v>
      </c>
      <c r="B14" s="1"/>
      <c r="C14" s="1"/>
      <c r="D14" s="7">
        <f>C14/C12</f>
        <v>0</v>
      </c>
      <c r="E14" s="1"/>
      <c r="F14" s="1"/>
      <c r="G14" s="1"/>
    </row>
  </sheetData>
  <mergeCells count="1">
    <mergeCell ref="A1:G1"/>
  </mergeCells>
  <hyperlinks>
    <hyperlink ref="A4" r:id="rId1" display="https://sgsai.dominiosistemas.com.br/sgsai/faces/sai.html?sai=95047&amp;linha=1" xr:uid="{2E890BB4-49D9-4717-8484-D25DF1131921}"/>
    <hyperlink ref="B4" r:id="rId2" display="https://sgsai.dominiosistemas.com.br/sgsai/faces/sai.html?sai=82065&amp;linha=1" xr:uid="{866C0853-1AF9-4CE1-BEE6-9C1E27C284F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163D-840E-4643-BCA9-04F0B943EF37}">
  <dimension ref="A1:G14"/>
  <sheetViews>
    <sheetView workbookViewId="0">
      <selection activeCell="A9" sqref="A9:G9"/>
    </sheetView>
  </sheetViews>
  <sheetFormatPr defaultRowHeight="15"/>
  <cols>
    <col min="1" max="1" width="12.42578125" customWidth="1"/>
    <col min="2" max="2" width="12.85546875" customWidth="1"/>
    <col min="3" max="3" width="15.85546875" customWidth="1"/>
    <col min="4" max="4" width="19.42578125" customWidth="1"/>
    <col min="5" max="5" width="19.85546875" customWidth="1"/>
    <col min="6" max="6" width="19" customWidth="1"/>
    <col min="7" max="7" width="186" customWidth="1"/>
  </cols>
  <sheetData>
    <row r="1" spans="1:7">
      <c r="A1" s="251" t="s">
        <v>219</v>
      </c>
      <c r="B1" s="252"/>
      <c r="C1" s="252"/>
      <c r="D1" s="252"/>
      <c r="E1" s="252"/>
      <c r="F1" s="252"/>
      <c r="G1" s="252"/>
    </row>
    <row r="2" spans="1:7">
      <c r="A2" s="1"/>
      <c r="B2" s="1"/>
      <c r="C2" s="1"/>
      <c r="D2" s="1"/>
      <c r="E2" s="1"/>
      <c r="F2" s="1"/>
      <c r="G2" s="1"/>
    </row>
    <row r="3" spans="1:7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7">
      <c r="A4" s="102">
        <v>97080</v>
      </c>
      <c r="B4" s="102">
        <v>93484</v>
      </c>
      <c r="C4" s="22">
        <v>2025</v>
      </c>
      <c r="D4" s="72" t="s">
        <v>8</v>
      </c>
      <c r="E4" s="75" t="s">
        <v>220</v>
      </c>
      <c r="F4" s="76" t="s">
        <v>19</v>
      </c>
      <c r="G4" s="24" t="s">
        <v>221</v>
      </c>
    </row>
    <row r="5" spans="1:7">
      <c r="A5" s="102">
        <v>96953</v>
      </c>
      <c r="B5" s="102">
        <v>92829</v>
      </c>
      <c r="C5" s="28">
        <v>2025</v>
      </c>
      <c r="D5" s="73" t="s">
        <v>8</v>
      </c>
      <c r="E5" s="34" t="s">
        <v>171</v>
      </c>
      <c r="F5" s="76" t="s">
        <v>35</v>
      </c>
      <c r="G5" s="26" t="s">
        <v>222</v>
      </c>
    </row>
    <row r="6" spans="1:7">
      <c r="A6" s="102">
        <v>96455</v>
      </c>
      <c r="B6" s="102">
        <v>36057</v>
      </c>
      <c r="C6" s="28">
        <v>2015</v>
      </c>
      <c r="D6" s="73" t="s">
        <v>8</v>
      </c>
      <c r="E6" s="34" t="s">
        <v>15</v>
      </c>
      <c r="F6" s="76" t="s">
        <v>223</v>
      </c>
      <c r="G6" s="26" t="s">
        <v>224</v>
      </c>
    </row>
    <row r="7" spans="1:7">
      <c r="A7" s="102">
        <v>96456</v>
      </c>
      <c r="B7" s="102">
        <v>71523</v>
      </c>
      <c r="C7" s="28">
        <v>2021</v>
      </c>
      <c r="D7" s="73" t="s">
        <v>8</v>
      </c>
      <c r="E7" s="34" t="s">
        <v>225</v>
      </c>
      <c r="F7" s="34" t="s">
        <v>15</v>
      </c>
      <c r="G7" s="26" t="s">
        <v>226</v>
      </c>
    </row>
    <row r="8" spans="1:7">
      <c r="A8" s="102">
        <v>96068</v>
      </c>
      <c r="B8" s="102">
        <v>44248</v>
      </c>
      <c r="C8" s="22">
        <v>2016</v>
      </c>
      <c r="D8" s="103" t="s">
        <v>12</v>
      </c>
      <c r="E8" s="75" t="s">
        <v>149</v>
      </c>
      <c r="F8" s="76" t="s">
        <v>126</v>
      </c>
      <c r="G8" s="24" t="s">
        <v>227</v>
      </c>
    </row>
    <row r="9" spans="1:7">
      <c r="A9" s="47">
        <v>95771</v>
      </c>
      <c r="B9" s="47">
        <v>82446</v>
      </c>
      <c r="C9" s="28">
        <v>2024</v>
      </c>
      <c r="D9" s="104" t="s">
        <v>8</v>
      </c>
      <c r="E9" s="26" t="s">
        <v>101</v>
      </c>
      <c r="F9" s="34" t="s">
        <v>19</v>
      </c>
      <c r="G9" s="26" t="s">
        <v>228</v>
      </c>
    </row>
    <row r="10" spans="1:7">
      <c r="A10" s="6"/>
      <c r="B10" s="6"/>
      <c r="C10" s="48"/>
      <c r="D10" s="48"/>
      <c r="E10" s="1"/>
      <c r="F10" s="1"/>
      <c r="G10" s="8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30</v>
      </c>
      <c r="D12" s="1"/>
      <c r="E12" s="1"/>
      <c r="F12" s="1"/>
      <c r="G12" s="1"/>
    </row>
    <row r="13" spans="1:7">
      <c r="A13" s="1" t="s">
        <v>22</v>
      </c>
      <c r="B13" s="1"/>
      <c r="C13" s="1">
        <v>6</v>
      </c>
      <c r="D13" s="7">
        <f>C13/C12</f>
        <v>0.2</v>
      </c>
      <c r="E13" s="1"/>
      <c r="F13" s="1"/>
      <c r="G13" s="1"/>
    </row>
    <row r="14" spans="1:7">
      <c r="A14" s="1" t="s">
        <v>30</v>
      </c>
      <c r="B14" s="1"/>
      <c r="C14" s="1">
        <v>3</v>
      </c>
      <c r="D14" s="7">
        <f>C14/C12</f>
        <v>0.1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48BB-F9EA-4315-97D0-661166CE4C59}">
  <dimension ref="A1:G14"/>
  <sheetViews>
    <sheetView workbookViewId="0">
      <selection activeCell="E4" sqref="E4"/>
    </sheetView>
  </sheetViews>
  <sheetFormatPr defaultRowHeight="15"/>
  <cols>
    <col min="1" max="1" width="10.5703125" customWidth="1"/>
    <col min="2" max="2" width="15.2851562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</cols>
  <sheetData>
    <row r="1" spans="1:7">
      <c r="A1" s="259" t="s">
        <v>217</v>
      </c>
      <c r="B1" s="252"/>
      <c r="C1" s="252"/>
      <c r="D1" s="252"/>
      <c r="E1" s="252"/>
      <c r="F1" s="252"/>
      <c r="G1" s="253"/>
    </row>
    <row r="2" spans="1:7">
      <c r="A2" s="5"/>
      <c r="B2" s="110"/>
      <c r="C2" s="5"/>
      <c r="D2" s="5"/>
      <c r="E2" s="5"/>
      <c r="F2" s="5"/>
      <c r="G2" s="5"/>
    </row>
    <row r="3" spans="1:7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114">
        <v>97275</v>
      </c>
      <c r="B4" s="112">
        <v>95299</v>
      </c>
      <c r="C4" s="84">
        <v>2025</v>
      </c>
      <c r="D4" s="108" t="s">
        <v>26</v>
      </c>
      <c r="E4" s="85" t="s">
        <v>229</v>
      </c>
      <c r="F4" s="85" t="s">
        <v>28</v>
      </c>
      <c r="G4" s="86" t="s">
        <v>205</v>
      </c>
    </row>
    <row r="5" spans="1:7" s="27" customFormat="1">
      <c r="A5" s="4">
        <v>97135</v>
      </c>
      <c r="B5" s="112">
        <v>94312</v>
      </c>
      <c r="C5" s="84">
        <v>2025</v>
      </c>
      <c r="D5" s="109" t="s">
        <v>26</v>
      </c>
      <c r="E5" s="106" t="s">
        <v>28</v>
      </c>
      <c r="F5" s="106" t="s">
        <v>28</v>
      </c>
      <c r="G5" s="85" t="s">
        <v>230</v>
      </c>
    </row>
    <row r="6" spans="1:7">
      <c r="A6" s="113">
        <v>96411</v>
      </c>
      <c r="B6" s="3">
        <v>18098</v>
      </c>
      <c r="C6" s="5">
        <v>2011</v>
      </c>
      <c r="D6" s="109" t="s">
        <v>26</v>
      </c>
      <c r="E6" s="106" t="s">
        <v>231</v>
      </c>
      <c r="F6" s="106" t="s">
        <v>223</v>
      </c>
      <c r="G6" s="86" t="s">
        <v>232</v>
      </c>
    </row>
    <row r="7" spans="1:7">
      <c r="A7" s="3">
        <v>96118</v>
      </c>
      <c r="B7" s="5">
        <v>91929</v>
      </c>
      <c r="C7" s="5">
        <v>2025</v>
      </c>
      <c r="D7" s="110" t="s">
        <v>26</v>
      </c>
      <c r="E7" s="5" t="s">
        <v>233</v>
      </c>
      <c r="F7" s="106" t="s">
        <v>28</v>
      </c>
      <c r="G7" s="105" t="s">
        <v>205</v>
      </c>
    </row>
    <row r="8" spans="1:7">
      <c r="A8" s="3"/>
      <c r="B8" s="5"/>
      <c r="C8" s="5"/>
      <c r="D8" s="110"/>
      <c r="E8" s="5"/>
      <c r="F8" s="5"/>
      <c r="G8" s="1"/>
    </row>
    <row r="9" spans="1:7">
      <c r="A9" s="3"/>
      <c r="B9" s="5"/>
      <c r="C9" s="5"/>
      <c r="D9" s="110"/>
      <c r="E9" s="5"/>
      <c r="F9" s="5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14</v>
      </c>
      <c r="D12" s="1"/>
      <c r="E12" s="1"/>
      <c r="F12" s="1"/>
      <c r="G12" s="1"/>
    </row>
    <row r="13" spans="1:7">
      <c r="A13" s="1" t="s">
        <v>22</v>
      </c>
      <c r="B13" s="1"/>
      <c r="C13" s="1">
        <v>4</v>
      </c>
      <c r="D13" s="7">
        <f>C13/C12</f>
        <v>0.2857142857142857</v>
      </c>
      <c r="E13" s="1"/>
      <c r="F13" s="1"/>
      <c r="G13" s="1"/>
    </row>
    <row r="14" spans="1:7">
      <c r="A14" s="1" t="s">
        <v>30</v>
      </c>
      <c r="B14" s="1"/>
      <c r="C14" s="1">
        <v>3</v>
      </c>
      <c r="D14" s="7">
        <f>C14/C12</f>
        <v>0.21428571428571427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D569-D86D-4F77-ACA3-82900B690C88}">
  <dimension ref="A1:H14"/>
  <sheetViews>
    <sheetView workbookViewId="0">
      <selection activeCell="G18" sqref="G18"/>
    </sheetView>
  </sheetViews>
  <sheetFormatPr defaultRowHeight="15"/>
  <cols>
    <col min="1" max="1" width="12.42578125" customWidth="1"/>
    <col min="2" max="2" width="12.85546875" customWidth="1"/>
    <col min="3" max="3" width="15.85546875" customWidth="1"/>
    <col min="4" max="4" width="19.42578125" customWidth="1"/>
    <col min="5" max="5" width="19.85546875" customWidth="1"/>
    <col min="6" max="6" width="19" customWidth="1"/>
    <col min="7" max="7" width="186" customWidth="1"/>
  </cols>
  <sheetData>
    <row r="1" spans="1:8">
      <c r="A1" s="251" t="s">
        <v>234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9" t="s">
        <v>1</v>
      </c>
      <c r="B3" s="9" t="s">
        <v>2</v>
      </c>
      <c r="C3" s="9" t="s">
        <v>3</v>
      </c>
      <c r="D3" s="2" t="s">
        <v>4</v>
      </c>
      <c r="E3" s="2" t="s">
        <v>5</v>
      </c>
      <c r="F3" s="10" t="s">
        <v>6</v>
      </c>
      <c r="G3" s="11" t="s">
        <v>7</v>
      </c>
    </row>
    <row r="4" spans="1:8">
      <c r="A4" s="102">
        <v>98137</v>
      </c>
      <c r="B4" s="102">
        <v>96572</v>
      </c>
      <c r="C4" s="22">
        <v>2025</v>
      </c>
      <c r="D4" s="72" t="s">
        <v>12</v>
      </c>
      <c r="E4" s="75" t="s">
        <v>52</v>
      </c>
      <c r="F4" s="76" t="s">
        <v>10</v>
      </c>
      <c r="G4" s="24" t="s">
        <v>235</v>
      </c>
    </row>
    <row r="5" spans="1:8">
      <c r="A5" s="102">
        <v>97761</v>
      </c>
      <c r="B5" s="102">
        <v>96434</v>
      </c>
      <c r="C5" s="28">
        <v>2025</v>
      </c>
      <c r="D5" s="73" t="s">
        <v>8</v>
      </c>
      <c r="E5" s="34" t="s">
        <v>236</v>
      </c>
      <c r="F5" s="76" t="s">
        <v>10</v>
      </c>
      <c r="G5" s="26" t="s">
        <v>237</v>
      </c>
    </row>
    <row r="6" spans="1:8">
      <c r="A6" s="102">
        <v>97766</v>
      </c>
      <c r="B6" s="102">
        <v>94148</v>
      </c>
      <c r="C6" s="28">
        <v>2025</v>
      </c>
      <c r="D6" s="73" t="s">
        <v>12</v>
      </c>
      <c r="E6" s="34" t="s">
        <v>49</v>
      </c>
      <c r="F6" s="76" t="s">
        <v>35</v>
      </c>
      <c r="G6" s="26" t="s">
        <v>238</v>
      </c>
    </row>
    <row r="7" spans="1:8">
      <c r="A7" s="102">
        <v>97507</v>
      </c>
      <c r="B7" s="102">
        <v>28860</v>
      </c>
      <c r="C7" s="28">
        <v>2014</v>
      </c>
      <c r="D7" s="73" t="s">
        <v>12</v>
      </c>
      <c r="E7" s="34" t="s">
        <v>239</v>
      </c>
      <c r="F7" s="34" t="s">
        <v>126</v>
      </c>
      <c r="G7" s="26" t="s">
        <v>240</v>
      </c>
      <c r="H7" t="s">
        <v>241</v>
      </c>
    </row>
    <row r="8" spans="1:8">
      <c r="A8" s="102">
        <v>96856</v>
      </c>
      <c r="B8" s="102">
        <v>80472</v>
      </c>
      <c r="C8" s="22">
        <v>2023</v>
      </c>
      <c r="D8" s="103" t="s">
        <v>12</v>
      </c>
      <c r="E8" s="75" t="s">
        <v>52</v>
      </c>
      <c r="F8" s="76" t="s">
        <v>35</v>
      </c>
      <c r="G8" s="24" t="s">
        <v>242</v>
      </c>
    </row>
    <row r="9" spans="1:8">
      <c r="A9" s="47">
        <v>96463</v>
      </c>
      <c r="B9" s="47">
        <v>50304</v>
      </c>
      <c r="C9" s="22">
        <v>2018</v>
      </c>
      <c r="D9" s="107" t="s">
        <v>8</v>
      </c>
      <c r="E9" s="24" t="s">
        <v>10</v>
      </c>
      <c r="F9" s="75" t="s">
        <v>149</v>
      </c>
      <c r="G9" s="24" t="s">
        <v>243</v>
      </c>
    </row>
    <row r="10" spans="1:8">
      <c r="A10" s="6">
        <v>95302</v>
      </c>
      <c r="B10" s="6">
        <v>57552</v>
      </c>
      <c r="C10" s="28">
        <v>2019</v>
      </c>
      <c r="D10" s="73" t="s">
        <v>26</v>
      </c>
      <c r="E10" s="26" t="s">
        <v>244</v>
      </c>
      <c r="F10" s="26" t="s">
        <v>149</v>
      </c>
      <c r="G10" s="34" t="s">
        <v>245</v>
      </c>
    </row>
    <row r="11" spans="1:8">
      <c r="A11" s="1"/>
      <c r="B11" s="1"/>
      <c r="C11" s="1"/>
      <c r="D11" s="1"/>
      <c r="E11" s="1"/>
      <c r="F11" s="1"/>
      <c r="G11" s="1"/>
    </row>
    <row r="12" spans="1:8">
      <c r="A12" s="1" t="s">
        <v>21</v>
      </c>
      <c r="B12" s="1"/>
      <c r="C12" s="1">
        <v>40</v>
      </c>
      <c r="D12" s="1"/>
      <c r="E12" s="1"/>
      <c r="F12" s="1"/>
      <c r="G12" s="1"/>
    </row>
    <row r="13" spans="1:8">
      <c r="A13" s="1" t="s">
        <v>22</v>
      </c>
      <c r="B13" s="1"/>
      <c r="C13" s="1">
        <v>7</v>
      </c>
      <c r="D13" s="7">
        <f>C13/C12</f>
        <v>0.17499999999999999</v>
      </c>
      <c r="E13" s="1"/>
      <c r="F13" s="1"/>
      <c r="G13" s="1"/>
    </row>
    <row r="14" spans="1:8">
      <c r="A14" s="1" t="s">
        <v>30</v>
      </c>
      <c r="B14" s="1"/>
      <c r="C14" s="1">
        <v>3</v>
      </c>
      <c r="D14" s="7">
        <f>C14/C12</f>
        <v>7.4999999999999997E-2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3104-CF87-48AE-B518-77D2BE9BACBF}">
  <dimension ref="A1:G14"/>
  <sheetViews>
    <sheetView workbookViewId="0">
      <selection activeCell="B4" sqref="B4"/>
    </sheetView>
  </sheetViews>
  <sheetFormatPr defaultRowHeight="15"/>
  <cols>
    <col min="1" max="1" width="10.5703125" customWidth="1"/>
    <col min="2" max="2" width="20.8554687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</cols>
  <sheetData>
    <row r="1" spans="1:7">
      <c r="A1" s="259" t="s">
        <v>217</v>
      </c>
      <c r="B1" s="252"/>
      <c r="C1" s="252"/>
      <c r="D1" s="252"/>
      <c r="E1" s="252"/>
      <c r="F1" s="252"/>
      <c r="G1" s="253"/>
    </row>
    <row r="2" spans="1:7">
      <c r="A2" s="5"/>
      <c r="B2" s="110"/>
      <c r="C2" s="5"/>
      <c r="D2" s="5"/>
      <c r="E2" s="5"/>
      <c r="F2" s="5"/>
      <c r="G2" s="5"/>
    </row>
    <row r="3" spans="1:7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114">
        <v>97853</v>
      </c>
      <c r="B4" s="115" t="s">
        <v>246</v>
      </c>
      <c r="C4" s="84">
        <v>2025</v>
      </c>
      <c r="D4" s="109" t="s">
        <v>26</v>
      </c>
      <c r="E4" s="106" t="s">
        <v>32</v>
      </c>
      <c r="F4" s="106" t="s">
        <v>28</v>
      </c>
      <c r="G4" s="85" t="s">
        <v>247</v>
      </c>
    </row>
    <row r="5" spans="1:7" s="27" customFormat="1">
      <c r="A5" s="4">
        <v>96610</v>
      </c>
      <c r="B5" s="115">
        <v>50305</v>
      </c>
      <c r="C5" s="84">
        <v>2017</v>
      </c>
      <c r="D5" s="109" t="s">
        <v>26</v>
      </c>
      <c r="E5" s="106" t="s">
        <v>10</v>
      </c>
      <c r="F5" s="106" t="s">
        <v>149</v>
      </c>
      <c r="G5" s="105" t="s">
        <v>205</v>
      </c>
    </row>
    <row r="6" spans="1:7">
      <c r="A6" s="113">
        <v>96522</v>
      </c>
      <c r="B6" s="3">
        <v>52585</v>
      </c>
      <c r="C6" s="5">
        <v>2018</v>
      </c>
      <c r="D6" s="109" t="s">
        <v>26</v>
      </c>
      <c r="E6" s="106" t="s">
        <v>154</v>
      </c>
      <c r="F6" s="106" t="s">
        <v>248</v>
      </c>
      <c r="G6" s="86" t="s">
        <v>205</v>
      </c>
    </row>
    <row r="7" spans="1:7">
      <c r="A7" s="3"/>
      <c r="B7" s="5"/>
      <c r="C7" s="5"/>
      <c r="D7" s="110"/>
      <c r="E7" s="5"/>
      <c r="F7" s="106"/>
      <c r="G7" s="105"/>
    </row>
    <row r="8" spans="1:7">
      <c r="A8" s="3"/>
      <c r="B8" s="5"/>
      <c r="C8" s="5"/>
      <c r="D8" s="110"/>
      <c r="E8" s="5"/>
      <c r="F8" s="5"/>
      <c r="G8" s="1"/>
    </row>
    <row r="9" spans="1:7">
      <c r="A9" s="3"/>
      <c r="B9" s="5"/>
      <c r="C9" s="5"/>
      <c r="D9" s="110"/>
      <c r="E9" s="5"/>
      <c r="F9" s="5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12</v>
      </c>
      <c r="D12" s="1"/>
      <c r="E12" s="1"/>
      <c r="F12" s="1"/>
      <c r="G12" s="1"/>
    </row>
    <row r="13" spans="1:7">
      <c r="A13" s="1" t="s">
        <v>22</v>
      </c>
      <c r="B13" s="1"/>
      <c r="C13" s="1">
        <v>3</v>
      </c>
      <c r="D13" s="7">
        <f>C13/C12</f>
        <v>0.25</v>
      </c>
      <c r="E13" s="1"/>
      <c r="F13" s="1"/>
      <c r="G13" s="1"/>
    </row>
    <row r="14" spans="1:7">
      <c r="A14" s="1" t="s">
        <v>30</v>
      </c>
      <c r="B14" s="1"/>
      <c r="C14" s="1">
        <v>1</v>
      </c>
      <c r="D14" s="7">
        <f>C14/C12</f>
        <v>8.3333333333333329E-2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9962-E170-4C4A-B11A-8615C03EB9A2}">
  <dimension ref="A1:H16"/>
  <sheetViews>
    <sheetView workbookViewId="0">
      <selection activeCell="C16" sqref="C16"/>
    </sheetView>
  </sheetViews>
  <sheetFormatPr defaultRowHeight="15"/>
  <cols>
    <col min="1" max="1" width="12.42578125" customWidth="1"/>
    <col min="2" max="2" width="12.85546875" customWidth="1"/>
    <col min="3" max="3" width="15.85546875" customWidth="1"/>
    <col min="4" max="4" width="19.42578125" customWidth="1"/>
    <col min="5" max="5" width="19.85546875" customWidth="1"/>
    <col min="6" max="6" width="19" customWidth="1"/>
    <col min="7" max="7" width="186" customWidth="1"/>
  </cols>
  <sheetData>
    <row r="1" spans="1:8">
      <c r="A1" s="251" t="s">
        <v>249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1" t="s">
        <v>7</v>
      </c>
    </row>
    <row r="4" spans="1:8">
      <c r="A4" s="147">
        <v>96734</v>
      </c>
      <c r="B4" s="147">
        <v>49587</v>
      </c>
      <c r="C4" s="19">
        <v>2017</v>
      </c>
      <c r="D4" s="148" t="s">
        <v>8</v>
      </c>
      <c r="E4" s="17" t="s">
        <v>13</v>
      </c>
      <c r="F4" s="17" t="s">
        <v>13</v>
      </c>
      <c r="G4" s="5" t="s">
        <v>13</v>
      </c>
    </row>
    <row r="5" spans="1:8">
      <c r="A5" s="146">
        <v>96855</v>
      </c>
      <c r="B5" s="146">
        <v>85209</v>
      </c>
      <c r="C5" s="42">
        <v>2024</v>
      </c>
      <c r="D5" s="144" t="s">
        <v>12</v>
      </c>
      <c r="E5" s="145" t="s">
        <v>52</v>
      </c>
      <c r="F5" s="145" t="s">
        <v>35</v>
      </c>
      <c r="G5" s="40" t="s">
        <v>250</v>
      </c>
    </row>
    <row r="6" spans="1:8">
      <c r="A6" s="147">
        <v>97217</v>
      </c>
      <c r="B6" s="147">
        <v>22408</v>
      </c>
      <c r="C6" s="19">
        <v>2012</v>
      </c>
      <c r="D6" s="148" t="s">
        <v>8</v>
      </c>
      <c r="E6" s="17" t="s">
        <v>13</v>
      </c>
      <c r="F6" s="17" t="s">
        <v>13</v>
      </c>
      <c r="G6" s="5" t="s">
        <v>13</v>
      </c>
    </row>
    <row r="7" spans="1:8">
      <c r="A7" s="147">
        <v>97209</v>
      </c>
      <c r="B7" s="18" t="s">
        <v>17</v>
      </c>
      <c r="C7" s="19" t="s">
        <v>13</v>
      </c>
      <c r="D7" s="148" t="s">
        <v>13</v>
      </c>
      <c r="E7" s="17" t="s">
        <v>13</v>
      </c>
      <c r="F7" s="17" t="s">
        <v>13</v>
      </c>
      <c r="G7" s="5" t="s">
        <v>13</v>
      </c>
      <c r="H7" t="s">
        <v>241</v>
      </c>
    </row>
    <row r="8" spans="1:8">
      <c r="A8" s="147">
        <v>97915</v>
      </c>
      <c r="B8" s="147">
        <v>11130</v>
      </c>
      <c r="C8" s="19"/>
      <c r="D8" s="148" t="s">
        <v>13</v>
      </c>
      <c r="E8" s="17" t="s">
        <v>13</v>
      </c>
      <c r="F8" s="17" t="s">
        <v>13</v>
      </c>
      <c r="G8" s="5" t="s">
        <v>53</v>
      </c>
    </row>
    <row r="9" spans="1:8">
      <c r="A9" s="146">
        <v>98046</v>
      </c>
      <c r="B9" s="146">
        <v>93614</v>
      </c>
      <c r="C9" s="42">
        <v>2025</v>
      </c>
      <c r="D9" s="144" t="s">
        <v>26</v>
      </c>
      <c r="E9" s="40" t="s">
        <v>209</v>
      </c>
      <c r="F9" s="145" t="s">
        <v>19</v>
      </c>
      <c r="G9" s="40" t="s">
        <v>251</v>
      </c>
    </row>
    <row r="10" spans="1:8">
      <c r="A10" s="146">
        <v>98070</v>
      </c>
      <c r="B10" s="146">
        <v>96822</v>
      </c>
      <c r="C10" s="42">
        <v>2025</v>
      </c>
      <c r="D10" s="144" t="s">
        <v>12</v>
      </c>
      <c r="E10" s="40" t="s">
        <v>49</v>
      </c>
      <c r="F10" s="145" t="s">
        <v>35</v>
      </c>
      <c r="G10" s="40" t="s">
        <v>252</v>
      </c>
    </row>
    <row r="11" spans="1:8">
      <c r="A11" s="146">
        <v>98236</v>
      </c>
      <c r="B11" s="146">
        <v>88347</v>
      </c>
      <c r="C11" s="42">
        <v>2024</v>
      </c>
      <c r="D11" s="144" t="s">
        <v>26</v>
      </c>
      <c r="E11" s="40" t="s">
        <v>34</v>
      </c>
      <c r="F11" s="145" t="s">
        <v>35</v>
      </c>
      <c r="G11" s="40" t="s">
        <v>253</v>
      </c>
    </row>
    <row r="12" spans="1:8">
      <c r="A12" s="3"/>
      <c r="B12" s="3"/>
      <c r="C12" s="19"/>
      <c r="D12" s="148"/>
      <c r="E12" s="5"/>
      <c r="F12" s="5"/>
      <c r="G12" s="17"/>
    </row>
    <row r="13" spans="1:8">
      <c r="A13" s="1"/>
      <c r="B13" s="1"/>
      <c r="C13" s="1"/>
      <c r="D13" s="1"/>
      <c r="E13" s="1"/>
      <c r="F13" s="1"/>
      <c r="G13" s="1"/>
    </row>
    <row r="14" spans="1:8">
      <c r="A14" s="1" t="s">
        <v>21</v>
      </c>
      <c r="B14" s="1"/>
      <c r="C14" s="1">
        <v>30</v>
      </c>
      <c r="D14" s="1"/>
      <c r="E14" s="1"/>
      <c r="F14" s="1"/>
      <c r="G14" s="1"/>
    </row>
    <row r="15" spans="1:8">
      <c r="A15" s="1" t="s">
        <v>22</v>
      </c>
      <c r="B15" s="1"/>
      <c r="C15" s="1">
        <v>8</v>
      </c>
      <c r="D15" s="7">
        <f>C15/C14</f>
        <v>0.26666666666666666</v>
      </c>
      <c r="E15" s="1"/>
      <c r="F15" s="1"/>
      <c r="G15" s="1"/>
    </row>
    <row r="16" spans="1:8">
      <c r="A16" s="1" t="s">
        <v>30</v>
      </c>
      <c r="B16" s="1"/>
      <c r="C16" s="1">
        <v>4</v>
      </c>
      <c r="D16" s="7">
        <f>C16/C14</f>
        <v>0.13333333333333333</v>
      </c>
      <c r="E16" s="1"/>
      <c r="F16" s="1"/>
      <c r="G16" s="1"/>
    </row>
  </sheetData>
  <mergeCells count="1">
    <mergeCell ref="A1:G1"/>
  </mergeCells>
  <hyperlinks>
    <hyperlink ref="A4" r:id="rId1" display="96734" xr:uid="{950AA1D6-8E6F-4B50-B26E-D13166682DFC}"/>
    <hyperlink ref="B4" r:id="rId2" display="49587" xr:uid="{93F775BF-B392-4E02-A168-F697C993181C}"/>
    <hyperlink ref="A5" r:id="rId3" display="96855" xr:uid="{1EA6F0A8-1BFC-498C-8FA1-31A20AD47C12}"/>
    <hyperlink ref="B5" r:id="rId4" display="85209" xr:uid="{DA184815-99CD-463A-A27F-C0A6C8788A96}"/>
    <hyperlink ref="A6" r:id="rId5" display="97217" xr:uid="{843E9A8A-D9C6-4D94-A3FE-909839C81359}"/>
    <hyperlink ref="B6" r:id="rId6" display="22408" xr:uid="{7ECCF02F-12D9-4030-AC7B-764054A9B692}"/>
    <hyperlink ref="A7" r:id="rId7" display="97209" xr:uid="{EF5157CC-831F-40D7-B543-795D2A9A3F91}"/>
    <hyperlink ref="A8" r:id="rId8" display="97915" xr:uid="{5A208438-5171-41A0-AD73-CD42FFBA5D2E}"/>
    <hyperlink ref="B8" r:id="rId9" display="11130" xr:uid="{3D68A499-C70E-4B2D-B736-2804D85BF8CC}"/>
    <hyperlink ref="A9" r:id="rId10" display="98046" xr:uid="{C48A64F6-79E6-4BA9-948A-84A818182202}"/>
    <hyperlink ref="B9" r:id="rId11" display="93614" xr:uid="{FDCE507F-5326-433E-85ED-AB205702A800}"/>
    <hyperlink ref="A10" r:id="rId12" display="98070" xr:uid="{48F209DF-8F94-49A2-979F-174AD98DF249}"/>
    <hyperlink ref="B10" r:id="rId13" display="96822" xr:uid="{3BB51B22-7135-48DF-975E-95AD1253F66C}"/>
    <hyperlink ref="A11" r:id="rId14" display="98236" xr:uid="{BF44F963-4A36-435D-8574-84F09F349252}"/>
    <hyperlink ref="B11" r:id="rId15" display="88347" xr:uid="{AA017E49-0FD3-4FB0-B9A8-9EDE3BEC3E7F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B841-5A13-4B22-8A94-905E95448CCD}">
  <dimension ref="A1:G14"/>
  <sheetViews>
    <sheetView workbookViewId="0">
      <selection activeCell="G18" sqref="G18"/>
    </sheetView>
  </sheetViews>
  <sheetFormatPr defaultRowHeight="15"/>
  <cols>
    <col min="1" max="1" width="10.5703125" customWidth="1"/>
    <col min="2" max="2" width="20.8554687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</cols>
  <sheetData>
    <row r="1" spans="1:7">
      <c r="A1" s="259" t="s">
        <v>217</v>
      </c>
      <c r="B1" s="252"/>
      <c r="C1" s="252"/>
      <c r="D1" s="252"/>
      <c r="E1" s="252"/>
      <c r="F1" s="252"/>
      <c r="G1" s="253"/>
    </row>
    <row r="2" spans="1:7">
      <c r="A2" s="5"/>
      <c r="B2" s="110"/>
      <c r="C2" s="5"/>
      <c r="D2" s="5"/>
      <c r="E2" s="5"/>
      <c r="F2" s="5"/>
      <c r="G2" s="5"/>
    </row>
    <row r="3" spans="1:7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2" t="s">
        <v>25</v>
      </c>
    </row>
    <row r="4" spans="1:7">
      <c r="A4" s="114">
        <v>98678</v>
      </c>
      <c r="B4" s="115">
        <v>98473</v>
      </c>
      <c r="C4" s="84">
        <v>2025</v>
      </c>
      <c r="D4" s="109" t="s">
        <v>26</v>
      </c>
      <c r="E4" s="106" t="s">
        <v>59</v>
      </c>
      <c r="F4" s="106" t="s">
        <v>28</v>
      </c>
      <c r="G4" s="85" t="s">
        <v>254</v>
      </c>
    </row>
    <row r="5" spans="1:7" s="27" customFormat="1">
      <c r="A5" s="4">
        <v>97293</v>
      </c>
      <c r="B5" s="115" t="s">
        <v>255</v>
      </c>
      <c r="C5" s="84">
        <v>2025</v>
      </c>
      <c r="D5" s="109" t="s">
        <v>26</v>
      </c>
      <c r="E5" s="106" t="s">
        <v>32</v>
      </c>
      <c r="F5" s="106" t="s">
        <v>28</v>
      </c>
      <c r="G5" s="105" t="s">
        <v>247</v>
      </c>
    </row>
    <row r="6" spans="1:7">
      <c r="A6" s="113">
        <v>97269</v>
      </c>
      <c r="B6" s="116">
        <v>95510</v>
      </c>
      <c r="C6" s="5">
        <v>2025</v>
      </c>
      <c r="D6" s="109" t="s">
        <v>26</v>
      </c>
      <c r="E6" s="106" t="s">
        <v>32</v>
      </c>
      <c r="F6" s="106" t="s">
        <v>28</v>
      </c>
      <c r="G6" s="105" t="s">
        <v>247</v>
      </c>
    </row>
    <row r="7" spans="1:7">
      <c r="A7" s="3"/>
      <c r="B7" s="5"/>
      <c r="C7" s="5"/>
      <c r="D7" s="110"/>
      <c r="E7" s="5"/>
      <c r="F7" s="106"/>
      <c r="G7" s="105"/>
    </row>
    <row r="8" spans="1:7">
      <c r="A8" s="3"/>
      <c r="B8" s="5"/>
      <c r="C8" s="5"/>
      <c r="D8" s="110"/>
      <c r="E8" s="5"/>
      <c r="F8" s="5"/>
      <c r="G8" s="1"/>
    </row>
    <row r="9" spans="1:7">
      <c r="A9" s="3"/>
      <c r="B9" s="5"/>
      <c r="C9" s="5"/>
      <c r="D9" s="110"/>
      <c r="E9" s="5"/>
      <c r="F9" s="5"/>
      <c r="G9" s="1"/>
    </row>
    <row r="10" spans="1:7">
      <c r="A10" s="6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21</v>
      </c>
      <c r="B12" s="1"/>
      <c r="C12" s="1">
        <v>9</v>
      </c>
      <c r="D12" s="1"/>
      <c r="E12" s="1"/>
      <c r="F12" s="1"/>
      <c r="G12" s="1"/>
    </row>
    <row r="13" spans="1:7">
      <c r="A13" s="1" t="s">
        <v>22</v>
      </c>
      <c r="B13" s="1"/>
      <c r="C13" s="1">
        <v>3</v>
      </c>
      <c r="D13" s="7">
        <f>C13/C12</f>
        <v>0.33333333333333331</v>
      </c>
      <c r="E13" s="1"/>
      <c r="F13" s="1"/>
      <c r="G13" s="1"/>
    </row>
    <row r="14" spans="1:7">
      <c r="A14" s="1" t="s">
        <v>30</v>
      </c>
      <c r="B14" s="1"/>
      <c r="C14" s="1">
        <v>3</v>
      </c>
      <c r="D14" s="7">
        <f>C14/C12</f>
        <v>0.33333333333333331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27FD-26F5-4E36-8494-62898E75056D}">
  <dimension ref="A1:M44"/>
  <sheetViews>
    <sheetView workbookViewId="0">
      <selection activeCell="I2" sqref="I2:M15"/>
    </sheetView>
  </sheetViews>
  <sheetFormatPr defaultRowHeight="15"/>
  <cols>
    <col min="1" max="1" width="10.140625" bestFit="1" customWidth="1"/>
    <col min="2" max="2" width="33.42578125" customWidth="1"/>
    <col min="3" max="3" width="19.85546875" customWidth="1"/>
    <col min="4" max="6" width="15.28515625" customWidth="1"/>
    <col min="7" max="7" width="19.140625" customWidth="1"/>
    <col min="9" max="9" width="16.140625" bestFit="1" customWidth="1"/>
    <col min="12" max="12" width="16.85546875" customWidth="1"/>
  </cols>
  <sheetData>
    <row r="1" spans="1:13" ht="15.75" customHeight="1">
      <c r="A1" s="269" t="s">
        <v>256</v>
      </c>
      <c r="B1" s="269"/>
      <c r="C1" s="269"/>
      <c r="D1" s="269"/>
      <c r="E1" s="88"/>
      <c r="F1" s="88"/>
      <c r="G1" s="88"/>
    </row>
    <row r="2" spans="1:13" ht="33.75" customHeight="1">
      <c r="A2" s="66" t="s">
        <v>257</v>
      </c>
      <c r="B2" s="66" t="s">
        <v>105</v>
      </c>
      <c r="C2" s="66" t="s">
        <v>106</v>
      </c>
      <c r="D2" s="93" t="s">
        <v>258</v>
      </c>
      <c r="E2" s="69" t="s">
        <v>259</v>
      </c>
      <c r="F2" s="69" t="s">
        <v>260</v>
      </c>
      <c r="G2" s="94" t="s">
        <v>261</v>
      </c>
      <c r="I2" s="266" t="s">
        <v>108</v>
      </c>
      <c r="J2" s="266"/>
      <c r="L2" s="267" t="s">
        <v>109</v>
      </c>
      <c r="M2" s="268"/>
    </row>
    <row r="3" spans="1:13">
      <c r="A3" s="67" t="s">
        <v>262</v>
      </c>
      <c r="B3" s="87">
        <v>19</v>
      </c>
      <c r="C3" s="87">
        <v>2</v>
      </c>
      <c r="D3" s="68">
        <f>(C3-E3)/B3</f>
        <v>0</v>
      </c>
      <c r="E3" s="91">
        <v>2</v>
      </c>
      <c r="F3" s="68">
        <f>C3/B3</f>
        <v>0.10526315789473684</v>
      </c>
      <c r="G3" s="90">
        <f>C3-E3</f>
        <v>0</v>
      </c>
      <c r="I3" s="67" t="s">
        <v>52</v>
      </c>
      <c r="J3" s="67">
        <v>5</v>
      </c>
      <c r="L3" s="67" t="s">
        <v>152</v>
      </c>
      <c r="M3" s="67">
        <v>1</v>
      </c>
    </row>
    <row r="4" spans="1:13">
      <c r="A4" s="67" t="s">
        <v>263</v>
      </c>
      <c r="B4" s="87">
        <v>24</v>
      </c>
      <c r="C4" s="87">
        <v>4</v>
      </c>
      <c r="D4" s="68">
        <f t="shared" ref="D4:D15" si="0">(C4-E4)/B4</f>
        <v>4.1666666666666664E-2</v>
      </c>
      <c r="E4" s="92">
        <v>3</v>
      </c>
      <c r="F4" s="68">
        <f t="shared" ref="F4:F15" si="1">C4/B4</f>
        <v>0.16666666666666666</v>
      </c>
      <c r="G4" s="87">
        <f t="shared" ref="G4:G14" si="2">C4-E4</f>
        <v>1</v>
      </c>
      <c r="I4" s="67" t="s">
        <v>9</v>
      </c>
      <c r="J4" s="67">
        <v>3</v>
      </c>
      <c r="L4" s="67" t="s">
        <v>10</v>
      </c>
      <c r="M4" s="67">
        <v>0</v>
      </c>
    </row>
    <row r="5" spans="1:13">
      <c r="A5" s="67" t="s">
        <v>264</v>
      </c>
      <c r="B5" s="87">
        <v>27</v>
      </c>
      <c r="C5" s="87">
        <v>3</v>
      </c>
      <c r="D5" s="68">
        <f t="shared" si="0"/>
        <v>3.7037037037037035E-2</v>
      </c>
      <c r="E5" s="92">
        <v>2</v>
      </c>
      <c r="F5" s="68">
        <f t="shared" si="1"/>
        <v>0.1111111111111111</v>
      </c>
      <c r="G5" s="87">
        <f t="shared" si="2"/>
        <v>1</v>
      </c>
      <c r="I5" s="67" t="s">
        <v>265</v>
      </c>
      <c r="J5" s="67">
        <v>1</v>
      </c>
      <c r="L5" s="67" t="s">
        <v>19</v>
      </c>
      <c r="M5" s="67">
        <v>11</v>
      </c>
    </row>
    <row r="6" spans="1:13">
      <c r="A6" s="67" t="s">
        <v>266</v>
      </c>
      <c r="B6" s="87">
        <v>27</v>
      </c>
      <c r="C6" s="87">
        <v>3</v>
      </c>
      <c r="D6" s="68">
        <f t="shared" si="0"/>
        <v>3.7037037037037035E-2</v>
      </c>
      <c r="E6" s="92">
        <v>2</v>
      </c>
      <c r="F6" s="68">
        <f t="shared" si="1"/>
        <v>0.1111111111111111</v>
      </c>
      <c r="G6" s="87">
        <f t="shared" si="2"/>
        <v>1</v>
      </c>
      <c r="I6" s="67" t="s">
        <v>14</v>
      </c>
      <c r="J6" s="67">
        <v>1</v>
      </c>
      <c r="L6" s="67" t="s">
        <v>28</v>
      </c>
      <c r="M6" s="67">
        <v>8</v>
      </c>
    </row>
    <row r="7" spans="1:13">
      <c r="A7" s="67" t="s">
        <v>267</v>
      </c>
      <c r="B7" s="87">
        <v>21</v>
      </c>
      <c r="C7" s="87">
        <v>4</v>
      </c>
      <c r="D7" s="68">
        <f t="shared" si="0"/>
        <v>4.7619047619047616E-2</v>
      </c>
      <c r="E7" s="92">
        <v>3</v>
      </c>
      <c r="F7" s="68">
        <f t="shared" si="1"/>
        <v>0.19047619047619047</v>
      </c>
      <c r="G7" s="87">
        <f t="shared" si="2"/>
        <v>1</v>
      </c>
      <c r="I7" s="67" t="s">
        <v>233</v>
      </c>
      <c r="J7" s="67">
        <v>1</v>
      </c>
      <c r="L7" s="67" t="s">
        <v>35</v>
      </c>
      <c r="M7" s="67">
        <v>7</v>
      </c>
    </row>
    <row r="8" spans="1:13">
      <c r="A8" s="67" t="s">
        <v>268</v>
      </c>
      <c r="B8" s="87">
        <v>23</v>
      </c>
      <c r="C8" s="87">
        <v>5</v>
      </c>
      <c r="D8" s="68">
        <f t="shared" si="0"/>
        <v>4.3478260869565216E-2</v>
      </c>
      <c r="E8" s="92">
        <v>4</v>
      </c>
      <c r="F8" s="68">
        <f t="shared" si="1"/>
        <v>0.21739130434782608</v>
      </c>
      <c r="G8" s="87">
        <f t="shared" si="2"/>
        <v>1</v>
      </c>
      <c r="I8" s="67" t="s">
        <v>27</v>
      </c>
      <c r="J8" s="67">
        <v>1</v>
      </c>
      <c r="L8" s="67" t="s">
        <v>189</v>
      </c>
      <c r="M8" s="67">
        <v>8</v>
      </c>
    </row>
    <row r="9" spans="1:13">
      <c r="A9" s="67" t="s">
        <v>269</v>
      </c>
      <c r="B9" s="87">
        <v>20</v>
      </c>
      <c r="C9" s="87">
        <v>5</v>
      </c>
      <c r="D9" s="68">
        <f t="shared" si="0"/>
        <v>0.05</v>
      </c>
      <c r="E9" s="92">
        <v>4</v>
      </c>
      <c r="F9" s="68">
        <f t="shared" si="1"/>
        <v>0.25</v>
      </c>
      <c r="G9" s="87">
        <f t="shared" si="2"/>
        <v>1</v>
      </c>
      <c r="I9" s="67" t="s">
        <v>34</v>
      </c>
      <c r="J9" s="67">
        <v>4</v>
      </c>
    </row>
    <row r="10" spans="1:13">
      <c r="A10" s="67" t="s">
        <v>270</v>
      </c>
      <c r="B10" s="87">
        <v>31</v>
      </c>
      <c r="C10" s="87">
        <v>5</v>
      </c>
      <c r="D10" s="68">
        <f t="shared" si="0"/>
        <v>0.12903225806451613</v>
      </c>
      <c r="E10" s="92">
        <v>1</v>
      </c>
      <c r="F10" s="68">
        <f t="shared" si="1"/>
        <v>0.16129032258064516</v>
      </c>
      <c r="G10" s="87">
        <f t="shared" si="2"/>
        <v>4</v>
      </c>
      <c r="I10" s="67" t="s">
        <v>209</v>
      </c>
      <c r="J10" s="67">
        <v>3</v>
      </c>
      <c r="L10" s="67" t="s">
        <v>271</v>
      </c>
      <c r="M10" s="100">
        <f>SUM(M3:M8)</f>
        <v>35</v>
      </c>
    </row>
    <row r="11" spans="1:13">
      <c r="A11" s="67" t="s">
        <v>272</v>
      </c>
      <c r="B11" s="87">
        <v>36</v>
      </c>
      <c r="C11" s="87">
        <v>6</v>
      </c>
      <c r="D11" s="68">
        <f t="shared" si="0"/>
        <v>0.1111111111111111</v>
      </c>
      <c r="E11" s="92">
        <v>2</v>
      </c>
      <c r="F11" s="68">
        <f t="shared" si="1"/>
        <v>0.16666666666666666</v>
      </c>
      <c r="G11" s="87">
        <f t="shared" si="2"/>
        <v>4</v>
      </c>
      <c r="I11" s="67" t="s">
        <v>59</v>
      </c>
      <c r="J11" s="67">
        <v>6</v>
      </c>
    </row>
    <row r="12" spans="1:13">
      <c r="A12" s="67" t="s">
        <v>273</v>
      </c>
      <c r="B12" s="87">
        <v>30</v>
      </c>
      <c r="C12" s="87">
        <v>6</v>
      </c>
      <c r="D12" s="68">
        <f t="shared" si="0"/>
        <v>0.1</v>
      </c>
      <c r="E12" s="92">
        <v>3</v>
      </c>
      <c r="F12" s="68">
        <f t="shared" si="1"/>
        <v>0.2</v>
      </c>
      <c r="G12" s="87">
        <f t="shared" si="2"/>
        <v>3</v>
      </c>
      <c r="I12" s="67" t="s">
        <v>213</v>
      </c>
      <c r="J12" s="67">
        <v>2</v>
      </c>
    </row>
    <row r="13" spans="1:13">
      <c r="A13" s="67" t="s">
        <v>274</v>
      </c>
      <c r="B13" s="87">
        <f>'Novembro 2025 - Escrita'!C12</f>
        <v>40</v>
      </c>
      <c r="C13" s="87">
        <f>'Novembro 2025 - Escrita'!C13</f>
        <v>7</v>
      </c>
      <c r="D13" s="68">
        <f t="shared" si="0"/>
        <v>7.4999999999999997E-2</v>
      </c>
      <c r="E13" s="92">
        <v>4</v>
      </c>
      <c r="F13" s="68">
        <f>C13/B13</f>
        <v>0.17499999999999999</v>
      </c>
      <c r="G13" s="87">
        <f t="shared" si="2"/>
        <v>3</v>
      </c>
      <c r="I13" s="95" t="s">
        <v>207</v>
      </c>
      <c r="J13" s="95">
        <v>1</v>
      </c>
    </row>
    <row r="14" spans="1:13">
      <c r="A14" s="67" t="s">
        <v>275</v>
      </c>
      <c r="B14" s="87">
        <f>'Dezembro 2025 - Escrita'!C14</f>
        <v>30</v>
      </c>
      <c r="C14" s="87">
        <f>'Dezembro 2025 - Escrita'!C15</f>
        <v>8</v>
      </c>
      <c r="D14" s="68">
        <f t="shared" si="0"/>
        <v>0.13333333333333333</v>
      </c>
      <c r="E14" s="92">
        <v>4</v>
      </c>
      <c r="F14" s="68">
        <f t="shared" si="1"/>
        <v>0.26666666666666666</v>
      </c>
      <c r="G14" s="87">
        <f>C14-E14</f>
        <v>4</v>
      </c>
      <c r="I14" s="95" t="s">
        <v>276</v>
      </c>
      <c r="J14" s="95">
        <v>2</v>
      </c>
    </row>
    <row r="15" spans="1:13">
      <c r="A15" s="74" t="s">
        <v>277</v>
      </c>
      <c r="B15" s="87">
        <f>SUM(B3:B14)</f>
        <v>328</v>
      </c>
      <c r="C15" s="87">
        <f>SUM(C3:C14)</f>
        <v>58</v>
      </c>
      <c r="D15" s="97">
        <f>(C15-E15)/B15</f>
        <v>7.3170731707317069E-2</v>
      </c>
      <c r="E15" s="87">
        <f>SUM(E3:E14)</f>
        <v>34</v>
      </c>
      <c r="F15" s="68">
        <f>C15/B15</f>
        <v>0.17682926829268292</v>
      </c>
      <c r="G15" s="96">
        <f>SUM(G3:G14)</f>
        <v>24</v>
      </c>
      <c r="I15" s="67" t="s">
        <v>271</v>
      </c>
      <c r="J15" s="100">
        <f>SUM(J3:J14)</f>
        <v>30</v>
      </c>
    </row>
    <row r="17" spans="1:7">
      <c r="A17" s="269" t="s">
        <v>278</v>
      </c>
      <c r="B17" s="269"/>
      <c r="C17" s="269"/>
      <c r="D17" s="269"/>
      <c r="E17" s="88"/>
      <c r="F17" s="88"/>
      <c r="G17" s="88"/>
    </row>
    <row r="18" spans="1:7">
      <c r="A18" s="66" t="s">
        <v>257</v>
      </c>
      <c r="B18" s="66" t="s">
        <v>105</v>
      </c>
      <c r="C18" s="66" t="s">
        <v>106</v>
      </c>
      <c r="D18" s="66" t="s">
        <v>107</v>
      </c>
      <c r="E18" s="69" t="s">
        <v>259</v>
      </c>
      <c r="F18" s="66" t="s">
        <v>260</v>
      </c>
      <c r="G18" s="89"/>
    </row>
    <row r="19" spans="1:7">
      <c r="A19" s="67" t="s">
        <v>262</v>
      </c>
      <c r="B19" s="87">
        <v>15</v>
      </c>
      <c r="C19" s="87">
        <v>3</v>
      </c>
      <c r="D19" s="68">
        <f>(C19-E19)/B19</f>
        <v>0</v>
      </c>
      <c r="E19" s="91">
        <v>3</v>
      </c>
      <c r="F19" s="98">
        <f>C19/B19</f>
        <v>0.2</v>
      </c>
      <c r="G19" s="87">
        <f>C19-E19</f>
        <v>0</v>
      </c>
    </row>
    <row r="20" spans="1:7">
      <c r="A20" s="67" t="s">
        <v>263</v>
      </c>
      <c r="B20" s="87">
        <v>17</v>
      </c>
      <c r="C20" s="87">
        <v>5</v>
      </c>
      <c r="D20" s="68">
        <f t="shared" ref="D20:D31" si="3">(C20-E20)/B20</f>
        <v>5.8823529411764705E-2</v>
      </c>
      <c r="E20" s="92">
        <v>4</v>
      </c>
      <c r="F20" s="98">
        <f t="shared" ref="F20:F31" si="4">C20/B20</f>
        <v>0.29411764705882354</v>
      </c>
      <c r="G20" s="87">
        <f t="shared" ref="G20:G30" si="5">C20-E20</f>
        <v>1</v>
      </c>
    </row>
    <row r="21" spans="1:7">
      <c r="A21" s="67" t="s">
        <v>264</v>
      </c>
      <c r="B21" s="87">
        <v>14</v>
      </c>
      <c r="C21" s="87">
        <v>4</v>
      </c>
      <c r="D21" s="68">
        <f t="shared" si="3"/>
        <v>0</v>
      </c>
      <c r="E21" s="92">
        <v>4</v>
      </c>
      <c r="F21" s="98">
        <f t="shared" si="4"/>
        <v>0.2857142857142857</v>
      </c>
      <c r="G21" s="87">
        <f t="shared" si="5"/>
        <v>0</v>
      </c>
    </row>
    <row r="22" spans="1:7">
      <c r="A22" s="67" t="s">
        <v>266</v>
      </c>
      <c r="B22" s="87">
        <v>7</v>
      </c>
      <c r="C22" s="87">
        <v>2</v>
      </c>
      <c r="D22" s="68">
        <f t="shared" si="3"/>
        <v>0</v>
      </c>
      <c r="E22" s="92">
        <v>2</v>
      </c>
      <c r="F22" s="98">
        <f t="shared" si="4"/>
        <v>0.2857142857142857</v>
      </c>
      <c r="G22" s="87">
        <f t="shared" si="5"/>
        <v>0</v>
      </c>
    </row>
    <row r="23" spans="1:7" ht="18" customHeight="1">
      <c r="A23" s="67" t="s">
        <v>267</v>
      </c>
      <c r="B23" s="87">
        <v>14</v>
      </c>
      <c r="C23" s="87">
        <v>5</v>
      </c>
      <c r="D23" s="68">
        <f t="shared" si="3"/>
        <v>0.14285714285714285</v>
      </c>
      <c r="E23" s="92">
        <v>3</v>
      </c>
      <c r="F23" s="98">
        <f t="shared" si="4"/>
        <v>0.35714285714285715</v>
      </c>
      <c r="G23" s="87">
        <f t="shared" si="5"/>
        <v>2</v>
      </c>
    </row>
    <row r="24" spans="1:7">
      <c r="A24" s="67" t="s">
        <v>268</v>
      </c>
      <c r="B24" s="87">
        <v>12</v>
      </c>
      <c r="C24" s="87">
        <v>3</v>
      </c>
      <c r="D24" s="68">
        <f t="shared" si="3"/>
        <v>0.16666666666666666</v>
      </c>
      <c r="E24" s="92">
        <v>1</v>
      </c>
      <c r="F24" s="98">
        <f t="shared" si="4"/>
        <v>0.25</v>
      </c>
      <c r="G24" s="87">
        <f t="shared" si="5"/>
        <v>2</v>
      </c>
    </row>
    <row r="25" spans="1:7">
      <c r="A25" s="67" t="s">
        <v>269</v>
      </c>
      <c r="B25" s="87">
        <v>9</v>
      </c>
      <c r="C25" s="87">
        <v>0</v>
      </c>
      <c r="D25" s="68">
        <f t="shared" si="3"/>
        <v>0</v>
      </c>
      <c r="E25" s="92">
        <v>0</v>
      </c>
      <c r="F25" s="98">
        <f t="shared" si="4"/>
        <v>0</v>
      </c>
      <c r="G25" s="87">
        <f t="shared" si="5"/>
        <v>0</v>
      </c>
    </row>
    <row r="26" spans="1:7">
      <c r="A26" s="67" t="s">
        <v>270</v>
      </c>
      <c r="B26" s="87">
        <v>19</v>
      </c>
      <c r="C26" s="87">
        <v>4</v>
      </c>
      <c r="D26" s="68">
        <f t="shared" si="3"/>
        <v>5.2631578947368418E-2</v>
      </c>
      <c r="E26" s="92">
        <v>3</v>
      </c>
      <c r="F26" s="98">
        <f t="shared" si="4"/>
        <v>0.21052631578947367</v>
      </c>
      <c r="G26" s="87">
        <f t="shared" si="5"/>
        <v>1</v>
      </c>
    </row>
    <row r="27" spans="1:7">
      <c r="A27" s="67" t="s">
        <v>272</v>
      </c>
      <c r="B27" s="87">
        <v>10</v>
      </c>
      <c r="C27" s="87">
        <v>2</v>
      </c>
      <c r="D27" s="68">
        <f t="shared" si="3"/>
        <v>0</v>
      </c>
      <c r="E27" s="92">
        <v>2</v>
      </c>
      <c r="F27" s="98">
        <f t="shared" si="4"/>
        <v>0.2</v>
      </c>
      <c r="G27" s="87">
        <f t="shared" si="5"/>
        <v>0</v>
      </c>
    </row>
    <row r="28" spans="1:7">
      <c r="A28" s="67" t="s">
        <v>273</v>
      </c>
      <c r="B28" s="87">
        <v>14</v>
      </c>
      <c r="C28" s="87">
        <v>4</v>
      </c>
      <c r="D28" s="68">
        <f t="shared" si="3"/>
        <v>0.21428571428571427</v>
      </c>
      <c r="E28" s="92">
        <v>1</v>
      </c>
      <c r="F28" s="98">
        <f t="shared" si="4"/>
        <v>0.2857142857142857</v>
      </c>
      <c r="G28" s="87">
        <f t="shared" si="5"/>
        <v>3</v>
      </c>
    </row>
    <row r="29" spans="1:7">
      <c r="A29" s="67" t="s">
        <v>274</v>
      </c>
      <c r="B29" s="87">
        <v>12</v>
      </c>
      <c r="C29" s="87">
        <v>3</v>
      </c>
      <c r="D29" s="68">
        <f t="shared" si="3"/>
        <v>8.3333333333333329E-2</v>
      </c>
      <c r="E29" s="92">
        <v>2</v>
      </c>
      <c r="F29" s="98">
        <f t="shared" si="4"/>
        <v>0.25</v>
      </c>
      <c r="G29" s="87">
        <f t="shared" si="5"/>
        <v>1</v>
      </c>
    </row>
    <row r="30" spans="1:7">
      <c r="A30" s="67" t="s">
        <v>275</v>
      </c>
      <c r="B30" s="87">
        <v>9</v>
      </c>
      <c r="C30" s="87">
        <v>3</v>
      </c>
      <c r="D30" s="68">
        <f t="shared" si="3"/>
        <v>0.33333333333333331</v>
      </c>
      <c r="E30" s="92">
        <v>0</v>
      </c>
      <c r="F30" s="98">
        <f t="shared" si="4"/>
        <v>0.33333333333333331</v>
      </c>
      <c r="G30" s="99">
        <f t="shared" si="5"/>
        <v>3</v>
      </c>
    </row>
    <row r="31" spans="1:7">
      <c r="A31" s="74" t="s">
        <v>277</v>
      </c>
      <c r="B31" s="87">
        <f>SUM(B19:B30)</f>
        <v>152</v>
      </c>
      <c r="C31" s="87">
        <f>SUM(C19:C30)</f>
        <v>38</v>
      </c>
      <c r="D31" s="97">
        <f>(C31-E31)/B31</f>
        <v>8.5526315789473686E-2</v>
      </c>
      <c r="E31" s="87">
        <f>SUM(E19:E30)</f>
        <v>25</v>
      </c>
      <c r="F31" s="98">
        <f>C31/B31</f>
        <v>0.25</v>
      </c>
      <c r="G31" s="96">
        <f>SUM(G19:G30)</f>
        <v>13</v>
      </c>
    </row>
    <row r="34" spans="1:7">
      <c r="F34" s="67" t="s">
        <v>279</v>
      </c>
      <c r="G34" s="100">
        <f>G15+G31</f>
        <v>37</v>
      </c>
    </row>
    <row r="35" spans="1:7">
      <c r="A35" s="262">
        <v>2025</v>
      </c>
      <c r="B35" s="262"/>
      <c r="C35" s="262"/>
      <c r="D35" s="262"/>
      <c r="E35" s="195"/>
    </row>
    <row r="36" spans="1:7">
      <c r="A36" s="196" t="s">
        <v>21</v>
      </c>
      <c r="B36" s="196"/>
      <c r="C36" s="197">
        <f>B31+B15</f>
        <v>480</v>
      </c>
      <c r="D36" s="197"/>
    </row>
    <row r="37" spans="1:7">
      <c r="A37" s="184" t="s">
        <v>22</v>
      </c>
      <c r="B37" s="184"/>
      <c r="C37" s="185">
        <f>C15+C31</f>
        <v>96</v>
      </c>
      <c r="D37" s="190">
        <f>C37/C36</f>
        <v>0.2</v>
      </c>
    </row>
    <row r="38" spans="1:7">
      <c r="A38" s="186" t="s">
        <v>30</v>
      </c>
      <c r="B38" s="186"/>
      <c r="C38" s="187">
        <f>G15+G31</f>
        <v>37</v>
      </c>
      <c r="D38" s="191">
        <f>C38/C36</f>
        <v>7.7083333333333337E-2</v>
      </c>
    </row>
    <row r="39" spans="1:7">
      <c r="A39" s="193" t="s">
        <v>280</v>
      </c>
      <c r="B39" s="184"/>
      <c r="C39" s="185">
        <f>C37-C38</f>
        <v>59</v>
      </c>
      <c r="D39" s="194">
        <f>C39/C36</f>
        <v>0.12291666666666666</v>
      </c>
      <c r="E39" s="188"/>
    </row>
    <row r="40" spans="1:7">
      <c r="A40" s="263">
        <v>2026</v>
      </c>
      <c r="B40" s="264"/>
      <c r="C40" s="264"/>
      <c r="D40" s="265"/>
      <c r="E40" s="67"/>
    </row>
    <row r="41" spans="1:7">
      <c r="A41" s="184" t="s">
        <v>21</v>
      </c>
      <c r="B41" s="184"/>
      <c r="C41" s="185">
        <v>124</v>
      </c>
      <c r="D41" s="185"/>
    </row>
    <row r="42" spans="1:7">
      <c r="A42" s="184" t="s">
        <v>22</v>
      </c>
      <c r="B42" s="184"/>
      <c r="C42" s="185">
        <v>27</v>
      </c>
      <c r="D42" s="190">
        <f>C42/C41</f>
        <v>0.21774193548387097</v>
      </c>
    </row>
    <row r="43" spans="1:7">
      <c r="A43" s="186" t="s">
        <v>30</v>
      </c>
      <c r="B43" s="186"/>
      <c r="C43" s="187">
        <v>13</v>
      </c>
      <c r="D43" s="191">
        <v>0.1</v>
      </c>
    </row>
    <row r="44" spans="1:7">
      <c r="A44" s="67" t="s">
        <v>281</v>
      </c>
      <c r="B44" s="67"/>
      <c r="C44" s="67">
        <f>C42-C43</f>
        <v>14</v>
      </c>
      <c r="D44" s="192">
        <f>C44/C41</f>
        <v>0.11290322580645161</v>
      </c>
    </row>
  </sheetData>
  <mergeCells count="6">
    <mergeCell ref="A35:D35"/>
    <mergeCell ref="A40:D40"/>
    <mergeCell ref="I2:J2"/>
    <mergeCell ref="L2:M2"/>
    <mergeCell ref="A1:D1"/>
    <mergeCell ref="A17:D1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135C-F19E-47EB-A7F5-A7747E5FD27D}">
  <dimension ref="A1:H16"/>
  <sheetViews>
    <sheetView workbookViewId="0">
      <selection activeCell="H3" sqref="H3:H11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47.42578125" customWidth="1"/>
    <col min="8" max="8" width="13.42578125" customWidth="1"/>
  </cols>
  <sheetData>
    <row r="1" spans="1:8">
      <c r="A1" s="251" t="s">
        <v>282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42" t="s">
        <v>6</v>
      </c>
      <c r="G3" s="11" t="s">
        <v>7</v>
      </c>
      <c r="H3" s="66" t="s">
        <v>283</v>
      </c>
    </row>
    <row r="4" spans="1:8">
      <c r="A4" s="63">
        <v>98974</v>
      </c>
      <c r="B4" s="63">
        <v>97321</v>
      </c>
      <c r="C4" s="153">
        <v>2025</v>
      </c>
      <c r="D4" s="19" t="s">
        <v>8</v>
      </c>
      <c r="E4" s="19" t="s">
        <v>284</v>
      </c>
      <c r="F4" s="150" t="s">
        <v>19</v>
      </c>
      <c r="G4" s="5" t="s">
        <v>285</v>
      </c>
      <c r="H4" s="67" t="s">
        <v>151</v>
      </c>
    </row>
    <row r="5" spans="1:8">
      <c r="A5" s="175">
        <v>98843</v>
      </c>
      <c r="B5" s="175">
        <v>96700</v>
      </c>
      <c r="C5" s="153">
        <v>2025</v>
      </c>
      <c r="D5" s="19" t="s">
        <v>8</v>
      </c>
      <c r="E5" s="176" t="s">
        <v>213</v>
      </c>
      <c r="F5" s="150" t="s">
        <v>19</v>
      </c>
      <c r="G5" s="5" t="s">
        <v>286</v>
      </c>
      <c r="H5" s="67" t="s">
        <v>151</v>
      </c>
    </row>
    <row r="6" spans="1:8">
      <c r="A6" s="63">
        <v>98542</v>
      </c>
      <c r="B6" s="63">
        <v>96822</v>
      </c>
      <c r="C6" s="150">
        <v>2025</v>
      </c>
      <c r="D6" s="19" t="s">
        <v>12</v>
      </c>
      <c r="E6" s="19" t="s">
        <v>49</v>
      </c>
      <c r="F6" s="150" t="s">
        <v>35</v>
      </c>
      <c r="G6" s="5" t="s">
        <v>287</v>
      </c>
      <c r="H6" s="67" t="s">
        <v>151</v>
      </c>
    </row>
    <row r="7" spans="1:8" s="27" customFormat="1">
      <c r="A7" s="64">
        <v>98545</v>
      </c>
      <c r="B7" s="64">
        <v>15405</v>
      </c>
      <c r="C7" s="141">
        <v>2011</v>
      </c>
      <c r="D7" s="28" t="s">
        <v>12</v>
      </c>
      <c r="E7" s="28"/>
      <c r="F7" s="141" t="s">
        <v>126</v>
      </c>
      <c r="G7" s="26" t="s">
        <v>288</v>
      </c>
      <c r="H7" s="137" t="s">
        <v>112</v>
      </c>
    </row>
    <row r="8" spans="1:8" s="27" customFormat="1">
      <c r="A8" s="64">
        <v>98333</v>
      </c>
      <c r="B8" s="64">
        <v>81160</v>
      </c>
      <c r="C8" s="141">
        <v>2023</v>
      </c>
      <c r="D8" s="28" t="s">
        <v>12</v>
      </c>
      <c r="E8" s="28"/>
      <c r="F8" s="141" t="s">
        <v>158</v>
      </c>
      <c r="G8" s="26" t="s">
        <v>289</v>
      </c>
      <c r="H8" s="137" t="s">
        <v>112</v>
      </c>
    </row>
    <row r="9" spans="1:8" s="27" customFormat="1">
      <c r="A9" s="174">
        <v>97911</v>
      </c>
      <c r="B9" s="174">
        <v>79501</v>
      </c>
      <c r="C9" s="28">
        <v>2023</v>
      </c>
      <c r="D9" s="143" t="s">
        <v>8</v>
      </c>
      <c r="E9" s="143" t="s">
        <v>101</v>
      </c>
      <c r="F9" s="229" t="s">
        <v>10</v>
      </c>
      <c r="G9" s="34" t="s">
        <v>290</v>
      </c>
      <c r="H9" s="137" t="s">
        <v>112</v>
      </c>
    </row>
    <row r="10" spans="1:8" s="27" customFormat="1">
      <c r="A10" s="28">
        <v>97253</v>
      </c>
      <c r="B10" s="28">
        <v>62262</v>
      </c>
      <c r="C10" s="28">
        <v>2019</v>
      </c>
      <c r="D10" s="28" t="s">
        <v>8</v>
      </c>
      <c r="E10" s="28" t="s">
        <v>154</v>
      </c>
      <c r="F10" s="141" t="s">
        <v>10</v>
      </c>
      <c r="G10" s="26" t="s">
        <v>291</v>
      </c>
      <c r="H10" s="137" t="s">
        <v>112</v>
      </c>
    </row>
    <row r="11" spans="1:8" s="27" customFormat="1">
      <c r="A11" s="28">
        <v>97238</v>
      </c>
      <c r="B11" s="28">
        <v>43181</v>
      </c>
      <c r="C11" s="28">
        <v>2016</v>
      </c>
      <c r="D11" s="28" t="s">
        <v>8</v>
      </c>
      <c r="E11" s="28" t="s">
        <v>292</v>
      </c>
      <c r="F11" s="141" t="s">
        <v>161</v>
      </c>
      <c r="G11" s="26" t="s">
        <v>293</v>
      </c>
      <c r="H11" s="137" t="s">
        <v>112</v>
      </c>
    </row>
    <row r="12" spans="1:8">
      <c r="A12" s="1"/>
      <c r="B12" s="1"/>
      <c r="C12" s="1"/>
      <c r="D12" s="1"/>
      <c r="E12" s="1"/>
      <c r="F12" s="1"/>
      <c r="G12" s="1"/>
    </row>
    <row r="13" spans="1:8">
      <c r="A13" s="1"/>
      <c r="B13" s="1"/>
      <c r="C13" s="1"/>
      <c r="D13" s="1"/>
      <c r="E13" s="1"/>
      <c r="F13" s="1"/>
      <c r="G13" s="1"/>
    </row>
    <row r="14" spans="1:8">
      <c r="A14" s="1" t="s">
        <v>21</v>
      </c>
      <c r="B14" s="1"/>
      <c r="C14" s="1">
        <v>29</v>
      </c>
      <c r="D14" s="1"/>
      <c r="E14" s="1"/>
      <c r="F14" s="1"/>
      <c r="G14" s="1"/>
    </row>
    <row r="15" spans="1:8">
      <c r="A15" s="1" t="s">
        <v>22</v>
      </c>
      <c r="B15" s="1"/>
      <c r="C15" s="1">
        <v>8</v>
      </c>
      <c r="D15" s="7">
        <f>C15/C14</f>
        <v>0.27586206896551724</v>
      </c>
      <c r="E15" s="1"/>
      <c r="F15" s="1"/>
      <c r="G15" s="1"/>
    </row>
    <row r="16" spans="1:8">
      <c r="A16" s="1" t="s">
        <v>30</v>
      </c>
      <c r="B16" s="1"/>
      <c r="C16" s="1">
        <v>3</v>
      </c>
      <c r="D16" s="7">
        <f>C16/C14</f>
        <v>0.10344827586206896</v>
      </c>
      <c r="E16" s="1"/>
      <c r="F16" s="1"/>
      <c r="G16" s="1"/>
    </row>
  </sheetData>
  <mergeCells count="1">
    <mergeCell ref="A1:G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4C42-8EFA-4173-A429-86E711412F05}">
  <dimension ref="A1:H14"/>
  <sheetViews>
    <sheetView workbookViewId="0">
      <selection activeCell="G12" sqref="G12"/>
    </sheetView>
  </sheetViews>
  <sheetFormatPr defaultRowHeight="15"/>
  <cols>
    <col min="1" max="1" width="10.5703125" customWidth="1"/>
    <col min="2" max="2" width="20.8554687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</cols>
  <sheetData>
    <row r="1" spans="1:8">
      <c r="A1" s="259" t="s">
        <v>217</v>
      </c>
      <c r="B1" s="252"/>
      <c r="C1" s="252"/>
      <c r="D1" s="252"/>
      <c r="E1" s="252"/>
      <c r="F1" s="252"/>
      <c r="G1" s="253"/>
    </row>
    <row r="2" spans="1:8">
      <c r="A2" s="5"/>
      <c r="B2" s="110"/>
      <c r="C2" s="5"/>
      <c r="D2" s="5"/>
      <c r="E2" s="5"/>
      <c r="F2" s="5"/>
      <c r="G2" s="5"/>
    </row>
    <row r="3" spans="1:8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10" t="s">
        <v>25</v>
      </c>
      <c r="H3" s="66" t="s">
        <v>283</v>
      </c>
    </row>
    <row r="4" spans="1:8">
      <c r="A4" s="114">
        <v>98953</v>
      </c>
      <c r="B4" s="179">
        <v>97104</v>
      </c>
      <c r="C4" s="80">
        <v>2025</v>
      </c>
      <c r="D4" s="156" t="s">
        <v>26</v>
      </c>
      <c r="E4" s="15" t="s">
        <v>294</v>
      </c>
      <c r="F4" s="15" t="s">
        <v>295</v>
      </c>
      <c r="G4" s="20" t="s">
        <v>296</v>
      </c>
      <c r="H4" s="67" t="s">
        <v>151</v>
      </c>
    </row>
    <row r="5" spans="1:8">
      <c r="A5" s="18">
        <v>98807</v>
      </c>
      <c r="B5" s="179">
        <v>91445</v>
      </c>
      <c r="C5" s="80">
        <v>2025</v>
      </c>
      <c r="D5" s="156" t="s">
        <v>26</v>
      </c>
      <c r="E5" s="15" t="s">
        <v>294</v>
      </c>
      <c r="F5" s="15" t="s">
        <v>295</v>
      </c>
      <c r="G5" s="230" t="s">
        <v>297</v>
      </c>
      <c r="H5" s="67" t="s">
        <v>151</v>
      </c>
    </row>
    <row r="6" spans="1:8" s="27" customFormat="1">
      <c r="A6" s="177">
        <v>97920</v>
      </c>
      <c r="B6" s="178">
        <v>79502</v>
      </c>
      <c r="C6" s="26">
        <v>2023</v>
      </c>
      <c r="D6" s="170" t="s">
        <v>26</v>
      </c>
      <c r="E6" s="24" t="s">
        <v>298</v>
      </c>
      <c r="F6" s="24" t="s">
        <v>299</v>
      </c>
      <c r="G6" s="231" t="s">
        <v>300</v>
      </c>
      <c r="H6" s="137" t="s">
        <v>112</v>
      </c>
    </row>
    <row r="7" spans="1:8">
      <c r="A7" s="3"/>
      <c r="B7" s="5"/>
      <c r="C7" s="5"/>
      <c r="D7" s="110"/>
      <c r="E7" s="5"/>
      <c r="F7" s="106"/>
      <c r="G7" s="232"/>
      <c r="H7" s="67"/>
    </row>
    <row r="8" spans="1:8">
      <c r="A8" s="3"/>
      <c r="B8" s="5"/>
      <c r="C8" s="5"/>
      <c r="D8" s="110"/>
      <c r="E8" s="5"/>
      <c r="F8" s="5"/>
      <c r="G8" s="1"/>
    </row>
    <row r="9" spans="1:8">
      <c r="A9" s="3"/>
      <c r="B9" s="5"/>
      <c r="C9" s="5"/>
      <c r="D9" s="110"/>
      <c r="E9" s="5"/>
      <c r="F9" s="5"/>
      <c r="G9" s="1"/>
    </row>
    <row r="10" spans="1:8">
      <c r="A10" s="6"/>
      <c r="B10" s="1"/>
      <c r="C10" s="1"/>
      <c r="D10" s="1"/>
      <c r="E10" s="1"/>
      <c r="F10" s="1"/>
      <c r="G10" s="1"/>
    </row>
    <row r="11" spans="1:8">
      <c r="A11" s="1"/>
      <c r="B11" s="1"/>
      <c r="C11" s="1"/>
      <c r="D11" s="1"/>
      <c r="E11" s="1"/>
      <c r="F11" s="1"/>
      <c r="G11" s="1"/>
    </row>
    <row r="12" spans="1:8">
      <c r="A12" s="1" t="s">
        <v>21</v>
      </c>
      <c r="B12" s="1"/>
      <c r="C12" s="1">
        <v>8</v>
      </c>
      <c r="D12" s="1"/>
      <c r="E12" s="1"/>
      <c r="F12" s="1"/>
      <c r="G12" s="1"/>
    </row>
    <row r="13" spans="1:8">
      <c r="A13" s="1" t="s">
        <v>22</v>
      </c>
      <c r="B13" s="1"/>
      <c r="C13" s="1">
        <v>3</v>
      </c>
      <c r="D13" s="7">
        <f>C13/C12</f>
        <v>0.375</v>
      </c>
      <c r="E13" s="1"/>
      <c r="F13" s="1"/>
      <c r="G13" s="1"/>
    </row>
    <row r="14" spans="1:8">
      <c r="A14" s="1" t="s">
        <v>30</v>
      </c>
      <c r="B14" s="1"/>
      <c r="C14" s="1">
        <v>2</v>
      </c>
      <c r="D14" s="7">
        <f>C14/C12</f>
        <v>0.25</v>
      </c>
      <c r="E14" s="1"/>
      <c r="F14" s="1"/>
      <c r="G14" s="1"/>
    </row>
  </sheetData>
  <mergeCells count="1">
    <mergeCell ref="A1:G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CD98-FDEC-4BC9-82DF-B548E6853C25}">
  <dimension ref="A1:H17"/>
  <sheetViews>
    <sheetView workbookViewId="0">
      <selection activeCell="H5" sqref="H5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47.42578125" customWidth="1"/>
    <col min="8" max="8" width="11" customWidth="1"/>
  </cols>
  <sheetData>
    <row r="1" spans="1:8">
      <c r="A1" s="251" t="s">
        <v>301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42" t="s">
        <v>6</v>
      </c>
      <c r="G3" s="234" t="s">
        <v>7</v>
      </c>
      <c r="H3" s="66" t="s">
        <v>283</v>
      </c>
    </row>
    <row r="4" spans="1:8">
      <c r="A4" s="154">
        <v>99218</v>
      </c>
      <c r="B4" s="154">
        <v>98138</v>
      </c>
      <c r="C4" s="153">
        <v>2025</v>
      </c>
      <c r="D4" s="19" t="s">
        <v>8</v>
      </c>
      <c r="E4" s="19" t="s">
        <v>34</v>
      </c>
      <c r="F4" s="19" t="s">
        <v>35</v>
      </c>
      <c r="G4" s="20" t="s">
        <v>302</v>
      </c>
      <c r="H4" s="67" t="s">
        <v>151</v>
      </c>
    </row>
    <row r="5" spans="1:8" s="203" customFormat="1">
      <c r="A5" s="200">
        <v>99301</v>
      </c>
      <c r="B5" s="200">
        <v>96730</v>
      </c>
      <c r="C5" s="201">
        <v>2025</v>
      </c>
      <c r="D5" s="202" t="s">
        <v>1</v>
      </c>
      <c r="E5" s="202" t="s">
        <v>152</v>
      </c>
      <c r="F5" s="202" t="s">
        <v>152</v>
      </c>
      <c r="G5" s="235" t="s">
        <v>303</v>
      </c>
      <c r="H5" s="233" t="s">
        <v>112</v>
      </c>
    </row>
    <row r="6" spans="1:8" s="27" customFormat="1">
      <c r="A6" s="165">
        <v>99919</v>
      </c>
      <c r="B6" s="138" t="s">
        <v>17</v>
      </c>
      <c r="C6" s="139"/>
      <c r="D6" s="28"/>
      <c r="E6" s="140"/>
      <c r="F6" s="28"/>
      <c r="G6" s="29"/>
      <c r="H6" s="137" t="s">
        <v>112</v>
      </c>
    </row>
    <row r="7" spans="1:8" s="27" customFormat="1">
      <c r="A7" s="149">
        <v>99959</v>
      </c>
      <c r="B7" s="64" t="s">
        <v>17</v>
      </c>
      <c r="C7" s="141"/>
      <c r="D7" s="28"/>
      <c r="E7" s="28"/>
      <c r="F7" s="28"/>
      <c r="G7" s="29"/>
      <c r="H7" s="137" t="s">
        <v>112</v>
      </c>
    </row>
    <row r="8" spans="1:8">
      <c r="A8" s="63"/>
      <c r="B8" s="63"/>
      <c r="C8" s="150"/>
      <c r="D8" s="19"/>
      <c r="E8" s="19"/>
      <c r="F8" s="19"/>
      <c r="G8" s="20"/>
      <c r="H8" s="67"/>
    </row>
    <row r="9" spans="1:8">
      <c r="A9" s="63"/>
      <c r="B9" s="63"/>
      <c r="C9" s="150"/>
      <c r="D9" s="19"/>
      <c r="E9" s="19"/>
      <c r="F9" s="19"/>
      <c r="G9" s="20"/>
      <c r="H9" s="67"/>
    </row>
    <row r="10" spans="1:8">
      <c r="A10" s="151"/>
      <c r="B10" s="151"/>
      <c r="C10" s="19"/>
      <c r="D10" s="152"/>
      <c r="E10" s="152"/>
      <c r="F10" s="152"/>
      <c r="G10" s="236"/>
      <c r="H10" s="67"/>
    </row>
    <row r="11" spans="1:8">
      <c r="A11" s="19"/>
      <c r="B11" s="19"/>
      <c r="C11" s="19"/>
      <c r="D11" s="19"/>
      <c r="E11" s="19"/>
      <c r="F11" s="19"/>
      <c r="G11" s="20"/>
      <c r="H11" s="67"/>
    </row>
    <row r="12" spans="1:8">
      <c r="A12" s="19"/>
      <c r="B12" s="19"/>
      <c r="C12" s="19"/>
      <c r="D12" s="19"/>
      <c r="E12" s="19"/>
      <c r="F12" s="19"/>
      <c r="G12" s="20"/>
      <c r="H12" s="67"/>
    </row>
    <row r="13" spans="1:8">
      <c r="A13" s="1"/>
      <c r="B13" s="1"/>
      <c r="C13" s="1"/>
      <c r="D13" s="1"/>
      <c r="E13" s="1"/>
      <c r="F13" s="1"/>
      <c r="G13" s="1"/>
    </row>
    <row r="14" spans="1:8">
      <c r="A14" s="1"/>
      <c r="B14" s="1"/>
      <c r="C14" s="1"/>
      <c r="D14" s="1"/>
      <c r="E14" s="1"/>
      <c r="F14" s="1"/>
      <c r="G14" s="1"/>
    </row>
    <row r="15" spans="1:8">
      <c r="A15" s="1" t="s">
        <v>21</v>
      </c>
      <c r="B15" s="1"/>
      <c r="C15" s="1">
        <v>31</v>
      </c>
      <c r="D15" s="1"/>
      <c r="E15" s="1"/>
      <c r="F15" s="1"/>
      <c r="G15" s="1"/>
    </row>
    <row r="16" spans="1:8">
      <c r="A16" s="1" t="s">
        <v>22</v>
      </c>
      <c r="B16" s="1"/>
      <c r="C16" s="1">
        <v>3</v>
      </c>
      <c r="D16" s="7">
        <f>C16/C15</f>
        <v>9.6774193548387094E-2</v>
      </c>
      <c r="E16" s="1"/>
      <c r="F16" s="1"/>
      <c r="G16" s="1"/>
    </row>
    <row r="17" spans="1:7">
      <c r="A17" s="1" t="s">
        <v>30</v>
      </c>
      <c r="B17" s="1"/>
      <c r="C17" s="1">
        <v>1</v>
      </c>
      <c r="D17" s="7">
        <f>C17/C15</f>
        <v>3.2258064516129031E-2</v>
      </c>
      <c r="E17" s="1"/>
      <c r="F17" s="1"/>
      <c r="G17" s="1"/>
    </row>
  </sheetData>
  <mergeCells count="1">
    <mergeCell ref="A1:G1"/>
  </mergeCells>
  <hyperlinks>
    <hyperlink ref="A4" r:id="rId1" display="99218" xr:uid="{2F29F677-B2B1-4C69-AFCD-8E38617AF6C9}"/>
    <hyperlink ref="B4" r:id="rId2" display="98138" xr:uid="{189CB8A4-B3F5-4C1E-A7C2-A5EFDB92A724}"/>
    <hyperlink ref="A6" r:id="rId3" display="99919" xr:uid="{AA0BC7F0-478B-4D8C-8234-61E91DD8C852}"/>
    <hyperlink ref="A7" r:id="rId4" display="99959" xr:uid="{828EEEB4-DDFB-4E53-96F2-3EE6CEABC029}"/>
    <hyperlink ref="A5" r:id="rId5" display="99301" xr:uid="{334B3DEA-A2AE-4360-90C1-0AEB0A1EDCA7}"/>
    <hyperlink ref="B5" r:id="rId6" display="96730" xr:uid="{0E14D86A-7DD4-46B4-BD8B-DB19770E01C1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4B27-59F0-4EED-8398-ADAD722E684A}">
  <dimension ref="A1:H14"/>
  <sheetViews>
    <sheetView workbookViewId="0">
      <selection activeCell="G10" sqref="G10"/>
    </sheetView>
  </sheetViews>
  <sheetFormatPr defaultRowHeight="15"/>
  <cols>
    <col min="1" max="1" width="10.5703125" customWidth="1"/>
    <col min="2" max="2" width="20.8554687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</cols>
  <sheetData>
    <row r="1" spans="1:8">
      <c r="A1" s="259" t="s">
        <v>304</v>
      </c>
      <c r="B1" s="252"/>
      <c r="C1" s="252"/>
      <c r="D1" s="252"/>
      <c r="E1" s="252"/>
      <c r="F1" s="252"/>
      <c r="G1" s="253"/>
    </row>
    <row r="2" spans="1:8">
      <c r="A2" s="5"/>
      <c r="B2" s="110"/>
      <c r="C2" s="5"/>
      <c r="D2" s="5"/>
      <c r="E2" s="5"/>
      <c r="F2" s="5"/>
      <c r="G2" s="5"/>
    </row>
    <row r="3" spans="1:8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10" t="s">
        <v>25</v>
      </c>
      <c r="H3" s="66" t="s">
        <v>283</v>
      </c>
    </row>
    <row r="4" spans="1:8">
      <c r="A4" s="154">
        <v>98504</v>
      </c>
      <c r="B4" s="167">
        <v>85624</v>
      </c>
      <c r="C4" s="80">
        <v>2024</v>
      </c>
      <c r="D4" s="156" t="s">
        <v>305</v>
      </c>
      <c r="E4" s="15" t="s">
        <v>27</v>
      </c>
      <c r="F4" s="15" t="s">
        <v>28</v>
      </c>
      <c r="G4" s="20" t="s">
        <v>306</v>
      </c>
      <c r="H4" s="67" t="s">
        <v>151</v>
      </c>
    </row>
    <row r="5" spans="1:8" s="27" customFormat="1">
      <c r="A5" s="64">
        <v>97964</v>
      </c>
      <c r="B5" s="168" t="s">
        <v>307</v>
      </c>
      <c r="C5" s="169" t="s">
        <v>308</v>
      </c>
      <c r="D5" s="170" t="s">
        <v>309</v>
      </c>
      <c r="E5" s="169" t="s">
        <v>308</v>
      </c>
      <c r="F5" s="169" t="s">
        <v>308</v>
      </c>
      <c r="G5" s="231" t="s">
        <v>310</v>
      </c>
      <c r="H5" s="137" t="s">
        <v>112</v>
      </c>
    </row>
    <row r="6" spans="1:8">
      <c r="A6" s="157"/>
      <c r="B6" s="116"/>
      <c r="C6" s="5"/>
      <c r="D6" s="156"/>
      <c r="E6" s="15"/>
      <c r="F6" s="15"/>
      <c r="G6" s="230"/>
      <c r="H6" s="67"/>
    </row>
    <row r="7" spans="1:8">
      <c r="A7" s="151"/>
      <c r="B7" s="5"/>
      <c r="C7" s="5"/>
      <c r="D7" s="110"/>
      <c r="E7" s="5"/>
      <c r="F7" s="15"/>
      <c r="G7" s="237"/>
      <c r="H7" s="67"/>
    </row>
    <row r="8" spans="1:8">
      <c r="A8" s="151"/>
      <c r="B8" s="5"/>
      <c r="C8" s="5"/>
      <c r="D8" s="110"/>
      <c r="E8" s="20"/>
      <c r="F8" s="5"/>
      <c r="G8" s="20"/>
      <c r="H8" s="67"/>
    </row>
    <row r="9" spans="1:8">
      <c r="A9" s="151"/>
      <c r="B9" s="5"/>
      <c r="C9" s="5"/>
      <c r="D9" s="110"/>
      <c r="E9" s="20"/>
      <c r="F9" s="5"/>
      <c r="G9" s="20"/>
      <c r="H9" s="67"/>
    </row>
    <row r="10" spans="1:8">
      <c r="A10" s="6"/>
      <c r="B10" s="1"/>
      <c r="C10" s="1"/>
      <c r="D10" s="1"/>
      <c r="E10" s="1"/>
      <c r="F10" s="1"/>
      <c r="G10" s="1"/>
    </row>
    <row r="11" spans="1:8">
      <c r="A11" s="1"/>
      <c r="B11" s="1"/>
      <c r="C11" s="1"/>
      <c r="D11" s="1"/>
      <c r="E11" s="1"/>
      <c r="F11" s="1"/>
      <c r="G11" s="1"/>
    </row>
    <row r="12" spans="1:8">
      <c r="A12" s="1" t="s">
        <v>21</v>
      </c>
      <c r="B12" s="1"/>
      <c r="C12" s="1">
        <v>12</v>
      </c>
      <c r="D12" s="1"/>
      <c r="E12" s="1"/>
      <c r="F12" s="1"/>
      <c r="G12" s="1"/>
    </row>
    <row r="13" spans="1:8">
      <c r="A13" s="1" t="s">
        <v>22</v>
      </c>
      <c r="B13" s="1"/>
      <c r="C13" s="1">
        <v>2</v>
      </c>
      <c r="D13" s="7">
        <f>C13/C12</f>
        <v>0.16666666666666666</v>
      </c>
      <c r="E13" s="1"/>
      <c r="F13" s="1"/>
      <c r="G13" s="1"/>
    </row>
    <row r="14" spans="1:8">
      <c r="A14" s="1" t="s">
        <v>30</v>
      </c>
      <c r="B14" s="1"/>
      <c r="C14" s="1">
        <v>1</v>
      </c>
      <c r="D14" s="7">
        <f>C14/C12</f>
        <v>8.3333333333333329E-2</v>
      </c>
      <c r="E14" s="1"/>
      <c r="F14" s="1"/>
      <c r="G14" s="1"/>
    </row>
  </sheetData>
  <mergeCells count="1">
    <mergeCell ref="A1:G1"/>
  </mergeCells>
  <hyperlinks>
    <hyperlink ref="A4" r:id="rId1" display="98504" xr:uid="{6D57D4D6-8E3C-477B-8945-AAEE774B0845}"/>
    <hyperlink ref="B4" r:id="rId2" display="85624" xr:uid="{CA31DBC9-713C-44AF-A2E7-BA8DBF1ED64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8A4A-871E-466F-932F-8A0C15007995}">
  <dimension ref="A1:I16"/>
  <sheetViews>
    <sheetView topLeftCell="C1" workbookViewId="0">
      <selection activeCell="H11" sqref="H3:H11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98.28515625" customWidth="1"/>
    <col min="8" max="8" width="17.28515625" customWidth="1"/>
    <col min="9" max="9" width="38.28515625" bestFit="1" customWidth="1"/>
  </cols>
  <sheetData>
    <row r="1" spans="1:9">
      <c r="A1" s="251" t="s">
        <v>311</v>
      </c>
      <c r="B1" s="252"/>
      <c r="C1" s="252"/>
      <c r="D1" s="252"/>
      <c r="E1" s="252"/>
      <c r="F1" s="252"/>
      <c r="G1" s="252"/>
      <c r="H1" s="238"/>
    </row>
    <row r="2" spans="1:9">
      <c r="A2" s="1"/>
      <c r="B2" s="1"/>
      <c r="C2" s="1"/>
      <c r="D2" s="1"/>
      <c r="E2" s="1"/>
      <c r="F2" s="1"/>
      <c r="G2" s="1"/>
      <c r="H2" s="1"/>
    </row>
    <row r="3" spans="1:9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42" t="s">
        <v>6</v>
      </c>
      <c r="G3" s="234" t="s">
        <v>7</v>
      </c>
      <c r="H3" s="11" t="s">
        <v>283</v>
      </c>
    </row>
    <row r="4" spans="1:9">
      <c r="A4" s="154">
        <v>100342</v>
      </c>
      <c r="B4" s="154">
        <v>97877</v>
      </c>
      <c r="C4" s="153">
        <v>2025</v>
      </c>
      <c r="D4" s="19" t="s">
        <v>8</v>
      </c>
      <c r="E4" s="19" t="s">
        <v>312</v>
      </c>
      <c r="F4" s="19" t="s">
        <v>33</v>
      </c>
      <c r="G4" s="20" t="s">
        <v>313</v>
      </c>
      <c r="H4" s="5" t="s">
        <v>151</v>
      </c>
      <c r="I4" t="s">
        <v>314</v>
      </c>
    </row>
    <row r="5" spans="1:9" s="27" customFormat="1">
      <c r="A5" s="165">
        <v>100306</v>
      </c>
      <c r="B5" s="138" t="s">
        <v>17</v>
      </c>
      <c r="C5" s="139"/>
      <c r="D5" s="28"/>
      <c r="E5" s="140"/>
      <c r="F5" s="28"/>
      <c r="G5" s="29"/>
      <c r="H5" s="26" t="s">
        <v>112</v>
      </c>
    </row>
    <row r="6" spans="1:9">
      <c r="A6" s="154">
        <v>100319</v>
      </c>
      <c r="B6" s="154">
        <v>99223</v>
      </c>
      <c r="C6" s="150">
        <v>2026</v>
      </c>
      <c r="D6" s="19" t="s">
        <v>8</v>
      </c>
      <c r="E6" s="19" t="s">
        <v>52</v>
      </c>
      <c r="F6" s="19" t="s">
        <v>35</v>
      </c>
      <c r="G6" s="20" t="s">
        <v>315</v>
      </c>
      <c r="H6" s="5" t="s">
        <v>151</v>
      </c>
      <c r="I6" t="s">
        <v>316</v>
      </c>
    </row>
    <row r="7" spans="1:9">
      <c r="A7" s="154">
        <v>100250</v>
      </c>
      <c r="B7" s="154">
        <v>99351</v>
      </c>
      <c r="C7" s="150">
        <v>2026</v>
      </c>
      <c r="D7" s="19" t="s">
        <v>12</v>
      </c>
      <c r="E7" s="19" t="s">
        <v>49</v>
      </c>
      <c r="F7" s="19" t="s">
        <v>10</v>
      </c>
      <c r="G7" s="20" t="s">
        <v>317</v>
      </c>
      <c r="H7" s="5" t="s">
        <v>151</v>
      </c>
      <c r="I7" t="s">
        <v>318</v>
      </c>
    </row>
    <row r="8" spans="1:9">
      <c r="A8" s="154">
        <v>100230</v>
      </c>
      <c r="B8" s="154">
        <v>91471</v>
      </c>
      <c r="C8" s="150">
        <v>2025</v>
      </c>
      <c r="D8" s="19" t="s">
        <v>12</v>
      </c>
      <c r="E8" s="19" t="s">
        <v>312</v>
      </c>
      <c r="F8" s="19" t="s">
        <v>33</v>
      </c>
      <c r="G8" s="20" t="s">
        <v>319</v>
      </c>
      <c r="H8" s="5" t="s">
        <v>151</v>
      </c>
      <c r="I8" t="s">
        <v>320</v>
      </c>
    </row>
    <row r="9" spans="1:9">
      <c r="A9" s="166">
        <v>100187</v>
      </c>
      <c r="B9" s="166">
        <v>99797</v>
      </c>
      <c r="C9" s="19">
        <v>2026</v>
      </c>
      <c r="D9" s="152" t="s">
        <v>1</v>
      </c>
      <c r="E9" s="152" t="s">
        <v>152</v>
      </c>
      <c r="F9" s="152" t="s">
        <v>152</v>
      </c>
      <c r="G9" s="236" t="s">
        <v>321</v>
      </c>
      <c r="H9" s="17" t="s">
        <v>151</v>
      </c>
      <c r="I9" t="s">
        <v>322</v>
      </c>
    </row>
    <row r="10" spans="1:9" s="27" customFormat="1">
      <c r="A10" s="149">
        <v>100046</v>
      </c>
      <c r="B10" s="28" t="s">
        <v>17</v>
      </c>
      <c r="C10" s="28"/>
      <c r="D10" s="28"/>
      <c r="E10" s="28"/>
      <c r="F10" s="28"/>
      <c r="G10" s="29" t="s">
        <v>185</v>
      </c>
      <c r="H10" s="26" t="s">
        <v>112</v>
      </c>
    </row>
    <row r="11" spans="1:9">
      <c r="A11" s="166">
        <v>100053</v>
      </c>
      <c r="B11" s="166">
        <v>99772</v>
      </c>
      <c r="C11" s="19">
        <v>2026</v>
      </c>
      <c r="D11" s="19" t="s">
        <v>8</v>
      </c>
      <c r="E11" s="19" t="s">
        <v>209</v>
      </c>
      <c r="F11" s="19" t="s">
        <v>10</v>
      </c>
      <c r="G11" s="20" t="s">
        <v>323</v>
      </c>
      <c r="H11" s="5" t="s">
        <v>151</v>
      </c>
      <c r="I11" t="s">
        <v>324</v>
      </c>
    </row>
    <row r="12" spans="1:9">
      <c r="A12" s="1"/>
      <c r="B12" s="1"/>
      <c r="C12" s="1"/>
      <c r="D12" s="1"/>
      <c r="E12" s="1"/>
      <c r="F12" s="1"/>
      <c r="G12" s="1"/>
      <c r="H12" s="1"/>
    </row>
    <row r="13" spans="1:9">
      <c r="A13" s="1"/>
      <c r="B13" s="1"/>
      <c r="C13" s="1"/>
      <c r="D13" s="1"/>
      <c r="E13" s="1"/>
      <c r="F13" s="1"/>
      <c r="G13" s="1"/>
      <c r="H13" s="1"/>
    </row>
    <row r="14" spans="1:9">
      <c r="A14" s="1" t="s">
        <v>21</v>
      </c>
      <c r="B14" s="1"/>
      <c r="C14" s="1">
        <v>33</v>
      </c>
      <c r="D14" s="1"/>
      <c r="E14" s="1"/>
      <c r="F14" s="1"/>
      <c r="G14" s="1"/>
      <c r="H14" s="1"/>
    </row>
    <row r="15" spans="1:9">
      <c r="A15" s="1" t="s">
        <v>22</v>
      </c>
      <c r="B15" s="1"/>
      <c r="C15" s="1">
        <v>8</v>
      </c>
      <c r="D15" s="7">
        <f>C15/C14</f>
        <v>0.24242424242424243</v>
      </c>
      <c r="E15" s="1"/>
      <c r="F15" s="1"/>
      <c r="G15" s="1"/>
      <c r="H15" s="1"/>
    </row>
    <row r="16" spans="1:9">
      <c r="A16" s="1" t="s">
        <v>30</v>
      </c>
      <c r="B16" s="1"/>
      <c r="C16" s="1">
        <v>6</v>
      </c>
      <c r="D16" s="7">
        <f>C16/C14</f>
        <v>0.18181818181818182</v>
      </c>
      <c r="E16" s="189">
        <f>C16/44</f>
        <v>0.13636363636363635</v>
      </c>
      <c r="F16" s="1"/>
      <c r="G16" s="1"/>
      <c r="H16" s="1"/>
    </row>
  </sheetData>
  <mergeCells count="1">
    <mergeCell ref="A1:G1"/>
  </mergeCells>
  <hyperlinks>
    <hyperlink ref="A4" r:id="rId1" display="100342" xr:uid="{255291D1-A537-4950-B8E9-BBB014C74B84}"/>
    <hyperlink ref="B4" r:id="rId2" display="97877" xr:uid="{2F820C53-2710-4304-8114-22E831A33330}"/>
    <hyperlink ref="A5" r:id="rId3" display="100306" xr:uid="{28B0581E-39C4-4E95-B077-84F2CB80437F}"/>
    <hyperlink ref="A6" r:id="rId4" display="100319" xr:uid="{56EB144E-76AB-494C-9663-56EF6EEBF659}"/>
    <hyperlink ref="B6" r:id="rId5" display="99223" xr:uid="{FC86895A-2954-4FE2-9E41-4848C7114CDA}"/>
    <hyperlink ref="A7" r:id="rId6" display="100250" xr:uid="{70728B46-BCA1-408D-80E7-533DAA198AAD}"/>
    <hyperlink ref="B7" r:id="rId7" display="99351" xr:uid="{0C3D7790-7A2B-43DE-858B-51660783A320}"/>
    <hyperlink ref="A8" r:id="rId8" display="100230" xr:uid="{7A39F2CD-F0BA-46AE-8968-7A8C314540F6}"/>
    <hyperlink ref="B8" r:id="rId9" display="91471" xr:uid="{83603EE6-A05F-4588-9ADF-66745768A584}"/>
    <hyperlink ref="A9" r:id="rId10" display="100187" xr:uid="{CE39FC62-3DDE-49A1-9437-D819C15367CF}"/>
    <hyperlink ref="B9" r:id="rId11" display="99797" xr:uid="{266C783A-1F79-428C-8077-5E3AF32129E4}"/>
    <hyperlink ref="A10" r:id="rId12" display="100046" xr:uid="{5E27B9C0-13AE-42FF-8247-704E79D451E1}"/>
    <hyperlink ref="A11" r:id="rId13" display="100053" xr:uid="{ECE4596F-AA64-4AF2-8844-75DDE89D1B10}"/>
    <hyperlink ref="B11" r:id="rId14" display="99772" xr:uid="{2785F657-7CC6-4EE7-B875-0C3F42A110CC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B93E-42AE-4222-8775-2D02D291C222}">
  <dimension ref="A1:H21"/>
  <sheetViews>
    <sheetView workbookViewId="0">
      <selection activeCell="G11" sqref="G11"/>
    </sheetView>
  </sheetViews>
  <sheetFormatPr defaultRowHeight="15"/>
  <cols>
    <col min="1" max="1" width="10.5703125" customWidth="1"/>
    <col min="2" max="2" width="20.8554687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  <col min="8" max="8" width="11.140625" customWidth="1"/>
  </cols>
  <sheetData>
    <row r="1" spans="1:8">
      <c r="A1" s="259" t="s">
        <v>325</v>
      </c>
      <c r="B1" s="252"/>
      <c r="C1" s="252"/>
      <c r="D1" s="252"/>
      <c r="E1" s="252"/>
      <c r="F1" s="252"/>
      <c r="G1" s="253"/>
    </row>
    <row r="2" spans="1:8">
      <c r="A2" s="5"/>
      <c r="B2" s="110"/>
      <c r="C2" s="5"/>
      <c r="D2" s="5"/>
      <c r="E2" s="5"/>
      <c r="F2" s="5"/>
      <c r="G2" s="5"/>
    </row>
    <row r="3" spans="1:8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10" t="s">
        <v>25</v>
      </c>
      <c r="H3" s="66" t="s">
        <v>283</v>
      </c>
    </row>
    <row r="4" spans="1:8" s="27" customFormat="1">
      <c r="A4" s="149">
        <v>98813</v>
      </c>
      <c r="B4" s="180">
        <v>79089</v>
      </c>
      <c r="C4" s="81">
        <v>2023</v>
      </c>
      <c r="D4" s="170" t="s">
        <v>26</v>
      </c>
      <c r="E4" s="24" t="s">
        <v>27</v>
      </c>
      <c r="F4" s="24" t="s">
        <v>28</v>
      </c>
      <c r="G4" s="29"/>
      <c r="H4" s="137" t="s">
        <v>112</v>
      </c>
    </row>
    <row r="5" spans="1:8" s="27" customFormat="1">
      <c r="A5" s="149">
        <v>99811</v>
      </c>
      <c r="B5" s="168" t="s">
        <v>17</v>
      </c>
      <c r="C5" s="169"/>
      <c r="D5" s="170"/>
      <c r="E5" s="169"/>
      <c r="F5" s="169"/>
      <c r="G5" s="231"/>
      <c r="H5" s="137" t="s">
        <v>112</v>
      </c>
    </row>
    <row r="6" spans="1:8">
      <c r="A6" s="157"/>
      <c r="B6" s="116"/>
      <c r="C6" s="5"/>
      <c r="D6" s="156"/>
      <c r="E6" s="15"/>
      <c r="F6" s="15"/>
      <c r="G6" s="230"/>
      <c r="H6" s="67"/>
    </row>
    <row r="7" spans="1:8">
      <c r="A7" s="151"/>
      <c r="B7" s="5"/>
      <c r="C7" s="5"/>
      <c r="D7" s="110"/>
      <c r="E7" s="5"/>
      <c r="F7" s="15"/>
      <c r="G7" s="237"/>
      <c r="H7" s="67"/>
    </row>
    <row r="8" spans="1:8">
      <c r="A8" s="151"/>
      <c r="B8" s="5"/>
      <c r="C8" s="5"/>
      <c r="D8" s="110"/>
      <c r="E8" s="20"/>
      <c r="F8" s="5"/>
      <c r="G8" s="20"/>
      <c r="H8" s="67"/>
    </row>
    <row r="9" spans="1:8">
      <c r="A9" s="151"/>
      <c r="B9" s="5"/>
      <c r="C9" s="5"/>
      <c r="D9" s="110"/>
      <c r="E9" s="20"/>
      <c r="F9" s="5"/>
      <c r="G9" s="20"/>
      <c r="H9" s="67"/>
    </row>
    <row r="10" spans="1:8">
      <c r="A10" s="6"/>
      <c r="B10" s="1"/>
      <c r="C10" s="1"/>
      <c r="D10" s="1"/>
      <c r="E10" s="1"/>
      <c r="F10" s="1"/>
      <c r="G10" s="1"/>
    </row>
    <row r="11" spans="1:8">
      <c r="A11" s="1"/>
      <c r="B11" s="1"/>
      <c r="C11" s="1"/>
      <c r="D11" s="1"/>
      <c r="E11" s="1"/>
      <c r="F11" s="1"/>
      <c r="G11" s="1"/>
    </row>
    <row r="12" spans="1:8">
      <c r="A12" s="1" t="s">
        <v>21</v>
      </c>
      <c r="B12" s="1"/>
      <c r="C12" s="1">
        <v>11</v>
      </c>
      <c r="D12" s="1"/>
      <c r="E12" s="1">
        <f>C12+'Março 2026 - Escrita'!C14</f>
        <v>44</v>
      </c>
      <c r="F12" s="1"/>
      <c r="G12" s="1"/>
    </row>
    <row r="13" spans="1:8">
      <c r="A13" s="1" t="s">
        <v>22</v>
      </c>
      <c r="B13" s="1"/>
      <c r="C13" s="1">
        <v>2</v>
      </c>
      <c r="D13" s="7">
        <f>C13/C12</f>
        <v>0.18181818181818182</v>
      </c>
      <c r="E13" s="1"/>
      <c r="F13" s="1"/>
      <c r="G13" s="1"/>
    </row>
    <row r="14" spans="1:8">
      <c r="A14" s="1" t="s">
        <v>30</v>
      </c>
      <c r="B14" s="1"/>
      <c r="C14" s="1">
        <v>0</v>
      </c>
      <c r="D14" s="7">
        <f>C14/C12</f>
        <v>0</v>
      </c>
      <c r="E14" s="1"/>
      <c r="F14" s="1"/>
      <c r="G14" s="1"/>
    </row>
    <row r="18" spans="1:5">
      <c r="A18" s="270">
        <v>2026</v>
      </c>
      <c r="B18" s="270"/>
      <c r="C18" s="270"/>
      <c r="D18" s="270"/>
      <c r="E18" s="270"/>
    </row>
    <row r="19" spans="1:5">
      <c r="A19" s="181" t="s">
        <v>21</v>
      </c>
      <c r="B19" s="181"/>
      <c r="C19" s="182"/>
      <c r="D19" s="182">
        <v>124</v>
      </c>
      <c r="E19" s="182"/>
    </row>
    <row r="20" spans="1:5">
      <c r="A20" s="181" t="s">
        <v>22</v>
      </c>
      <c r="B20" s="181"/>
      <c r="C20" s="182"/>
      <c r="D20" s="182">
        <v>27</v>
      </c>
      <c r="E20" s="183">
        <v>0.22</v>
      </c>
    </row>
    <row r="21" spans="1:5">
      <c r="A21" s="181" t="s">
        <v>30</v>
      </c>
      <c r="B21" s="181"/>
      <c r="C21" s="182"/>
      <c r="D21" s="182">
        <v>13</v>
      </c>
      <c r="E21" s="183">
        <v>0.1</v>
      </c>
    </row>
  </sheetData>
  <mergeCells count="2">
    <mergeCell ref="A1:G1"/>
    <mergeCell ref="A18:E18"/>
  </mergeCells>
  <hyperlinks>
    <hyperlink ref="A4" r:id="rId1" display="98813" xr:uid="{620B7018-6CA0-4639-8B89-F113723F6904}"/>
    <hyperlink ref="B4" r:id="rId2" display="79089" xr:uid="{91608707-5BB5-4A20-8273-5A4E72401A68}"/>
    <hyperlink ref="A5" r:id="rId3" display="99811" xr:uid="{8EBFD969-3616-4CAF-A9E8-4D7C7BA9F01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107C-CBA2-41F1-AD99-963754047F58}">
  <dimension ref="A1:I20"/>
  <sheetViews>
    <sheetView workbookViewId="0">
      <selection activeCell="G5" sqref="G5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47.42578125" customWidth="1"/>
    <col min="8" max="8" width="13.140625" customWidth="1"/>
  </cols>
  <sheetData>
    <row r="1" spans="1:9">
      <c r="A1" s="251" t="s">
        <v>326</v>
      </c>
      <c r="B1" s="252"/>
      <c r="C1" s="252"/>
      <c r="D1" s="252"/>
      <c r="E1" s="252"/>
      <c r="F1" s="252"/>
      <c r="G1" s="252"/>
    </row>
    <row r="2" spans="1:9">
      <c r="A2" s="1"/>
      <c r="B2" s="1"/>
      <c r="C2" s="1"/>
      <c r="D2" s="1"/>
      <c r="E2" s="1"/>
      <c r="F2" s="1"/>
      <c r="G2" s="1"/>
    </row>
    <row r="3" spans="1:9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42" t="s">
        <v>6</v>
      </c>
      <c r="G3" s="234" t="s">
        <v>7</v>
      </c>
      <c r="H3" s="66" t="s">
        <v>283</v>
      </c>
    </row>
    <row r="4" spans="1:9">
      <c r="A4" s="206">
        <v>101120</v>
      </c>
      <c r="B4" s="206">
        <v>99223</v>
      </c>
      <c r="C4" s="153">
        <v>2026</v>
      </c>
      <c r="D4" s="49" t="s">
        <v>8</v>
      </c>
      <c r="E4" s="49" t="s">
        <v>52</v>
      </c>
      <c r="F4" s="153" t="s">
        <v>35</v>
      </c>
      <c r="G4" s="239" t="s">
        <v>327</v>
      </c>
      <c r="H4" s="67" t="s">
        <v>151</v>
      </c>
      <c r="I4" t="s">
        <v>100</v>
      </c>
    </row>
    <row r="5" spans="1:9">
      <c r="A5" s="154">
        <v>100945</v>
      </c>
      <c r="B5" s="154">
        <v>98596</v>
      </c>
      <c r="C5" s="153">
        <v>2025</v>
      </c>
      <c r="D5" s="19" t="s">
        <v>12</v>
      </c>
      <c r="E5" s="19" t="s">
        <v>52</v>
      </c>
      <c r="F5" s="19" t="s">
        <v>10</v>
      </c>
      <c r="G5" s="20" t="s">
        <v>328</v>
      </c>
      <c r="H5" s="67" t="s">
        <v>151</v>
      </c>
    </row>
    <row r="6" spans="1:9" s="27" customFormat="1">
      <c r="A6" s="165">
        <v>100803</v>
      </c>
      <c r="B6" s="165">
        <v>99962</v>
      </c>
      <c r="C6" s="139">
        <v>2026</v>
      </c>
      <c r="D6" s="28" t="s">
        <v>12</v>
      </c>
      <c r="E6" s="140" t="s">
        <v>265</v>
      </c>
      <c r="F6" s="28" t="s">
        <v>10</v>
      </c>
      <c r="G6" s="29" t="s">
        <v>185</v>
      </c>
      <c r="H6" s="137" t="s">
        <v>112</v>
      </c>
    </row>
    <row r="7" spans="1:9" s="27" customFormat="1">
      <c r="A7" s="149">
        <v>100805</v>
      </c>
      <c r="B7" s="149">
        <v>28051</v>
      </c>
      <c r="C7" s="141">
        <v>2013</v>
      </c>
      <c r="D7" s="28"/>
      <c r="E7" s="28"/>
      <c r="F7" s="28"/>
      <c r="G7" s="29"/>
      <c r="H7" s="137" t="s">
        <v>112</v>
      </c>
    </row>
    <row r="8" spans="1:9" s="27" customFormat="1">
      <c r="A8" s="149">
        <v>100524</v>
      </c>
      <c r="B8" s="149">
        <v>74975</v>
      </c>
      <c r="C8" s="141">
        <v>2022</v>
      </c>
      <c r="D8" s="28" t="s">
        <v>26</v>
      </c>
      <c r="E8" s="28" t="s">
        <v>61</v>
      </c>
      <c r="F8" s="28" t="s">
        <v>19</v>
      </c>
      <c r="G8" s="29" t="s">
        <v>185</v>
      </c>
      <c r="H8" s="137" t="s">
        <v>112</v>
      </c>
    </row>
    <row r="9" spans="1:9" s="27" customFormat="1">
      <c r="A9" s="149">
        <v>100498</v>
      </c>
      <c r="B9" s="149">
        <v>94293</v>
      </c>
      <c r="C9" s="141">
        <v>2025</v>
      </c>
      <c r="D9" s="28" t="s">
        <v>8</v>
      </c>
      <c r="E9" s="28" t="s">
        <v>171</v>
      </c>
      <c r="F9" s="28" t="s">
        <v>19</v>
      </c>
      <c r="G9" s="29" t="s">
        <v>185</v>
      </c>
      <c r="H9" s="137" t="s">
        <v>112</v>
      </c>
    </row>
    <row r="10" spans="1:9" s="27" customFormat="1">
      <c r="A10" s="149">
        <v>100347</v>
      </c>
      <c r="B10" s="149">
        <v>80871</v>
      </c>
      <c r="C10" s="141">
        <v>2023</v>
      </c>
      <c r="D10" s="28" t="s">
        <v>8</v>
      </c>
      <c r="E10" s="28"/>
      <c r="F10" s="28"/>
      <c r="G10" s="29"/>
      <c r="H10" s="137" t="s">
        <v>112</v>
      </c>
    </row>
    <row r="11" spans="1:9" s="27" customFormat="1">
      <c r="A11" s="149">
        <v>99834</v>
      </c>
      <c r="B11" s="149">
        <v>80472</v>
      </c>
      <c r="C11" s="141">
        <v>2023</v>
      </c>
      <c r="D11" s="143" t="s">
        <v>12</v>
      </c>
      <c r="E11" s="143" t="s">
        <v>52</v>
      </c>
      <c r="F11" s="143" t="s">
        <v>35</v>
      </c>
      <c r="G11" s="240"/>
      <c r="H11" s="137" t="s">
        <v>112</v>
      </c>
    </row>
    <row r="12" spans="1:9">
      <c r="A12" s="154">
        <v>99605</v>
      </c>
      <c r="B12" s="154">
        <v>88979</v>
      </c>
      <c r="C12" s="150">
        <v>2024</v>
      </c>
      <c r="D12" s="152" t="s">
        <v>8</v>
      </c>
      <c r="E12" s="152" t="s">
        <v>101</v>
      </c>
      <c r="F12" s="152" t="s">
        <v>19</v>
      </c>
      <c r="G12" s="241" t="s">
        <v>329</v>
      </c>
      <c r="H12" s="67" t="s">
        <v>151</v>
      </c>
    </row>
    <row r="13" spans="1:9" s="27" customFormat="1">
      <c r="A13" s="149">
        <v>99332</v>
      </c>
      <c r="B13" s="149" t="s">
        <v>17</v>
      </c>
      <c r="C13" s="28"/>
      <c r="D13" s="143"/>
      <c r="E13" s="143"/>
      <c r="F13" s="143"/>
      <c r="G13" s="242"/>
      <c r="H13" s="137" t="s">
        <v>112</v>
      </c>
    </row>
    <row r="14" spans="1:9" s="27" customFormat="1">
      <c r="A14" s="149">
        <v>98961</v>
      </c>
      <c r="B14" s="149">
        <v>78986</v>
      </c>
      <c r="C14" s="28">
        <v>2023</v>
      </c>
      <c r="D14" s="28" t="s">
        <v>8</v>
      </c>
      <c r="E14" s="28" t="s">
        <v>312</v>
      </c>
      <c r="F14" s="28" t="s">
        <v>10</v>
      </c>
      <c r="G14" s="29"/>
      <c r="H14" s="137" t="s">
        <v>112</v>
      </c>
    </row>
    <row r="15" spans="1:9" s="27" customFormat="1">
      <c r="A15" s="149">
        <v>98546</v>
      </c>
      <c r="B15" s="149" t="s">
        <v>17</v>
      </c>
      <c r="C15" s="28"/>
      <c r="D15" s="28"/>
      <c r="E15" s="28"/>
      <c r="F15" s="28"/>
      <c r="G15" s="29"/>
      <c r="H15" s="137" t="s">
        <v>112</v>
      </c>
    </row>
    <row r="16" spans="1:9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 t="s">
        <v>21</v>
      </c>
      <c r="B18" s="1"/>
      <c r="C18" s="1">
        <v>45</v>
      </c>
      <c r="D18" s="1"/>
      <c r="E18" s="1"/>
      <c r="F18" s="1"/>
      <c r="G18" s="1"/>
    </row>
    <row r="19" spans="1:7">
      <c r="A19" s="1" t="s">
        <v>22</v>
      </c>
      <c r="B19" s="1"/>
      <c r="C19" s="1">
        <v>12</v>
      </c>
      <c r="D19" s="7">
        <f>C19/C18</f>
        <v>0.26666666666666666</v>
      </c>
      <c r="E19" s="1"/>
      <c r="F19" s="1"/>
      <c r="G19" s="1"/>
    </row>
    <row r="20" spans="1:7">
      <c r="A20" s="1" t="s">
        <v>30</v>
      </c>
      <c r="B20" s="1"/>
      <c r="C20" s="1">
        <v>3</v>
      </c>
      <c r="D20" s="7">
        <f>C20/C18</f>
        <v>6.6666666666666666E-2</v>
      </c>
      <c r="E20" s="1"/>
      <c r="F20" s="1"/>
      <c r="G20" s="1"/>
    </row>
  </sheetData>
  <mergeCells count="1">
    <mergeCell ref="A1:G1"/>
  </mergeCells>
  <hyperlinks>
    <hyperlink ref="A15" r:id="rId1" display="98546" xr:uid="{4B167E7C-6F15-4F2F-90D5-CF60DC96BE02}"/>
    <hyperlink ref="B14" r:id="rId2" display="78986" xr:uid="{877163B0-85F3-42CF-82DD-6C6343532970}"/>
    <hyperlink ref="A14" r:id="rId3" display="98961" xr:uid="{FDAE5740-4D90-4F1F-BD40-49798CAED565}"/>
    <hyperlink ref="A13" r:id="rId4" display="99332" xr:uid="{18DB941E-CE19-4134-9410-43793C748A21}"/>
    <hyperlink ref="A10" r:id="rId5" display="100347" xr:uid="{C90F12D2-54AB-4F18-867D-54205A4FB940}"/>
    <hyperlink ref="B9" r:id="rId6" display="94293" xr:uid="{DCB4A659-C96B-4E5D-9626-1650D465AFA7}"/>
    <hyperlink ref="A9" r:id="rId7" display="100498" xr:uid="{26C80349-F2D7-4329-B160-662302924D49}"/>
    <hyperlink ref="B7" r:id="rId8" display="28051" xr:uid="{70FF0C0C-EEA7-4B73-ACFB-156861E8B642}"/>
    <hyperlink ref="A7" r:id="rId9" display="100805" xr:uid="{1A3F59EE-07DF-44CD-9E4B-3E28664C1462}"/>
    <hyperlink ref="B6" r:id="rId10" display="99962" xr:uid="{707D9545-4031-4FCB-9374-12BE0BD63923}"/>
    <hyperlink ref="A6" r:id="rId11" display="100803" xr:uid="{C028CD5C-3EA3-4338-9322-8C7AD3FBEA22}"/>
    <hyperlink ref="B5" r:id="rId12" display="98596" xr:uid="{B50B1864-FC46-408E-AEBA-AD28AC4FE2AC}"/>
    <hyperlink ref="A5" r:id="rId13" display="100945" xr:uid="{BB9C49A3-9DF0-4EF5-B743-04EEF4AB23DC}"/>
    <hyperlink ref="A12" r:id="rId14" display="99605" xr:uid="{0DE7F402-2591-4C8B-9398-405163AE6B74}"/>
    <hyperlink ref="B12" r:id="rId15" display="88979" xr:uid="{CEDB7091-9452-4A44-AF51-7D3B8C5B60EA}"/>
    <hyperlink ref="A11" r:id="rId16" display="99834" xr:uid="{F38DFFE4-71AD-4D1C-8664-93E71140B7C8}"/>
    <hyperlink ref="B11" r:id="rId17" display="80472" xr:uid="{F4488DA5-F7FC-4C26-97C8-A460AACC89B9}"/>
    <hyperlink ref="A4" r:id="rId18" display="101120" xr:uid="{EDF3341C-1DE0-42C8-8B79-254708C581DE}"/>
    <hyperlink ref="B4" r:id="rId19" display="99223" xr:uid="{2DB6F80B-8F7F-4EFE-A636-9327F94964C0}"/>
    <hyperlink ref="A8" r:id="rId20" display="100524" xr:uid="{4F622B86-DBDA-4D93-AA0F-3AF0F60A1425}"/>
    <hyperlink ref="B8" r:id="rId21" display="74975" xr:uid="{7C706494-BFBC-47C1-B525-2452FE9914B3}"/>
    <hyperlink ref="B10" r:id="rId22" display="80871" xr:uid="{FDCDD465-D42C-4B43-B266-98BC4A83AF64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7C14-E2D1-4550-8905-53355E8CC871}">
  <dimension ref="A1:H21"/>
  <sheetViews>
    <sheetView workbookViewId="0">
      <selection activeCell="G17" sqref="G17"/>
    </sheetView>
  </sheetViews>
  <sheetFormatPr defaultRowHeight="15"/>
  <cols>
    <col min="1" max="1" width="10.5703125" customWidth="1"/>
    <col min="2" max="2" width="20.8554687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  <col min="8" max="8" width="11.7109375" customWidth="1"/>
  </cols>
  <sheetData>
    <row r="1" spans="1:8">
      <c r="A1" s="259" t="s">
        <v>330</v>
      </c>
      <c r="B1" s="252"/>
      <c r="C1" s="252"/>
      <c r="D1" s="252"/>
      <c r="E1" s="252"/>
      <c r="F1" s="252"/>
      <c r="G1" s="253"/>
    </row>
    <row r="2" spans="1:8">
      <c r="A2" s="5"/>
      <c r="B2" s="110"/>
      <c r="C2" s="5"/>
      <c r="D2" s="5"/>
      <c r="E2" s="5"/>
      <c r="F2" s="5"/>
      <c r="G2" s="5"/>
    </row>
    <row r="3" spans="1:8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10" t="s">
        <v>25</v>
      </c>
      <c r="H3" s="74" t="s">
        <v>283</v>
      </c>
    </row>
    <row r="4" spans="1:8">
      <c r="A4" s="154"/>
      <c r="B4" s="167"/>
      <c r="C4" s="80"/>
      <c r="D4" s="156"/>
      <c r="E4" s="15"/>
      <c r="F4" s="15"/>
      <c r="G4" s="20"/>
      <c r="H4" s="67"/>
    </row>
    <row r="5" spans="1:8">
      <c r="A5" s="154"/>
      <c r="B5" s="204"/>
      <c r="C5" s="205"/>
      <c r="D5" s="156"/>
      <c r="E5" s="205"/>
      <c r="F5" s="205"/>
      <c r="G5" s="230"/>
      <c r="H5" s="67"/>
    </row>
    <row r="6" spans="1:8">
      <c r="A6" s="157"/>
      <c r="B6" s="116"/>
      <c r="C6" s="5"/>
      <c r="D6" s="156"/>
      <c r="E6" s="15"/>
      <c r="F6" s="15"/>
      <c r="G6" s="230"/>
      <c r="H6" s="67"/>
    </row>
    <row r="7" spans="1:8">
      <c r="A7" s="151"/>
      <c r="B7" s="5"/>
      <c r="C7" s="5"/>
      <c r="D7" s="110"/>
      <c r="E7" s="5"/>
      <c r="F7" s="15"/>
      <c r="G7" s="237"/>
      <c r="H7" s="67"/>
    </row>
    <row r="8" spans="1:8">
      <c r="A8" s="151"/>
      <c r="B8" s="5"/>
      <c r="C8" s="5"/>
      <c r="D8" s="110"/>
      <c r="E8" s="20"/>
      <c r="F8" s="5"/>
      <c r="G8" s="20"/>
      <c r="H8" s="67"/>
    </row>
    <row r="9" spans="1:8">
      <c r="A9" s="151"/>
      <c r="B9" s="5"/>
      <c r="C9" s="5"/>
      <c r="D9" s="110"/>
      <c r="E9" s="20"/>
      <c r="F9" s="5"/>
      <c r="G9" s="20"/>
      <c r="H9" s="67"/>
    </row>
    <row r="10" spans="1:8">
      <c r="A10" s="6"/>
      <c r="B10" s="1"/>
      <c r="C10" s="1"/>
      <c r="D10" s="1"/>
      <c r="E10" s="1"/>
      <c r="F10" s="1"/>
      <c r="G10" s="1"/>
    </row>
    <row r="11" spans="1:8">
      <c r="A11" s="1"/>
      <c r="B11" s="1"/>
      <c r="C11" s="1"/>
      <c r="D11" s="1"/>
      <c r="E11" s="1"/>
      <c r="F11" s="1"/>
      <c r="G11" s="1"/>
    </row>
    <row r="12" spans="1:8">
      <c r="A12" s="1" t="s">
        <v>21</v>
      </c>
      <c r="B12" s="1"/>
      <c r="C12" s="1">
        <v>6</v>
      </c>
      <c r="D12" s="1"/>
      <c r="E12" s="1"/>
      <c r="F12" s="1"/>
      <c r="G12" s="1"/>
    </row>
    <row r="13" spans="1:8">
      <c r="A13" s="1" t="s">
        <v>22</v>
      </c>
      <c r="B13" s="1"/>
      <c r="C13" s="1">
        <v>0</v>
      </c>
      <c r="D13" s="7">
        <f>C13/C12</f>
        <v>0</v>
      </c>
      <c r="E13" s="1"/>
      <c r="F13" s="1"/>
      <c r="G13" s="1"/>
    </row>
    <row r="14" spans="1:8">
      <c r="A14" s="1" t="s">
        <v>30</v>
      </c>
      <c r="B14" s="1"/>
      <c r="C14" s="1">
        <v>0</v>
      </c>
      <c r="D14" s="7">
        <f>C14/C12</f>
        <v>0</v>
      </c>
      <c r="E14" s="1"/>
      <c r="F14" s="1"/>
      <c r="G14" s="1"/>
    </row>
    <row r="18" spans="1:5">
      <c r="A18" s="270"/>
      <c r="B18" s="270"/>
      <c r="C18" s="270"/>
      <c r="D18" s="270"/>
      <c r="E18" s="270"/>
    </row>
    <row r="19" spans="1:5">
      <c r="A19" s="181"/>
      <c r="B19" s="181"/>
      <c r="C19" s="182"/>
      <c r="D19" s="182"/>
      <c r="E19" s="182"/>
    </row>
    <row r="20" spans="1:5">
      <c r="A20" s="181"/>
      <c r="B20" s="181"/>
      <c r="C20" s="182"/>
      <c r="D20" s="182"/>
      <c r="E20" s="183"/>
    </row>
    <row r="21" spans="1:5">
      <c r="A21" s="181"/>
      <c r="B21" s="181"/>
      <c r="C21" s="182"/>
      <c r="D21" s="182"/>
      <c r="E21" s="183"/>
    </row>
  </sheetData>
  <mergeCells count="2">
    <mergeCell ref="A1:G1"/>
    <mergeCell ref="A18:E18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FB29-3351-4BC1-9340-0F94B7D65820}">
  <dimension ref="A1:I20"/>
  <sheetViews>
    <sheetView workbookViewId="0">
      <selection activeCell="G17" sqref="G17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47.42578125" customWidth="1"/>
    <col min="8" max="8" width="12.85546875" customWidth="1"/>
  </cols>
  <sheetData>
    <row r="1" spans="1:9">
      <c r="A1" s="251" t="s">
        <v>331</v>
      </c>
      <c r="B1" s="252"/>
      <c r="C1" s="252"/>
      <c r="D1" s="252"/>
      <c r="E1" s="252"/>
      <c r="F1" s="252"/>
      <c r="G1" s="252"/>
    </row>
    <row r="2" spans="1:9">
      <c r="A2" s="1"/>
      <c r="B2" s="1"/>
      <c r="C2" s="1"/>
      <c r="D2" s="1"/>
      <c r="E2" s="1"/>
      <c r="F2" s="1"/>
      <c r="G2" s="1"/>
    </row>
    <row r="3" spans="1:9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42" t="s">
        <v>6</v>
      </c>
      <c r="G3" s="234" t="s">
        <v>7</v>
      </c>
      <c r="H3" s="66" t="s">
        <v>283</v>
      </c>
    </row>
    <row r="4" spans="1:9" s="27" customFormat="1">
      <c r="A4" s="165">
        <v>95994</v>
      </c>
      <c r="B4" s="165">
        <v>513</v>
      </c>
      <c r="C4" s="139">
        <v>2003</v>
      </c>
      <c r="D4" s="22" t="s">
        <v>26</v>
      </c>
      <c r="E4" s="22" t="s">
        <v>13</v>
      </c>
      <c r="F4" s="139" t="s">
        <v>13</v>
      </c>
      <c r="G4" s="107"/>
      <c r="H4" s="137" t="s">
        <v>112</v>
      </c>
      <c r="I4" s="27" t="s">
        <v>100</v>
      </c>
    </row>
    <row r="5" spans="1:9" s="27" customFormat="1">
      <c r="A5" s="149">
        <v>100410</v>
      </c>
      <c r="B5" s="149" t="s">
        <v>17</v>
      </c>
      <c r="C5" s="139" t="s">
        <v>13</v>
      </c>
      <c r="D5" s="28" t="s">
        <v>13</v>
      </c>
      <c r="E5" s="28" t="s">
        <v>13</v>
      </c>
      <c r="F5" s="28" t="s">
        <v>13</v>
      </c>
      <c r="G5" s="29"/>
      <c r="H5" s="137" t="s">
        <v>112</v>
      </c>
    </row>
    <row r="6" spans="1:9">
      <c r="A6" s="210">
        <v>100539</v>
      </c>
      <c r="B6" s="210">
        <v>95295</v>
      </c>
      <c r="C6" s="153">
        <v>2025</v>
      </c>
      <c r="D6" s="19" t="s">
        <v>12</v>
      </c>
      <c r="E6" s="176" t="s">
        <v>49</v>
      </c>
      <c r="F6" s="19" t="s">
        <v>35</v>
      </c>
      <c r="G6" s="20" t="s">
        <v>332</v>
      </c>
      <c r="H6" s="67" t="s">
        <v>151</v>
      </c>
    </row>
    <row r="7" spans="1:9" s="27" customFormat="1">
      <c r="A7" s="149">
        <v>100807</v>
      </c>
      <c r="B7" s="149">
        <v>9608</v>
      </c>
      <c r="C7" s="141">
        <v>2008</v>
      </c>
      <c r="D7" s="28" t="s">
        <v>8</v>
      </c>
      <c r="E7" s="28" t="s">
        <v>13</v>
      </c>
      <c r="F7" s="28" t="s">
        <v>13</v>
      </c>
      <c r="G7" s="29"/>
      <c r="H7" s="137" t="s">
        <v>112</v>
      </c>
    </row>
    <row r="8" spans="1:9" s="27" customFormat="1">
      <c r="A8" s="149">
        <v>101212</v>
      </c>
      <c r="B8" s="149">
        <v>35004</v>
      </c>
      <c r="C8" s="141">
        <v>2015</v>
      </c>
      <c r="D8" s="28" t="s">
        <v>26</v>
      </c>
      <c r="E8" s="28" t="s">
        <v>13</v>
      </c>
      <c r="F8" s="28" t="s">
        <v>13</v>
      </c>
      <c r="G8" s="29"/>
      <c r="H8" s="137" t="s">
        <v>112</v>
      </c>
    </row>
    <row r="9" spans="1:9">
      <c r="A9" s="154">
        <f>101262</f>
        <v>101262</v>
      </c>
      <c r="B9" s="154">
        <v>94014</v>
      </c>
      <c r="C9" s="150">
        <v>2025</v>
      </c>
      <c r="D9" s="19" t="s">
        <v>12</v>
      </c>
      <c r="E9" s="19" t="s">
        <v>171</v>
      </c>
      <c r="F9" s="19" t="s">
        <v>35</v>
      </c>
      <c r="G9" s="20" t="s">
        <v>333</v>
      </c>
      <c r="H9" s="67" t="s">
        <v>151</v>
      </c>
    </row>
    <row r="10" spans="1:9">
      <c r="A10" s="154">
        <v>101508</v>
      </c>
      <c r="B10" s="154">
        <v>100580</v>
      </c>
      <c r="C10" s="150">
        <v>2026</v>
      </c>
      <c r="D10" s="19" t="s">
        <v>26</v>
      </c>
      <c r="E10" s="19" t="s">
        <v>265</v>
      </c>
      <c r="F10" s="19" t="s">
        <v>10</v>
      </c>
      <c r="G10" s="20" t="s">
        <v>334</v>
      </c>
      <c r="H10" s="67" t="s">
        <v>151</v>
      </c>
    </row>
    <row r="11" spans="1:9" s="27" customFormat="1">
      <c r="A11" s="149">
        <v>101657</v>
      </c>
      <c r="B11" s="149" t="s">
        <v>17</v>
      </c>
      <c r="C11" s="141" t="s">
        <v>13</v>
      </c>
      <c r="D11" s="143" t="s">
        <v>13</v>
      </c>
      <c r="E11" s="143" t="s">
        <v>13</v>
      </c>
      <c r="F11" s="143" t="s">
        <v>13</v>
      </c>
      <c r="G11" s="240"/>
      <c r="H11" s="137" t="s">
        <v>112</v>
      </c>
    </row>
    <row r="12" spans="1:9">
      <c r="A12" s="154">
        <v>101698</v>
      </c>
      <c r="B12" s="154">
        <v>99351</v>
      </c>
      <c r="C12" s="150">
        <v>2026</v>
      </c>
      <c r="D12" s="152" t="s">
        <v>12</v>
      </c>
      <c r="E12" s="152" t="s">
        <v>49</v>
      </c>
      <c r="F12" s="152" t="s">
        <v>10</v>
      </c>
      <c r="G12" s="241" t="s">
        <v>335</v>
      </c>
      <c r="H12" s="67" t="s">
        <v>151</v>
      </c>
    </row>
    <row r="13" spans="1:9">
      <c r="A13" s="154"/>
      <c r="B13" s="154"/>
      <c r="C13" s="19"/>
      <c r="D13" s="152"/>
      <c r="E13" s="152"/>
      <c r="F13" s="152"/>
      <c r="G13" s="236"/>
      <c r="H13" s="67"/>
    </row>
    <row r="14" spans="1:9">
      <c r="A14" s="154"/>
      <c r="B14" s="154"/>
      <c r="C14" s="19"/>
      <c r="D14" s="19"/>
      <c r="E14" s="19"/>
      <c r="F14" s="19"/>
      <c r="G14" s="20"/>
      <c r="H14" s="67"/>
    </row>
    <row r="15" spans="1:9">
      <c r="A15" s="154"/>
      <c r="B15" s="154"/>
      <c r="C15" s="19"/>
      <c r="D15" s="19"/>
      <c r="E15" s="19"/>
      <c r="F15" s="19"/>
      <c r="G15" s="20"/>
      <c r="H15" s="67"/>
    </row>
    <row r="16" spans="1:9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 t="s">
        <v>21</v>
      </c>
      <c r="B18" s="1"/>
      <c r="C18" s="1">
        <v>40</v>
      </c>
      <c r="D18" s="1"/>
      <c r="E18" s="1"/>
      <c r="F18" s="1"/>
      <c r="G18" s="1"/>
    </row>
    <row r="19" spans="1:7">
      <c r="A19" s="1" t="s">
        <v>22</v>
      </c>
      <c r="B19" s="1"/>
      <c r="C19" s="1">
        <v>9</v>
      </c>
      <c r="D19" s="7">
        <f>C19/C18</f>
        <v>0.22500000000000001</v>
      </c>
      <c r="E19" s="1"/>
      <c r="F19" s="1"/>
      <c r="G19" s="1"/>
    </row>
    <row r="20" spans="1:7">
      <c r="A20" s="1" t="s">
        <v>30</v>
      </c>
      <c r="B20" s="1"/>
      <c r="C20" s="1">
        <v>4</v>
      </c>
      <c r="D20" s="7">
        <f>C20/C18</f>
        <v>0.1</v>
      </c>
      <c r="E20" s="1"/>
      <c r="F20" s="1"/>
      <c r="G20" s="1"/>
    </row>
  </sheetData>
  <mergeCells count="1">
    <mergeCell ref="A1:G1"/>
  </mergeCells>
  <hyperlinks>
    <hyperlink ref="A4" r:id="rId1" display="95994" xr:uid="{F1231A2D-E1FD-4A30-A24C-A4B13AF44CD4}"/>
    <hyperlink ref="B4" r:id="rId2" display="513" xr:uid="{87399C33-AC5D-4740-B72F-7D8185F06B9D}"/>
    <hyperlink ref="A5" r:id="rId3" display="100410" xr:uid="{70E1A86E-4E7A-43CD-98B6-C792E1BF610C}"/>
    <hyperlink ref="A6" r:id="rId4" display="100539" xr:uid="{9AF6D168-C8B9-4260-929F-368FD43318BC}"/>
    <hyperlink ref="B6" r:id="rId5" display="95295" xr:uid="{1AD1EF47-E7F8-4A15-8E12-533EE8C263CC}"/>
    <hyperlink ref="A7" r:id="rId6" display="100807" xr:uid="{8076E736-B1C1-49C9-AD24-CE3FA9F25EBC}"/>
    <hyperlink ref="B7" r:id="rId7" display="9608" xr:uid="{2D9EDE27-7E6C-4C0A-890D-1B5F694344EB}"/>
    <hyperlink ref="A8" r:id="rId8" display="101212" xr:uid="{B0FBF4A2-63CF-47D9-BDEE-08AEF00FAE01}"/>
    <hyperlink ref="B8" r:id="rId9" display="35004" xr:uid="{DDC086E7-4CC2-4551-B400-7EAB01EF6C0A}"/>
    <hyperlink ref="A9" r:id="rId10" display="=101262" xr:uid="{6D25B2DC-6FFB-4AEE-9A81-F4E26D1037AB}"/>
    <hyperlink ref="B9" r:id="rId11" display="94014" xr:uid="{1880B22E-DAB8-4328-807D-8914529CD0DD}"/>
    <hyperlink ref="A10" r:id="rId12" display="101508" xr:uid="{4691EEEA-73E2-4E72-A000-9818C3A2F0D8}"/>
    <hyperlink ref="B10" r:id="rId13" display="100580" xr:uid="{7A138CB2-C372-4849-9214-D7C2FEDC904E}"/>
    <hyperlink ref="A11" r:id="rId14" display="101657" xr:uid="{B162C51D-CF35-4CF4-AE98-988881ABF3D8}"/>
    <hyperlink ref="A12" r:id="rId15" display="101698" xr:uid="{1523CC76-C2B9-455A-8C18-E2A1A70AAEAB}"/>
    <hyperlink ref="B12" r:id="rId16" display="99351" xr:uid="{5254E56C-124E-4524-AEF6-99DCDFF84FFC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F69F-D143-4287-9616-7A03120C9AB5}">
  <dimension ref="A1:H21"/>
  <sheetViews>
    <sheetView workbookViewId="0">
      <selection activeCell="G15" sqref="G15"/>
    </sheetView>
  </sheetViews>
  <sheetFormatPr defaultRowHeight="15"/>
  <cols>
    <col min="1" max="1" width="10.5703125" customWidth="1"/>
    <col min="2" max="2" width="20.8554687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  <col min="8" max="8" width="11.7109375" customWidth="1"/>
  </cols>
  <sheetData>
    <row r="1" spans="1:8">
      <c r="A1" s="259" t="s">
        <v>336</v>
      </c>
      <c r="B1" s="252"/>
      <c r="C1" s="252"/>
      <c r="D1" s="252"/>
      <c r="E1" s="252"/>
      <c r="F1" s="252"/>
      <c r="G1" s="253"/>
    </row>
    <row r="2" spans="1:8">
      <c r="A2" s="5"/>
      <c r="B2" s="110"/>
      <c r="C2" s="5"/>
      <c r="D2" s="5"/>
      <c r="E2" s="5"/>
      <c r="F2" s="5"/>
      <c r="G2" s="5"/>
    </row>
    <row r="3" spans="1:8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10" t="s">
        <v>25</v>
      </c>
      <c r="H3" s="66" t="s">
        <v>283</v>
      </c>
    </row>
    <row r="4" spans="1:8" s="27" customFormat="1">
      <c r="A4" s="149">
        <v>99996</v>
      </c>
      <c r="B4" s="180">
        <v>36998</v>
      </c>
      <c r="C4" s="169">
        <v>2015</v>
      </c>
      <c r="D4" s="170" t="s">
        <v>26</v>
      </c>
      <c r="E4" s="24" t="s">
        <v>132</v>
      </c>
      <c r="F4" s="24" t="s">
        <v>132</v>
      </c>
      <c r="G4" s="29" t="s">
        <v>337</v>
      </c>
      <c r="H4" s="137" t="s">
        <v>112</v>
      </c>
    </row>
    <row r="5" spans="1:8" s="27" customFormat="1" ht="30.75">
      <c r="A5" s="149">
        <v>100941</v>
      </c>
      <c r="B5" s="168">
        <v>97466</v>
      </c>
      <c r="C5" s="169">
        <v>2025</v>
      </c>
      <c r="D5" s="170" t="s">
        <v>26</v>
      </c>
      <c r="E5" s="212" t="s">
        <v>59</v>
      </c>
      <c r="F5" s="212" t="s">
        <v>28</v>
      </c>
      <c r="G5" s="231" t="s">
        <v>338</v>
      </c>
      <c r="H5" s="137" t="s">
        <v>112</v>
      </c>
    </row>
    <row r="6" spans="1:8">
      <c r="A6" s="211">
        <v>101319</v>
      </c>
      <c r="B6" s="166">
        <v>79446</v>
      </c>
      <c r="C6" s="19">
        <v>2023</v>
      </c>
      <c r="D6" s="156" t="s">
        <v>26</v>
      </c>
      <c r="E6" s="15" t="s">
        <v>28</v>
      </c>
      <c r="F6" s="15" t="s">
        <v>28</v>
      </c>
      <c r="G6" s="230" t="s">
        <v>339</v>
      </c>
      <c r="H6" s="67" t="s">
        <v>151</v>
      </c>
    </row>
    <row r="7" spans="1:8">
      <c r="A7" s="151">
        <v>101432</v>
      </c>
      <c r="B7" s="19">
        <v>97104</v>
      </c>
      <c r="C7" s="19">
        <v>2025</v>
      </c>
      <c r="D7" s="110" t="s">
        <v>340</v>
      </c>
      <c r="E7" s="5" t="s">
        <v>59</v>
      </c>
      <c r="F7" s="15" t="s">
        <v>28</v>
      </c>
      <c r="G7" s="237" t="s">
        <v>341</v>
      </c>
      <c r="H7" s="67" t="s">
        <v>151</v>
      </c>
    </row>
    <row r="8" spans="1:8">
      <c r="A8" s="151"/>
      <c r="B8" s="5"/>
      <c r="C8" s="5"/>
      <c r="D8" s="110"/>
      <c r="E8" s="20"/>
      <c r="F8" s="5"/>
      <c r="G8" s="20"/>
      <c r="H8" s="67"/>
    </row>
    <row r="9" spans="1:8">
      <c r="A9" s="151"/>
      <c r="B9" s="5"/>
      <c r="C9" s="5"/>
      <c r="D9" s="110"/>
      <c r="E9" s="20"/>
      <c r="F9" s="5"/>
      <c r="G9" s="20"/>
      <c r="H9" s="67"/>
    </row>
    <row r="10" spans="1:8">
      <c r="A10" s="6"/>
      <c r="B10" s="1"/>
      <c r="C10" s="1"/>
      <c r="D10" s="1"/>
      <c r="E10" s="1"/>
      <c r="F10" s="1"/>
      <c r="G10" s="1"/>
    </row>
    <row r="11" spans="1:8">
      <c r="A11" s="1"/>
      <c r="B11" s="1"/>
      <c r="C11" s="1"/>
      <c r="D11" s="1"/>
      <c r="E11" s="1"/>
      <c r="F11" s="1"/>
      <c r="G11" s="1"/>
    </row>
    <row r="12" spans="1:8">
      <c r="A12" s="1" t="s">
        <v>21</v>
      </c>
      <c r="B12" s="1"/>
      <c r="C12" s="1">
        <v>17</v>
      </c>
      <c r="D12" s="1"/>
      <c r="E12" s="1"/>
      <c r="F12" s="1"/>
      <c r="G12" s="1"/>
    </row>
    <row r="13" spans="1:8">
      <c r="A13" s="1" t="s">
        <v>22</v>
      </c>
      <c r="B13" s="1"/>
      <c r="C13" s="1">
        <v>4</v>
      </c>
      <c r="D13" s="7">
        <f>C13/C12</f>
        <v>0.23529411764705882</v>
      </c>
      <c r="E13" s="1"/>
      <c r="F13" s="1"/>
      <c r="G13" s="1"/>
    </row>
    <row r="14" spans="1:8">
      <c r="A14" s="1" t="s">
        <v>30</v>
      </c>
      <c r="B14" s="1"/>
      <c r="C14" s="1">
        <v>2</v>
      </c>
      <c r="D14" s="7">
        <f>C14/C12</f>
        <v>0.11764705882352941</v>
      </c>
      <c r="E14" s="1"/>
      <c r="F14" s="1"/>
      <c r="G14" s="1"/>
    </row>
    <row r="18" spans="1:5">
      <c r="A18" s="270"/>
      <c r="B18" s="270"/>
      <c r="C18" s="270"/>
      <c r="D18" s="270"/>
      <c r="E18" s="270"/>
    </row>
    <row r="19" spans="1:5">
      <c r="A19" s="181"/>
      <c r="B19" s="181"/>
      <c r="C19" s="182"/>
      <c r="D19" s="182"/>
      <c r="E19" s="182"/>
    </row>
    <row r="20" spans="1:5">
      <c r="A20" s="181"/>
      <c r="B20" s="181"/>
      <c r="C20" s="182"/>
      <c r="D20" s="182"/>
      <c r="E20" s="183"/>
    </row>
    <row r="21" spans="1:5">
      <c r="A21" s="181"/>
      <c r="B21" s="181"/>
      <c r="C21" s="182"/>
      <c r="D21" s="182"/>
      <c r="E21" s="183"/>
    </row>
  </sheetData>
  <mergeCells count="2">
    <mergeCell ref="A1:G1"/>
    <mergeCell ref="A18:E18"/>
  </mergeCells>
  <hyperlinks>
    <hyperlink ref="A4" r:id="rId1" display="99996" xr:uid="{DC128987-EED3-4D08-911F-408E63D1BB8B}"/>
    <hyperlink ref="A5" r:id="rId2" display="100941" xr:uid="{D10427D8-54B5-4988-A136-305618E3D20F}"/>
    <hyperlink ref="A6" r:id="rId3" display="101319" xr:uid="{67B52AB0-BF3F-4EDF-AB21-77452CD684CB}"/>
    <hyperlink ref="B6" r:id="rId4" display="79446" xr:uid="{A7A04986-EF93-4F4C-A58A-C3200CD02A72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3C10-7120-4C02-BEA6-FF757B31C6DB}">
  <dimension ref="A1:I19"/>
  <sheetViews>
    <sheetView workbookViewId="0">
      <selection activeCell="G13" sqref="G13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47.42578125" customWidth="1"/>
    <col min="8" max="8" width="11.140625" customWidth="1"/>
  </cols>
  <sheetData>
    <row r="1" spans="1:9">
      <c r="A1" s="251" t="s">
        <v>331</v>
      </c>
      <c r="B1" s="252"/>
      <c r="C1" s="252"/>
      <c r="D1" s="252"/>
      <c r="E1" s="252"/>
      <c r="F1" s="252"/>
      <c r="G1" s="252"/>
    </row>
    <row r="2" spans="1:9">
      <c r="A2" s="1"/>
      <c r="B2" s="1"/>
      <c r="C2" s="1"/>
      <c r="D2" s="1"/>
      <c r="E2" s="1"/>
      <c r="F2" s="1"/>
      <c r="G2" s="1"/>
    </row>
    <row r="3" spans="1:9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42" t="s">
        <v>6</v>
      </c>
      <c r="G3" s="234" t="s">
        <v>7</v>
      </c>
      <c r="H3" s="66" t="s">
        <v>283</v>
      </c>
    </row>
    <row r="4" spans="1:9" s="27" customFormat="1">
      <c r="A4" s="165">
        <v>101492</v>
      </c>
      <c r="B4" s="165">
        <v>13569</v>
      </c>
      <c r="C4" s="139">
        <v>2010</v>
      </c>
      <c r="D4" s="22"/>
      <c r="E4" s="22"/>
      <c r="F4" s="139"/>
      <c r="G4" s="107"/>
      <c r="H4" s="137" t="s">
        <v>112</v>
      </c>
    </row>
    <row r="5" spans="1:9">
      <c r="A5" s="154">
        <v>101752</v>
      </c>
      <c r="B5" s="154">
        <v>99223</v>
      </c>
      <c r="C5" s="153">
        <v>2026</v>
      </c>
      <c r="D5" s="19" t="s">
        <v>8</v>
      </c>
      <c r="E5" s="19" t="s">
        <v>52</v>
      </c>
      <c r="F5" s="19" t="s">
        <v>35</v>
      </c>
      <c r="G5" s="20" t="s">
        <v>342</v>
      </c>
      <c r="H5" s="67" t="s">
        <v>151</v>
      </c>
    </row>
    <row r="6" spans="1:9">
      <c r="A6" s="210">
        <v>101772</v>
      </c>
      <c r="B6" s="154">
        <v>99223</v>
      </c>
      <c r="C6" s="153">
        <v>2026</v>
      </c>
      <c r="D6" s="19" t="s">
        <v>8</v>
      </c>
      <c r="E6" s="19" t="s">
        <v>52</v>
      </c>
      <c r="F6" s="19" t="s">
        <v>35</v>
      </c>
      <c r="G6" s="20" t="s">
        <v>343</v>
      </c>
      <c r="H6" s="67" t="s">
        <v>151</v>
      </c>
    </row>
    <row r="7" spans="1:9" s="27" customFormat="1">
      <c r="A7" s="149">
        <v>101823</v>
      </c>
      <c r="B7" s="149">
        <v>94293</v>
      </c>
      <c r="C7" s="141">
        <v>2025</v>
      </c>
      <c r="D7" s="28" t="s">
        <v>8</v>
      </c>
      <c r="E7" s="28" t="s">
        <v>344</v>
      </c>
      <c r="F7" s="28" t="s">
        <v>19</v>
      </c>
      <c r="G7" s="29" t="s">
        <v>81</v>
      </c>
      <c r="H7" s="137" t="s">
        <v>112</v>
      </c>
    </row>
    <row r="8" spans="1:9">
      <c r="A8" s="154">
        <v>102014</v>
      </c>
      <c r="B8" s="154">
        <v>101293</v>
      </c>
      <c r="C8" s="150">
        <v>2026</v>
      </c>
      <c r="D8" s="19" t="s">
        <v>8</v>
      </c>
      <c r="E8" s="19" t="s">
        <v>312</v>
      </c>
      <c r="F8" s="19" t="s">
        <v>33</v>
      </c>
      <c r="G8" s="20" t="s">
        <v>345</v>
      </c>
      <c r="H8" s="67" t="s">
        <v>151</v>
      </c>
      <c r="I8" t="s">
        <v>100</v>
      </c>
    </row>
    <row r="9" spans="1:9">
      <c r="A9" s="154">
        <v>102259</v>
      </c>
      <c r="B9" s="154">
        <v>101855</v>
      </c>
      <c r="C9" s="150">
        <v>2026</v>
      </c>
      <c r="D9" s="19" t="s">
        <v>8</v>
      </c>
      <c r="E9" s="19" t="s">
        <v>209</v>
      </c>
      <c r="F9" s="19" t="s">
        <v>33</v>
      </c>
      <c r="G9" s="20" t="s">
        <v>346</v>
      </c>
      <c r="H9" s="67" t="s">
        <v>151</v>
      </c>
      <c r="I9" t="s">
        <v>100</v>
      </c>
    </row>
    <row r="10" spans="1:9" s="27" customFormat="1">
      <c r="A10" s="149">
        <v>102079</v>
      </c>
      <c r="B10" s="149" t="s">
        <v>17</v>
      </c>
      <c r="C10" s="141"/>
      <c r="D10" s="143"/>
      <c r="E10" s="143"/>
      <c r="F10" s="143"/>
      <c r="G10" s="240"/>
      <c r="H10" s="137" t="s">
        <v>112</v>
      </c>
    </row>
    <row r="11" spans="1:9" s="27" customFormat="1">
      <c r="A11" s="149">
        <v>102426</v>
      </c>
      <c r="B11" s="149">
        <v>101369</v>
      </c>
      <c r="C11" s="141">
        <v>2026</v>
      </c>
      <c r="D11" s="143" t="s">
        <v>12</v>
      </c>
      <c r="E11" s="143" t="s">
        <v>209</v>
      </c>
      <c r="F11" s="143" t="s">
        <v>19</v>
      </c>
      <c r="G11" s="240" t="s">
        <v>81</v>
      </c>
      <c r="H11" s="137" t="s">
        <v>112</v>
      </c>
    </row>
    <row r="12" spans="1:9">
      <c r="A12" s="154"/>
      <c r="B12" s="154"/>
      <c r="C12" s="19"/>
      <c r="D12" s="152"/>
      <c r="E12" s="152"/>
      <c r="F12" s="152"/>
      <c r="G12" s="236"/>
      <c r="H12" s="67"/>
    </row>
    <row r="13" spans="1:9">
      <c r="A13" s="154"/>
      <c r="B13" s="154"/>
      <c r="C13" s="19"/>
      <c r="D13" s="19"/>
      <c r="E13" s="19"/>
      <c r="F13" s="19"/>
      <c r="G13" s="20"/>
      <c r="H13" s="67"/>
    </row>
    <row r="14" spans="1:9">
      <c r="A14" s="154"/>
      <c r="B14" s="154"/>
      <c r="C14" s="19"/>
      <c r="D14" s="19"/>
      <c r="E14" s="19"/>
      <c r="F14" s="19"/>
      <c r="G14" s="20"/>
      <c r="H14" s="67"/>
    </row>
    <row r="15" spans="1:9">
      <c r="A15" s="1"/>
      <c r="B15" s="1"/>
      <c r="C15" s="1"/>
      <c r="D15" s="1"/>
      <c r="E15" s="1"/>
      <c r="F15" s="1"/>
      <c r="G15" s="1"/>
    </row>
    <row r="16" spans="1:9">
      <c r="A16" s="1"/>
      <c r="B16" s="1"/>
      <c r="C16" s="1"/>
      <c r="D16" s="1"/>
      <c r="E16" s="1"/>
      <c r="F16" s="1"/>
      <c r="G16" s="1"/>
    </row>
    <row r="17" spans="1:7">
      <c r="A17" s="1" t="s">
        <v>21</v>
      </c>
      <c r="B17" s="1"/>
      <c r="C17" s="1">
        <v>36</v>
      </c>
      <c r="D17" s="1"/>
      <c r="E17" s="1"/>
      <c r="F17" s="1"/>
      <c r="G17" s="1"/>
    </row>
    <row r="18" spans="1:7">
      <c r="A18" s="1" t="s">
        <v>22</v>
      </c>
      <c r="B18" s="1"/>
      <c r="C18" s="1">
        <v>8</v>
      </c>
      <c r="D18" s="7">
        <f>C18/C17</f>
        <v>0.22222222222222221</v>
      </c>
      <c r="E18" s="1"/>
      <c r="F18" s="1"/>
      <c r="G18" s="1"/>
    </row>
    <row r="19" spans="1:7">
      <c r="A19" s="1" t="s">
        <v>30</v>
      </c>
      <c r="B19" s="1"/>
      <c r="C19" s="1">
        <v>4</v>
      </c>
      <c r="D19" s="7">
        <f>C19/C17</f>
        <v>0.1111111111111111</v>
      </c>
      <c r="E19" s="1"/>
      <c r="F19" s="1"/>
      <c r="G19" s="1"/>
    </row>
  </sheetData>
  <mergeCells count="1">
    <mergeCell ref="A1:G1"/>
  </mergeCells>
  <hyperlinks>
    <hyperlink ref="A4" r:id="rId1" display="101492" xr:uid="{74A378FD-A94E-4C6D-9F54-D04FBE799F84}"/>
    <hyperlink ref="A5" r:id="rId2" display="101752" xr:uid="{D670E72A-C9CC-4514-879F-63C0BCA1EF8E}"/>
    <hyperlink ref="B5" r:id="rId3" display="99223" xr:uid="{57D2CB76-488B-4121-ABF4-14DF6B2AA487}"/>
    <hyperlink ref="A6" r:id="rId4" display="101772" xr:uid="{AB664159-694B-4298-AD5F-BD8A192E88FA}"/>
    <hyperlink ref="B6" r:id="rId5" display="99223" xr:uid="{D697F4FD-6589-4788-9A28-77E57E7897AE}"/>
    <hyperlink ref="A7" r:id="rId6" display="101823" xr:uid="{44311117-C65B-49DF-A194-99CDD4F54BA4}"/>
    <hyperlink ref="A8" r:id="rId7" display="102014" xr:uid="{5E9DD70B-F55B-4CC7-B342-C4A07329D6D1}"/>
    <hyperlink ref="B8" r:id="rId8" display="101293" xr:uid="{3A29C192-4058-4041-9966-9158468D9F9B}"/>
    <hyperlink ref="A9" r:id="rId9" display="102259" xr:uid="{4BE00A3B-D7B2-456F-BDC3-DC6A2D16A262}"/>
    <hyperlink ref="B9" r:id="rId10" display="101855" xr:uid="{BD373D14-FC16-4810-9762-9A2700D2E567}"/>
    <hyperlink ref="A10" r:id="rId11" display="102079" xr:uid="{7098DB9E-60DC-4F5A-B912-91E1155C64F5}"/>
    <hyperlink ref="A11" r:id="rId12" display="102426" xr:uid="{377D0B9A-C3DB-4EAD-A99C-ACC3653E3438}"/>
    <hyperlink ref="B11" r:id="rId13" display="101369" xr:uid="{87544B20-55D6-49B5-B6E0-6E5986BE23E7}"/>
    <hyperlink ref="B4" r:id="rId14" display="13569" xr:uid="{82B9C81F-F552-4A1D-9465-E9FFA741066F}"/>
    <hyperlink ref="B7" r:id="rId15" display="94293" xr:uid="{D6E8E006-56D0-47C1-8006-0A41B1C9D84D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D99A-EAC0-42FC-93F8-AC3912F4E752}">
  <dimension ref="A1:H21"/>
  <sheetViews>
    <sheetView workbookViewId="0">
      <selection activeCell="H3" sqref="H3"/>
    </sheetView>
  </sheetViews>
  <sheetFormatPr defaultRowHeight="15"/>
  <cols>
    <col min="1" max="1" width="10.5703125" customWidth="1"/>
    <col min="2" max="2" width="20.85546875" customWidth="1"/>
    <col min="3" max="3" width="15.28515625" bestFit="1" customWidth="1"/>
    <col min="4" max="4" width="15.5703125" bestFit="1" customWidth="1"/>
    <col min="5" max="5" width="22.28515625" bestFit="1" customWidth="1"/>
    <col min="6" max="6" width="19" bestFit="1" customWidth="1"/>
    <col min="7" max="7" width="125.85546875" customWidth="1"/>
    <col min="8" max="8" width="13.5703125" customWidth="1"/>
  </cols>
  <sheetData>
    <row r="1" spans="1:8">
      <c r="A1" s="259" t="s">
        <v>336</v>
      </c>
      <c r="B1" s="252"/>
      <c r="C1" s="252"/>
      <c r="D1" s="252"/>
      <c r="E1" s="252"/>
      <c r="F1" s="252"/>
      <c r="G1" s="253"/>
    </row>
    <row r="2" spans="1:8">
      <c r="A2" s="5"/>
      <c r="B2" s="110"/>
      <c r="C2" s="5"/>
      <c r="D2" s="5"/>
      <c r="E2" s="5"/>
      <c r="F2" s="5"/>
      <c r="G2" s="5"/>
    </row>
    <row r="3" spans="1:8">
      <c r="A3" s="2" t="s">
        <v>1</v>
      </c>
      <c r="B3" s="111" t="s">
        <v>2</v>
      </c>
      <c r="C3" s="9" t="s">
        <v>3</v>
      </c>
      <c r="D3" s="2" t="s">
        <v>4</v>
      </c>
      <c r="E3" s="2" t="s">
        <v>5</v>
      </c>
      <c r="F3" s="2" t="s">
        <v>6</v>
      </c>
      <c r="G3" s="10" t="s">
        <v>25</v>
      </c>
      <c r="H3" s="66" t="s">
        <v>283</v>
      </c>
    </row>
    <row r="4" spans="1:8">
      <c r="A4" s="154">
        <v>101777</v>
      </c>
      <c r="B4" s="167">
        <v>97981</v>
      </c>
      <c r="C4" s="205">
        <v>2025</v>
      </c>
      <c r="D4" s="156" t="s">
        <v>26</v>
      </c>
      <c r="E4" s="15" t="s">
        <v>27</v>
      </c>
      <c r="F4" s="15" t="s">
        <v>19</v>
      </c>
      <c r="G4" s="20"/>
      <c r="H4" s="67" t="s">
        <v>151</v>
      </c>
    </row>
    <row r="5" spans="1:8" s="27" customFormat="1">
      <c r="A5" s="149">
        <v>101793</v>
      </c>
      <c r="B5" s="168">
        <v>87445</v>
      </c>
      <c r="C5" s="169">
        <v>2024</v>
      </c>
      <c r="D5" s="170" t="s">
        <v>26</v>
      </c>
      <c r="E5" s="212" t="s">
        <v>59</v>
      </c>
      <c r="F5" s="212" t="s">
        <v>28</v>
      </c>
      <c r="G5" s="231" t="s">
        <v>81</v>
      </c>
      <c r="H5" s="137" t="s">
        <v>112</v>
      </c>
    </row>
    <row r="6" spans="1:8" s="27" customFormat="1">
      <c r="A6" s="213">
        <v>102048</v>
      </c>
      <c r="B6" s="149">
        <v>101294</v>
      </c>
      <c r="C6" s="28">
        <v>2026</v>
      </c>
      <c r="D6" s="170" t="s">
        <v>26</v>
      </c>
      <c r="E6" s="24" t="s">
        <v>265</v>
      </c>
      <c r="F6" s="24" t="s">
        <v>33</v>
      </c>
      <c r="G6" s="231" t="s">
        <v>81</v>
      </c>
      <c r="H6" s="137" t="s">
        <v>112</v>
      </c>
    </row>
    <row r="7" spans="1:8">
      <c r="A7" s="151"/>
      <c r="B7" s="19"/>
      <c r="C7" s="19"/>
      <c r="D7" s="110"/>
      <c r="E7" s="5"/>
      <c r="F7" s="15"/>
      <c r="G7" s="237"/>
      <c r="H7" s="67"/>
    </row>
    <row r="8" spans="1:8">
      <c r="A8" s="151"/>
      <c r="B8" s="5"/>
      <c r="C8" s="5"/>
      <c r="D8" s="110"/>
      <c r="E8" s="20"/>
      <c r="F8" s="5"/>
      <c r="G8" s="20"/>
      <c r="H8" s="67"/>
    </row>
    <row r="9" spans="1:8">
      <c r="A9" s="151"/>
      <c r="B9" s="5"/>
      <c r="C9" s="5"/>
      <c r="D9" s="110"/>
      <c r="E9" s="20"/>
      <c r="F9" s="5"/>
      <c r="G9" s="20"/>
      <c r="H9" s="67"/>
    </row>
    <row r="10" spans="1:8">
      <c r="A10" s="6"/>
      <c r="B10" s="1"/>
      <c r="C10" s="1"/>
      <c r="D10" s="1"/>
      <c r="E10" s="1"/>
      <c r="F10" s="1"/>
      <c r="G10" s="1"/>
    </row>
    <row r="11" spans="1:8">
      <c r="A11" s="1"/>
      <c r="B11" s="1"/>
      <c r="C11" s="1"/>
      <c r="D11" s="1"/>
      <c r="E11" s="1"/>
      <c r="F11" s="1"/>
      <c r="G11" s="1"/>
    </row>
    <row r="12" spans="1:8">
      <c r="A12" s="1" t="s">
        <v>21</v>
      </c>
      <c r="B12" s="1"/>
      <c r="C12" s="1">
        <v>9</v>
      </c>
      <c r="D12" s="1"/>
      <c r="E12" s="1"/>
      <c r="F12" s="1"/>
      <c r="G12" s="1"/>
    </row>
    <row r="13" spans="1:8">
      <c r="A13" s="1" t="s">
        <v>22</v>
      </c>
      <c r="B13" s="1"/>
      <c r="C13" s="1">
        <v>3</v>
      </c>
      <c r="D13" s="7">
        <f>C13/C12</f>
        <v>0.33333333333333331</v>
      </c>
      <c r="E13" s="1"/>
      <c r="F13" s="1"/>
      <c r="G13" s="1"/>
    </row>
    <row r="14" spans="1:8">
      <c r="A14" s="1" t="s">
        <v>30</v>
      </c>
      <c r="B14" s="1"/>
      <c r="C14" s="1">
        <v>1</v>
      </c>
      <c r="D14" s="7">
        <f>C14/C12</f>
        <v>0.1111111111111111</v>
      </c>
      <c r="E14" s="1"/>
      <c r="F14" s="1"/>
      <c r="G14" s="1"/>
    </row>
    <row r="18" spans="1:5">
      <c r="A18" s="270"/>
      <c r="B18" s="270"/>
      <c r="C18" s="270"/>
      <c r="D18" s="270"/>
      <c r="E18" s="270"/>
    </row>
    <row r="19" spans="1:5">
      <c r="A19" s="181"/>
      <c r="B19" s="181"/>
      <c r="C19" s="182"/>
      <c r="D19" s="182"/>
      <c r="E19" s="182"/>
    </row>
    <row r="20" spans="1:5">
      <c r="A20" s="181"/>
      <c r="B20" s="181"/>
      <c r="C20" s="182"/>
      <c r="D20" s="182"/>
      <c r="E20" s="183"/>
    </row>
    <row r="21" spans="1:5">
      <c r="A21" s="181"/>
      <c r="B21" s="181"/>
      <c r="C21" s="182"/>
      <c r="D21" s="182"/>
      <c r="E21" s="183"/>
    </row>
  </sheetData>
  <mergeCells count="2">
    <mergeCell ref="A1:G1"/>
    <mergeCell ref="A18:E18"/>
  </mergeCells>
  <hyperlinks>
    <hyperlink ref="A4" r:id="rId1" display="101777" xr:uid="{299C0FA5-867A-4144-9762-921F482A39DB}"/>
    <hyperlink ref="A5" r:id="rId2" display="101793" xr:uid="{2FDFC755-9467-41D1-AE82-0F372A1CEF84}"/>
    <hyperlink ref="A6" r:id="rId3" display="102048" xr:uid="{30E16907-0E58-48D7-8129-A7F4FD0C6321}"/>
    <hyperlink ref="B6" r:id="rId4" display="101294" xr:uid="{6B2746B7-EC67-4ED0-8037-278291AA39D6}"/>
    <hyperlink ref="B4" r:id="rId5" display="97981" xr:uid="{9EE41CCE-AFE5-4797-8BFC-8A4227DCCA82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DD86-BB6C-4F51-B631-F17769582108}">
  <dimension ref="A1:H19"/>
  <sheetViews>
    <sheetView tabSelected="1" topLeftCell="C1" workbookViewId="0">
      <selection activeCell="G10" sqref="G10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47.42578125" customWidth="1"/>
    <col min="8" max="8" width="11.140625" customWidth="1"/>
  </cols>
  <sheetData>
    <row r="1" spans="1:8">
      <c r="A1" s="251" t="s">
        <v>331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42" t="s">
        <v>6</v>
      </c>
      <c r="G3" s="234" t="s">
        <v>7</v>
      </c>
      <c r="H3" s="66" t="s">
        <v>283</v>
      </c>
    </row>
    <row r="4" spans="1:8">
      <c r="A4" s="210">
        <v>101154</v>
      </c>
      <c r="B4" s="210">
        <v>98414</v>
      </c>
      <c r="C4" s="153">
        <v>2025</v>
      </c>
      <c r="D4" s="49" t="s">
        <v>26</v>
      </c>
      <c r="E4" s="49" t="s">
        <v>347</v>
      </c>
      <c r="F4" s="153" t="s">
        <v>152</v>
      </c>
      <c r="G4" s="239" t="s">
        <v>348</v>
      </c>
      <c r="H4" s="67" t="s">
        <v>151</v>
      </c>
    </row>
    <row r="5" spans="1:8">
      <c r="A5" s="154">
        <v>101342</v>
      </c>
      <c r="B5" s="154">
        <v>90909</v>
      </c>
      <c r="C5" s="153">
        <v>2024</v>
      </c>
      <c r="D5" s="19" t="s">
        <v>12</v>
      </c>
      <c r="E5" s="19" t="s">
        <v>349</v>
      </c>
      <c r="F5" s="19" t="s">
        <v>35</v>
      </c>
      <c r="G5" s="20" t="s">
        <v>350</v>
      </c>
      <c r="H5" s="67" t="s">
        <v>151</v>
      </c>
    </row>
    <row r="6" spans="1:8" s="216" customFormat="1">
      <c r="A6" s="249">
        <v>102176</v>
      </c>
      <c r="B6" s="214">
        <v>89666</v>
      </c>
      <c r="C6" s="246">
        <v>2024</v>
      </c>
      <c r="D6" s="247" t="s">
        <v>8</v>
      </c>
      <c r="E6" s="247" t="s">
        <v>34</v>
      </c>
      <c r="F6" s="247" t="s">
        <v>35</v>
      </c>
      <c r="G6" s="248" t="s">
        <v>81</v>
      </c>
      <c r="H6" s="158" t="s">
        <v>112</v>
      </c>
    </row>
    <row r="7" spans="1:8" s="27" customFormat="1">
      <c r="A7" s="149">
        <v>102310</v>
      </c>
      <c r="B7" s="149">
        <v>98112</v>
      </c>
      <c r="C7" s="141">
        <v>2025</v>
      </c>
      <c r="D7" s="28" t="s">
        <v>12</v>
      </c>
      <c r="E7" s="28" t="s">
        <v>349</v>
      </c>
      <c r="F7" s="28" t="s">
        <v>10</v>
      </c>
      <c r="G7" s="250" t="s">
        <v>351</v>
      </c>
      <c r="H7" s="137" t="s">
        <v>112</v>
      </c>
    </row>
    <row r="8" spans="1:8" s="53" customFormat="1">
      <c r="A8" s="243">
        <v>102589</v>
      </c>
      <c r="B8" s="243">
        <v>8456</v>
      </c>
      <c r="C8" s="244">
        <v>2008</v>
      </c>
      <c r="D8" s="54" t="s">
        <v>12</v>
      </c>
      <c r="E8" s="54"/>
      <c r="F8" s="54"/>
      <c r="G8" s="55" t="s">
        <v>352</v>
      </c>
      <c r="H8" s="245" t="s">
        <v>112</v>
      </c>
    </row>
    <row r="9" spans="1:8">
      <c r="A9" s="154">
        <v>102677</v>
      </c>
      <c r="B9" s="154">
        <v>101293</v>
      </c>
      <c r="C9" s="150">
        <v>2026</v>
      </c>
      <c r="D9" s="19" t="s">
        <v>8</v>
      </c>
      <c r="E9" s="19" t="s">
        <v>353</v>
      </c>
      <c r="F9" s="19" t="s">
        <v>33</v>
      </c>
      <c r="G9" s="20" t="s">
        <v>354</v>
      </c>
      <c r="H9" s="67" t="s">
        <v>151</v>
      </c>
    </row>
    <row r="10" spans="1:8">
      <c r="A10" s="154">
        <v>102889</v>
      </c>
      <c r="B10" s="154">
        <v>98663</v>
      </c>
      <c r="C10" s="150">
        <v>2025</v>
      </c>
      <c r="D10" s="152" t="s">
        <v>8</v>
      </c>
      <c r="E10" s="152" t="s">
        <v>209</v>
      </c>
      <c r="F10" s="152" t="s">
        <v>35</v>
      </c>
      <c r="G10" s="241" t="s">
        <v>355</v>
      </c>
      <c r="H10" s="67" t="s">
        <v>151</v>
      </c>
    </row>
    <row r="11" spans="1:8">
      <c r="A11" s="154">
        <v>103129</v>
      </c>
      <c r="B11" s="154">
        <v>95815</v>
      </c>
      <c r="C11" s="150">
        <v>2025</v>
      </c>
      <c r="D11" s="152" t="s">
        <v>26</v>
      </c>
      <c r="E11" s="152" t="s">
        <v>353</v>
      </c>
      <c r="F11" s="152" t="s">
        <v>19</v>
      </c>
      <c r="G11" s="241" t="s">
        <v>356</v>
      </c>
      <c r="H11" s="67" t="s">
        <v>151</v>
      </c>
    </row>
    <row r="12" spans="1:8">
      <c r="A12" s="154"/>
      <c r="B12" s="154"/>
      <c r="C12" s="19"/>
      <c r="D12" s="152"/>
      <c r="E12" s="152"/>
      <c r="F12" s="152"/>
      <c r="G12" s="236"/>
      <c r="H12" s="67"/>
    </row>
    <row r="13" spans="1:8">
      <c r="A13" s="154"/>
      <c r="B13" s="154"/>
      <c r="C13" s="19"/>
      <c r="D13" s="19"/>
      <c r="E13" s="19"/>
      <c r="F13" s="19"/>
      <c r="G13" s="20"/>
      <c r="H13" s="67"/>
    </row>
    <row r="14" spans="1:8">
      <c r="A14" s="154"/>
      <c r="B14" s="154"/>
      <c r="C14" s="19"/>
      <c r="D14" s="19"/>
      <c r="E14" s="19"/>
      <c r="F14" s="19"/>
      <c r="G14" s="20"/>
      <c r="H14" s="67"/>
    </row>
    <row r="15" spans="1:8">
      <c r="A15" s="1"/>
      <c r="B15" s="1"/>
      <c r="C15" s="1"/>
      <c r="D15" s="1"/>
      <c r="E15" s="1"/>
      <c r="F15" s="1"/>
      <c r="G15" s="1"/>
    </row>
    <row r="16" spans="1:8">
      <c r="A16" s="1"/>
      <c r="B16" s="1"/>
      <c r="C16" s="1"/>
      <c r="D16" s="1"/>
      <c r="E16" s="1"/>
      <c r="F16" s="1"/>
      <c r="G16" s="1"/>
    </row>
    <row r="17" spans="1:7">
      <c r="A17" s="1" t="s">
        <v>21</v>
      </c>
      <c r="B17" s="1"/>
      <c r="C17" s="1">
        <v>32</v>
      </c>
      <c r="D17" s="1"/>
      <c r="E17" s="1"/>
      <c r="F17" s="1"/>
      <c r="G17" s="1"/>
    </row>
    <row r="18" spans="1:7">
      <c r="A18" s="1" t="s">
        <v>22</v>
      </c>
      <c r="B18" s="1"/>
      <c r="C18" s="1">
        <v>8</v>
      </c>
      <c r="D18" s="7">
        <f>C18/C17</f>
        <v>0.25</v>
      </c>
      <c r="E18" s="1"/>
      <c r="F18" s="1"/>
      <c r="G18" s="1"/>
    </row>
    <row r="19" spans="1:7">
      <c r="A19" s="1" t="s">
        <v>30</v>
      </c>
      <c r="B19" s="1"/>
      <c r="C19" s="1">
        <v>5</v>
      </c>
      <c r="D19" s="7">
        <f>C19/C17</f>
        <v>0.15625</v>
      </c>
      <c r="E19" s="1"/>
      <c r="F19" s="1"/>
      <c r="G19" s="1"/>
    </row>
  </sheetData>
  <mergeCells count="1">
    <mergeCell ref="A1:G1"/>
  </mergeCells>
  <hyperlinks>
    <hyperlink ref="A4" r:id="rId1" display="101154" xr:uid="{E292FE64-21F9-41F3-B3C0-3EC95BE234FD}"/>
    <hyperlink ref="B4" r:id="rId2" display="98414" xr:uid="{91C40594-3D2C-411E-A953-AD7345131777}"/>
    <hyperlink ref="A5" r:id="rId3" display="101342" xr:uid="{FDBD44B3-A289-42AA-903C-A8A11E4B531A}"/>
    <hyperlink ref="B5" r:id="rId4" display="90909" xr:uid="{52FD083A-B9CF-4762-BA2E-B872FBCBC21D}"/>
    <hyperlink ref="A6" r:id="rId5" display="102176" xr:uid="{DF95508B-C28B-4575-BC7F-2109EBDB3364}"/>
    <hyperlink ref="B6" r:id="rId6" display="89666" xr:uid="{75132F4D-9FB9-4B09-8BB7-E61F70B6A2B6}"/>
    <hyperlink ref="A7" r:id="rId7" display="102310" xr:uid="{602F93D5-445D-4233-8260-9F7043E62D70}"/>
    <hyperlink ref="B7" r:id="rId8" display="98112" xr:uid="{4475E7EB-09E7-4000-BFB0-441B13D0AB17}"/>
    <hyperlink ref="A8" r:id="rId9" display="102589" xr:uid="{7CE0B803-C3C3-4133-AFAC-506DF480F8EF}"/>
    <hyperlink ref="B8" r:id="rId10" display="8456" xr:uid="{76EFE028-B477-4EF1-BE0B-CBE5DDD8085D}"/>
    <hyperlink ref="A9" r:id="rId11" display="102677" xr:uid="{8DA4F18C-6294-4315-9A55-71C591631182}"/>
    <hyperlink ref="B9" r:id="rId12" display="101293" xr:uid="{FBC2DB54-BCC0-46DB-8619-6DD37769635B}"/>
    <hyperlink ref="A10" r:id="rId13" display="102889" xr:uid="{1CAA2A11-40F8-4385-8763-E4BB7F4E3C78}"/>
    <hyperlink ref="A11" r:id="rId14" display="103129" xr:uid="{57326F75-DFB1-4E87-A6DC-A24372FC81B3}"/>
    <hyperlink ref="B11" r:id="rId15" display="95815" xr:uid="{08DE0E2C-E15B-4873-9E93-73001FF09D19}"/>
    <hyperlink ref="B10" r:id="rId16" display="98663" xr:uid="{3296255E-43F5-4539-A603-A37012BE69F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6919-CC0B-4776-83CC-64066396AC10}">
  <dimension ref="A1:H16"/>
  <sheetViews>
    <sheetView workbookViewId="0">
      <selection activeCell="H5" sqref="H5"/>
    </sheetView>
  </sheetViews>
  <sheetFormatPr defaultRowHeight="15"/>
  <cols>
    <col min="1" max="1" width="11.28515625" customWidth="1"/>
    <col min="2" max="2" width="13.42578125" customWidth="1"/>
    <col min="3" max="3" width="16.85546875" customWidth="1"/>
    <col min="4" max="4" width="16.42578125" customWidth="1"/>
    <col min="5" max="5" width="18.140625" customWidth="1"/>
    <col min="6" max="6" width="17.140625" customWidth="1"/>
    <col min="7" max="7" width="147.42578125" customWidth="1"/>
    <col min="8" max="8" width="11.140625" customWidth="1"/>
  </cols>
  <sheetData>
    <row r="1" spans="1:8">
      <c r="A1" s="251" t="s">
        <v>331</v>
      </c>
      <c r="B1" s="252"/>
      <c r="C1" s="252"/>
      <c r="D1" s="252"/>
      <c r="E1" s="252"/>
      <c r="F1" s="252"/>
      <c r="G1" s="252"/>
    </row>
    <row r="2" spans="1:8">
      <c r="A2" s="1"/>
      <c r="B2" s="1"/>
      <c r="C2" s="1"/>
      <c r="D2" s="1"/>
      <c r="E2" s="1"/>
      <c r="F2" s="1"/>
      <c r="G2" s="1"/>
    </row>
    <row r="3" spans="1: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42" t="s">
        <v>6</v>
      </c>
      <c r="G3" s="234" t="s">
        <v>7</v>
      </c>
      <c r="H3" s="66" t="s">
        <v>283</v>
      </c>
    </row>
    <row r="4" spans="1:8">
      <c r="A4" s="210">
        <v>102683</v>
      </c>
      <c r="B4" s="210">
        <v>102651</v>
      </c>
      <c r="C4" s="153">
        <v>2026</v>
      </c>
      <c r="D4" s="49" t="s">
        <v>26</v>
      </c>
      <c r="E4" s="49" t="s">
        <v>59</v>
      </c>
      <c r="F4" s="153" t="s">
        <v>28</v>
      </c>
      <c r="G4" s="239" t="s">
        <v>81</v>
      </c>
      <c r="H4" s="67" t="s">
        <v>112</v>
      </c>
    </row>
    <row r="5" spans="1:8" s="216" customFormat="1">
      <c r="A5" s="214">
        <v>102320</v>
      </c>
      <c r="B5" s="214" t="s">
        <v>17</v>
      </c>
      <c r="C5" s="246"/>
      <c r="D5" s="247"/>
      <c r="E5" s="247"/>
      <c r="F5" s="247"/>
      <c r="G5" s="248"/>
      <c r="H5" s="158" t="s">
        <v>112</v>
      </c>
    </row>
    <row r="6" spans="1:8">
      <c r="A6" s="210"/>
      <c r="B6" s="154"/>
      <c r="C6" s="153"/>
      <c r="D6" s="19"/>
      <c r="E6" s="19"/>
      <c r="F6" s="19"/>
      <c r="G6" s="20"/>
      <c r="H6" s="67"/>
    </row>
    <row r="7" spans="1:8">
      <c r="A7" s="154"/>
      <c r="B7" s="154"/>
      <c r="C7" s="150"/>
      <c r="D7" s="19"/>
      <c r="E7" s="19"/>
      <c r="F7" s="19"/>
      <c r="G7" s="20"/>
      <c r="H7" s="67"/>
    </row>
    <row r="8" spans="1:8">
      <c r="A8" s="154"/>
      <c r="B8" s="154"/>
      <c r="C8" s="150"/>
      <c r="D8" s="19"/>
      <c r="E8" s="19"/>
      <c r="F8" s="19"/>
      <c r="G8" s="20"/>
      <c r="H8" s="67"/>
    </row>
    <row r="9" spans="1:8">
      <c r="A9" s="154"/>
      <c r="B9" s="154"/>
      <c r="C9" s="150"/>
      <c r="D9" s="19"/>
      <c r="E9" s="19"/>
      <c r="F9" s="19"/>
      <c r="G9" s="20"/>
      <c r="H9" s="67"/>
    </row>
    <row r="10" spans="1:8">
      <c r="A10" s="154"/>
      <c r="B10" s="154"/>
      <c r="C10" s="19"/>
      <c r="D10" s="19"/>
      <c r="E10" s="19"/>
      <c r="F10" s="19"/>
      <c r="G10" s="20"/>
      <c r="H10" s="67"/>
    </row>
    <row r="11" spans="1:8">
      <c r="A11" s="154"/>
      <c r="B11" s="154"/>
      <c r="C11" s="19"/>
      <c r="D11" s="19"/>
      <c r="E11" s="19"/>
      <c r="F11" s="19"/>
      <c r="G11" s="20"/>
      <c r="H11" s="67"/>
    </row>
    <row r="12" spans="1:8">
      <c r="A12" s="1"/>
      <c r="B12" s="1"/>
      <c r="C12" s="1"/>
      <c r="D12" s="1"/>
      <c r="E12" s="1"/>
      <c r="F12" s="1"/>
      <c r="G12" s="1"/>
    </row>
    <row r="13" spans="1:8">
      <c r="A13" s="1"/>
      <c r="B13" s="1"/>
      <c r="C13" s="1"/>
      <c r="D13" s="1"/>
      <c r="E13" s="1"/>
      <c r="F13" s="1"/>
      <c r="G13" s="1"/>
    </row>
    <row r="14" spans="1:8">
      <c r="A14" s="1" t="s">
        <v>21</v>
      </c>
      <c r="B14" s="1"/>
      <c r="C14" s="1">
        <v>9</v>
      </c>
      <c r="D14" s="1"/>
      <c r="E14" s="1"/>
      <c r="F14" s="1"/>
      <c r="G14" s="1"/>
    </row>
    <row r="15" spans="1:8">
      <c r="A15" s="1" t="s">
        <v>22</v>
      </c>
      <c r="B15" s="1"/>
      <c r="C15" s="1">
        <v>0</v>
      </c>
      <c r="D15" s="7">
        <f>C15/C14</f>
        <v>0</v>
      </c>
      <c r="E15" s="1"/>
      <c r="F15" s="1"/>
      <c r="G15" s="1"/>
    </row>
    <row r="16" spans="1:8">
      <c r="A16" s="1" t="s">
        <v>30</v>
      </c>
      <c r="B16" s="1"/>
      <c r="C16" s="1">
        <v>0</v>
      </c>
      <c r="D16" s="7">
        <f>C16/C14</f>
        <v>0</v>
      </c>
      <c r="E16" s="1"/>
      <c r="F16" s="1"/>
      <c r="G16" s="1"/>
    </row>
  </sheetData>
  <mergeCells count="1">
    <mergeCell ref="A1:G1"/>
  </mergeCells>
  <hyperlinks>
    <hyperlink ref="A4" r:id="rId1" display="102683" xr:uid="{5A276D18-98C4-4849-B328-FF883744028E}"/>
    <hyperlink ref="B4" r:id="rId2" display="102651" xr:uid="{A8B88415-69E6-4082-AFC1-78431DB27CCE}"/>
    <hyperlink ref="A5" r:id="rId3" display="102320" xr:uid="{18D95C0D-3796-4C03-B8B7-340A28C24E4E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61C5-A8B9-4671-A779-2313F63F9507}">
  <dimension ref="A1:K45"/>
  <sheetViews>
    <sheetView topLeftCell="A27" workbookViewId="0">
      <selection activeCell="H10" sqref="H10:H15"/>
    </sheetView>
  </sheetViews>
  <sheetFormatPr defaultRowHeight="15"/>
  <cols>
    <col min="2" max="2" width="11.140625" bestFit="1" customWidth="1"/>
    <col min="3" max="3" width="15.28515625" bestFit="1" customWidth="1"/>
    <col min="4" max="4" width="15.5703125" bestFit="1" customWidth="1"/>
    <col min="5" max="5" width="16.85546875" bestFit="1" customWidth="1"/>
    <col min="6" max="6" width="15.7109375" bestFit="1" customWidth="1"/>
    <col min="7" max="7" width="90.28515625" customWidth="1"/>
    <col min="8" max="8" width="16.5703125" bestFit="1" customWidth="1"/>
    <col min="9" max="9" width="67.42578125" customWidth="1"/>
    <col min="10" max="10" width="79.5703125" customWidth="1"/>
  </cols>
  <sheetData>
    <row r="1" spans="1:10" s="216" customFormat="1">
      <c r="A1" s="277" t="s">
        <v>357</v>
      </c>
      <c r="B1" s="277"/>
      <c r="C1" s="277"/>
      <c r="D1" s="277"/>
      <c r="E1" s="277"/>
      <c r="F1" s="277"/>
      <c r="G1" s="277"/>
      <c r="H1" s="277"/>
      <c r="I1" s="277"/>
      <c r="J1" s="158"/>
    </row>
    <row r="2" spans="1:10" s="216" customFormat="1">
      <c r="A2" s="275" t="s">
        <v>256</v>
      </c>
      <c r="B2" s="275"/>
      <c r="C2" s="275"/>
      <c r="D2" s="275"/>
      <c r="E2" s="275"/>
      <c r="F2" s="275"/>
      <c r="G2" s="275"/>
      <c r="H2" s="275"/>
      <c r="I2" s="275"/>
      <c r="J2" s="158"/>
    </row>
    <row r="3" spans="1:10" s="216" customFormat="1">
      <c r="A3" s="217" t="s">
        <v>1</v>
      </c>
      <c r="B3" s="217" t="s">
        <v>2</v>
      </c>
      <c r="C3" s="217" t="s">
        <v>3</v>
      </c>
      <c r="D3" s="217" t="s">
        <v>4</v>
      </c>
      <c r="E3" s="217" t="s">
        <v>5</v>
      </c>
      <c r="F3" s="217" t="s">
        <v>6</v>
      </c>
      <c r="G3" s="217" t="s">
        <v>358</v>
      </c>
      <c r="H3" s="217" t="s">
        <v>359</v>
      </c>
      <c r="I3" s="159" t="s">
        <v>360</v>
      </c>
      <c r="J3" s="159" t="s">
        <v>361</v>
      </c>
    </row>
    <row r="4" spans="1:10" s="216" customFormat="1">
      <c r="A4" s="221">
        <v>99222</v>
      </c>
      <c r="B4" s="221">
        <v>96733</v>
      </c>
      <c r="C4" s="158">
        <v>2025</v>
      </c>
      <c r="D4" s="158" t="s">
        <v>1</v>
      </c>
      <c r="E4" s="158" t="s">
        <v>152</v>
      </c>
      <c r="F4" s="158" t="s">
        <v>152</v>
      </c>
      <c r="G4" s="158" t="s">
        <v>362</v>
      </c>
      <c r="H4" s="158" t="s">
        <v>112</v>
      </c>
      <c r="I4" s="158"/>
      <c r="J4" s="158"/>
    </row>
    <row r="5" spans="1:10">
      <c r="A5" s="67"/>
      <c r="B5" s="67"/>
      <c r="C5" s="67"/>
      <c r="D5" s="67"/>
      <c r="E5" s="67"/>
      <c r="F5" s="67"/>
      <c r="G5" s="67"/>
      <c r="H5" s="67"/>
      <c r="I5" s="67"/>
      <c r="J5" s="67"/>
    </row>
    <row r="6" spans="1:10">
      <c r="A6" s="67"/>
      <c r="B6" s="67"/>
      <c r="C6" s="67"/>
      <c r="D6" s="67"/>
      <c r="E6" s="67"/>
      <c r="F6" s="67"/>
      <c r="G6" s="67"/>
      <c r="H6" s="67"/>
      <c r="I6" s="67"/>
      <c r="J6" s="67"/>
    </row>
    <row r="7" spans="1:10" s="216" customFormat="1">
      <c r="A7" s="277" t="s">
        <v>363</v>
      </c>
      <c r="B7" s="277"/>
      <c r="C7" s="277"/>
      <c r="D7" s="277"/>
      <c r="E7" s="277"/>
      <c r="F7" s="277"/>
      <c r="G7" s="277"/>
      <c r="H7" s="277"/>
      <c r="I7" s="277"/>
      <c r="J7" s="158"/>
    </row>
    <row r="8" spans="1:10" s="216" customFormat="1">
      <c r="A8" s="275" t="s">
        <v>256</v>
      </c>
      <c r="B8" s="275"/>
      <c r="C8" s="275"/>
      <c r="D8" s="275"/>
      <c r="E8" s="275"/>
      <c r="F8" s="275"/>
      <c r="G8" s="275"/>
      <c r="H8" s="275"/>
      <c r="I8" s="275"/>
      <c r="J8" s="158"/>
    </row>
    <row r="9" spans="1:10" s="216" customFormat="1">
      <c r="A9" s="217" t="s">
        <v>1</v>
      </c>
      <c r="B9" s="217" t="s">
        <v>2</v>
      </c>
      <c r="C9" s="217" t="s">
        <v>3</v>
      </c>
      <c r="D9" s="217" t="s">
        <v>4</v>
      </c>
      <c r="E9" s="217" t="s">
        <v>5</v>
      </c>
      <c r="F9" s="217" t="s">
        <v>6</v>
      </c>
      <c r="G9" s="217" t="s">
        <v>358</v>
      </c>
      <c r="H9" s="217" t="s">
        <v>359</v>
      </c>
      <c r="I9" s="159" t="s">
        <v>360</v>
      </c>
      <c r="J9" s="159" t="s">
        <v>361</v>
      </c>
    </row>
    <row r="10" spans="1:10" ht="45.75">
      <c r="A10" s="155">
        <v>99797</v>
      </c>
      <c r="B10" s="155">
        <v>99330</v>
      </c>
      <c r="C10" s="67">
        <v>2026</v>
      </c>
      <c r="D10" s="67" t="s">
        <v>8</v>
      </c>
      <c r="E10" s="67" t="s">
        <v>312</v>
      </c>
      <c r="F10" s="67" t="s">
        <v>33</v>
      </c>
      <c r="G10" s="67" t="s">
        <v>364</v>
      </c>
      <c r="H10" s="67" t="s">
        <v>112</v>
      </c>
      <c r="I10" s="162" t="s">
        <v>365</v>
      </c>
      <c r="J10" s="161" t="s">
        <v>366</v>
      </c>
    </row>
    <row r="11" spans="1:10" ht="30.75">
      <c r="A11" s="155">
        <v>99788</v>
      </c>
      <c r="B11" s="155">
        <v>98081</v>
      </c>
      <c r="C11" s="67">
        <v>2025</v>
      </c>
      <c r="D11" s="67" t="s">
        <v>8</v>
      </c>
      <c r="E11" s="67" t="s">
        <v>312</v>
      </c>
      <c r="F11" s="67" t="s">
        <v>33</v>
      </c>
      <c r="G11" s="67" t="s">
        <v>367</v>
      </c>
      <c r="H11" s="67" t="s">
        <v>112</v>
      </c>
      <c r="I11" s="163" t="s">
        <v>368</v>
      </c>
      <c r="J11" s="160" t="s">
        <v>369</v>
      </c>
    </row>
    <row r="12" spans="1:10" s="216" customFormat="1">
      <c r="A12" s="221">
        <v>99758</v>
      </c>
      <c r="B12" s="221">
        <v>97270</v>
      </c>
      <c r="C12" s="158">
        <v>2025</v>
      </c>
      <c r="D12" s="158" t="s">
        <v>26</v>
      </c>
      <c r="E12" s="158" t="s">
        <v>49</v>
      </c>
      <c r="F12" s="158" t="s">
        <v>35</v>
      </c>
      <c r="G12" s="158" t="s">
        <v>370</v>
      </c>
      <c r="H12" s="158" t="s">
        <v>112</v>
      </c>
      <c r="I12" s="158" t="s">
        <v>371</v>
      </c>
      <c r="J12" s="225"/>
    </row>
    <row r="13" spans="1:10" s="216" customFormat="1">
      <c r="A13" s="221">
        <v>99594</v>
      </c>
      <c r="B13" s="221">
        <v>96490</v>
      </c>
      <c r="C13" s="158">
        <v>2025</v>
      </c>
      <c r="D13" s="158" t="s">
        <v>8</v>
      </c>
      <c r="E13" s="158" t="s">
        <v>213</v>
      </c>
      <c r="F13" s="158" t="s">
        <v>19</v>
      </c>
      <c r="G13" s="158" t="s">
        <v>372</v>
      </c>
      <c r="H13" s="158" t="s">
        <v>112</v>
      </c>
      <c r="I13" s="158" t="s">
        <v>371</v>
      </c>
      <c r="J13" s="158"/>
    </row>
    <row r="14" spans="1:10" s="216" customFormat="1">
      <c r="A14" s="221">
        <v>99624</v>
      </c>
      <c r="B14" s="221">
        <v>98349</v>
      </c>
      <c r="C14" s="158">
        <v>2025</v>
      </c>
      <c r="D14" s="158" t="s">
        <v>8</v>
      </c>
      <c r="E14" s="158" t="s">
        <v>213</v>
      </c>
      <c r="F14" s="158" t="s">
        <v>33</v>
      </c>
      <c r="G14" s="158" t="s">
        <v>373</v>
      </c>
      <c r="H14" s="158" t="s">
        <v>112</v>
      </c>
      <c r="I14" s="158" t="s">
        <v>371</v>
      </c>
      <c r="J14" s="158"/>
    </row>
    <row r="15" spans="1:10" s="216" customFormat="1">
      <c r="A15" s="221">
        <v>99464</v>
      </c>
      <c r="B15" s="221">
        <v>97970</v>
      </c>
      <c r="C15" s="158">
        <v>2025</v>
      </c>
      <c r="D15" s="158" t="s">
        <v>8</v>
      </c>
      <c r="E15" s="158" t="s">
        <v>213</v>
      </c>
      <c r="F15" s="158" t="s">
        <v>33</v>
      </c>
      <c r="G15" s="158" t="s">
        <v>374</v>
      </c>
      <c r="H15" s="158" t="s">
        <v>112</v>
      </c>
      <c r="I15" s="158" t="s">
        <v>371</v>
      </c>
      <c r="J15" s="158"/>
    </row>
    <row r="16" spans="1:10" s="216" customFormat="1">
      <c r="A16" s="275" t="s">
        <v>278</v>
      </c>
      <c r="B16" s="275"/>
      <c r="C16" s="275"/>
      <c r="D16" s="275"/>
      <c r="E16" s="275"/>
      <c r="F16" s="275"/>
      <c r="G16" s="275"/>
      <c r="H16" s="275"/>
      <c r="I16" s="275"/>
      <c r="J16" s="158"/>
    </row>
    <row r="17" spans="1:11" s="216" customFormat="1">
      <c r="A17" s="221">
        <v>99469</v>
      </c>
      <c r="B17" s="221">
        <v>98104</v>
      </c>
      <c r="C17" s="158">
        <v>2025</v>
      </c>
      <c r="D17" s="158" t="s">
        <v>26</v>
      </c>
      <c r="E17" s="158" t="s">
        <v>59</v>
      </c>
      <c r="F17" s="158" t="s">
        <v>28</v>
      </c>
      <c r="G17" s="158" t="s">
        <v>375</v>
      </c>
      <c r="H17" s="158" t="s">
        <v>112</v>
      </c>
      <c r="I17" s="158" t="s">
        <v>371</v>
      </c>
      <c r="J17" s="158"/>
    </row>
    <row r="18" spans="1:11">
      <c r="A18" s="67"/>
      <c r="B18" s="67"/>
      <c r="C18" s="67"/>
      <c r="D18" s="67"/>
      <c r="E18" s="67"/>
      <c r="F18" s="67"/>
      <c r="G18" s="67"/>
      <c r="H18" s="67"/>
      <c r="I18" s="67"/>
      <c r="J18" s="67"/>
    </row>
    <row r="19" spans="1:11">
      <c r="A19" s="67"/>
      <c r="B19" s="67"/>
      <c r="C19" s="67"/>
      <c r="D19" s="67"/>
      <c r="E19" s="67"/>
      <c r="F19" s="67"/>
      <c r="G19" s="67"/>
      <c r="H19" s="67"/>
      <c r="I19" s="67"/>
      <c r="J19" s="67"/>
    </row>
    <row r="20" spans="1:11" s="216" customFormat="1">
      <c r="A20" s="271" t="s">
        <v>376</v>
      </c>
      <c r="B20" s="271"/>
      <c r="C20" s="271"/>
      <c r="D20" s="271"/>
      <c r="E20" s="271"/>
      <c r="F20" s="271"/>
      <c r="G20" s="271"/>
      <c r="H20" s="271"/>
      <c r="I20" s="271"/>
      <c r="J20" s="158"/>
    </row>
    <row r="21" spans="1:11" s="216" customFormat="1">
      <c r="A21" s="275" t="s">
        <v>256</v>
      </c>
      <c r="B21" s="275"/>
      <c r="C21" s="275"/>
      <c r="D21" s="275"/>
      <c r="E21" s="275"/>
      <c r="F21" s="275"/>
      <c r="G21" s="275"/>
      <c r="H21" s="275"/>
      <c r="I21" s="275"/>
      <c r="J21" s="158"/>
    </row>
    <row r="22" spans="1:11" s="216" customFormat="1">
      <c r="A22" s="224" t="s">
        <v>1</v>
      </c>
      <c r="B22" s="224" t="s">
        <v>2</v>
      </c>
      <c r="C22" s="224" t="s">
        <v>3</v>
      </c>
      <c r="D22" s="224" t="s">
        <v>4</v>
      </c>
      <c r="E22" s="224" t="s">
        <v>5</v>
      </c>
      <c r="F22" s="224" t="s">
        <v>6</v>
      </c>
      <c r="G22" s="224" t="s">
        <v>358</v>
      </c>
      <c r="H22" s="224" t="s">
        <v>359</v>
      </c>
      <c r="I22" s="164" t="s">
        <v>360</v>
      </c>
      <c r="J22" s="164" t="s">
        <v>361</v>
      </c>
    </row>
    <row r="23" spans="1:11" s="173" customFormat="1">
      <c r="A23" s="171">
        <v>100250</v>
      </c>
      <c r="B23" s="171">
        <v>99351</v>
      </c>
      <c r="C23" s="172">
        <v>2026</v>
      </c>
      <c r="D23" s="172" t="s">
        <v>12</v>
      </c>
      <c r="E23" s="172" t="s">
        <v>49</v>
      </c>
      <c r="F23" s="172" t="s">
        <v>10</v>
      </c>
      <c r="G23" s="172" t="s">
        <v>377</v>
      </c>
      <c r="H23" s="172" t="s">
        <v>151</v>
      </c>
      <c r="I23" s="172"/>
      <c r="J23" s="172" t="s">
        <v>378</v>
      </c>
      <c r="K23" s="173" t="s">
        <v>379</v>
      </c>
    </row>
    <row r="24" spans="1:11">
      <c r="A24" s="147">
        <v>100319</v>
      </c>
      <c r="B24" s="147">
        <v>99223</v>
      </c>
      <c r="C24" s="67">
        <v>2026</v>
      </c>
      <c r="D24" s="67" t="s">
        <v>8</v>
      </c>
      <c r="E24" s="67" t="s">
        <v>52</v>
      </c>
      <c r="F24" s="67" t="s">
        <v>35</v>
      </c>
      <c r="G24" s="67" t="s">
        <v>380</v>
      </c>
      <c r="H24" s="67" t="s">
        <v>151</v>
      </c>
      <c r="I24" s="67"/>
      <c r="J24" s="67" t="s">
        <v>381</v>
      </c>
    </row>
    <row r="25" spans="1:11">
      <c r="A25" s="147">
        <v>100187</v>
      </c>
      <c r="B25" s="147">
        <v>99797</v>
      </c>
      <c r="C25" s="67">
        <v>2026</v>
      </c>
      <c r="D25" s="67" t="s">
        <v>1</v>
      </c>
      <c r="E25" s="67" t="s">
        <v>312</v>
      </c>
      <c r="F25" s="67" t="s">
        <v>33</v>
      </c>
      <c r="G25" s="67" t="s">
        <v>382</v>
      </c>
      <c r="H25" s="67" t="s">
        <v>151</v>
      </c>
      <c r="I25" s="67"/>
      <c r="J25" s="67" t="s">
        <v>383</v>
      </c>
    </row>
    <row r="26" spans="1:11" s="216" customFormat="1">
      <c r="A26" s="221">
        <v>100156</v>
      </c>
      <c r="B26" s="221">
        <v>99223</v>
      </c>
      <c r="C26" s="158">
        <v>2026</v>
      </c>
      <c r="D26" s="158" t="s">
        <v>8</v>
      </c>
      <c r="E26" s="158" t="s">
        <v>52</v>
      </c>
      <c r="F26" s="158" t="s">
        <v>35</v>
      </c>
      <c r="G26" s="158" t="s">
        <v>384</v>
      </c>
      <c r="H26" s="158" t="s">
        <v>112</v>
      </c>
      <c r="I26" s="158" t="s">
        <v>371</v>
      </c>
      <c r="J26" s="158"/>
    </row>
    <row r="27" spans="1:11" s="216" customFormat="1">
      <c r="A27" s="221">
        <v>100616</v>
      </c>
      <c r="B27" s="221">
        <v>99223</v>
      </c>
      <c r="C27" s="158">
        <v>2026</v>
      </c>
      <c r="D27" s="158" t="s">
        <v>8</v>
      </c>
      <c r="E27" s="158" t="s">
        <v>52</v>
      </c>
      <c r="F27" s="158" t="s">
        <v>35</v>
      </c>
      <c r="G27" s="158" t="s">
        <v>385</v>
      </c>
      <c r="H27" s="158" t="s">
        <v>112</v>
      </c>
      <c r="I27" s="158"/>
      <c r="J27" s="158"/>
    </row>
    <row r="28" spans="1:11" s="216" customFormat="1">
      <c r="A28" s="271" t="s">
        <v>386</v>
      </c>
      <c r="B28" s="271"/>
      <c r="C28" s="271"/>
      <c r="D28" s="271"/>
      <c r="E28" s="271"/>
      <c r="F28" s="271"/>
      <c r="G28" s="271"/>
      <c r="H28" s="271"/>
      <c r="I28" s="271"/>
      <c r="J28" s="207"/>
    </row>
    <row r="29" spans="1:11" s="216" customFormat="1">
      <c r="A29" s="275" t="s">
        <v>256</v>
      </c>
      <c r="B29" s="275"/>
      <c r="C29" s="275"/>
      <c r="D29" s="275"/>
      <c r="E29" s="275"/>
      <c r="F29" s="275"/>
      <c r="G29" s="275"/>
      <c r="H29" s="275"/>
      <c r="I29" s="275"/>
      <c r="J29" s="158"/>
    </row>
    <row r="30" spans="1:11" s="216" customFormat="1">
      <c r="A30" s="217" t="s">
        <v>1</v>
      </c>
      <c r="B30" s="217" t="s">
        <v>2</v>
      </c>
      <c r="C30" s="217" t="s">
        <v>3</v>
      </c>
      <c r="D30" s="217" t="s">
        <v>4</v>
      </c>
      <c r="E30" s="217" t="s">
        <v>5</v>
      </c>
      <c r="F30" s="217" t="s">
        <v>6</v>
      </c>
      <c r="G30" s="217" t="s">
        <v>358</v>
      </c>
      <c r="H30" s="217" t="s">
        <v>359</v>
      </c>
      <c r="I30" s="159" t="s">
        <v>360</v>
      </c>
      <c r="J30" s="159" t="s">
        <v>361</v>
      </c>
    </row>
    <row r="31" spans="1:11">
      <c r="A31" s="208">
        <v>101120</v>
      </c>
      <c r="B31" s="208">
        <v>99223</v>
      </c>
      <c r="C31" s="209">
        <v>2026</v>
      </c>
      <c r="D31" s="148" t="s">
        <v>8</v>
      </c>
      <c r="E31" s="148" t="s">
        <v>52</v>
      </c>
      <c r="F31" s="148" t="s">
        <v>35</v>
      </c>
      <c r="G31" s="67"/>
      <c r="H31" s="67" t="s">
        <v>151</v>
      </c>
      <c r="I31" s="67" t="s">
        <v>387</v>
      </c>
      <c r="J31" s="67" t="s">
        <v>388</v>
      </c>
    </row>
    <row r="32" spans="1:11" s="216" customFormat="1">
      <c r="A32" s="218">
        <v>101283</v>
      </c>
      <c r="B32" s="218">
        <v>99223</v>
      </c>
      <c r="C32" s="219">
        <v>2026</v>
      </c>
      <c r="D32" s="220" t="s">
        <v>8</v>
      </c>
      <c r="E32" s="220" t="s">
        <v>52</v>
      </c>
      <c r="F32" s="220" t="s">
        <v>35</v>
      </c>
      <c r="G32" s="158"/>
      <c r="H32" s="158" t="s">
        <v>112</v>
      </c>
      <c r="I32" s="158"/>
      <c r="J32" s="158"/>
    </row>
    <row r="33" spans="1:10" s="216" customFormat="1">
      <c r="A33" s="275" t="s">
        <v>278</v>
      </c>
      <c r="B33" s="275"/>
      <c r="C33" s="275"/>
      <c r="D33" s="275"/>
      <c r="E33" s="275"/>
      <c r="F33" s="275"/>
      <c r="G33" s="275"/>
      <c r="H33" s="275"/>
      <c r="I33" s="275"/>
      <c r="J33" s="207"/>
    </row>
    <row r="34" spans="1:10" s="216" customFormat="1">
      <c r="A34" s="221">
        <v>100898</v>
      </c>
      <c r="B34" s="221">
        <v>93192</v>
      </c>
      <c r="C34" s="158">
        <v>2025</v>
      </c>
      <c r="D34" s="158" t="s">
        <v>26</v>
      </c>
      <c r="E34" s="158" t="s">
        <v>28</v>
      </c>
      <c r="F34" s="158" t="s">
        <v>28</v>
      </c>
      <c r="G34" s="158"/>
      <c r="H34" s="158" t="s">
        <v>112</v>
      </c>
      <c r="I34" s="222"/>
      <c r="J34" s="158"/>
    </row>
    <row r="35" spans="1:10" s="216" customFormat="1">
      <c r="A35" s="221">
        <v>100985</v>
      </c>
      <c r="B35" s="221">
        <v>99876</v>
      </c>
      <c r="C35" s="158">
        <v>2026</v>
      </c>
      <c r="D35" s="158" t="s">
        <v>26</v>
      </c>
      <c r="E35" s="158" t="s">
        <v>312</v>
      </c>
      <c r="F35" s="158" t="s">
        <v>33</v>
      </c>
      <c r="G35" s="158"/>
      <c r="H35" s="158" t="s">
        <v>112</v>
      </c>
      <c r="I35" s="222"/>
      <c r="J35" s="158"/>
    </row>
    <row r="36" spans="1:10" s="216" customFormat="1">
      <c r="A36" s="271" t="s">
        <v>389</v>
      </c>
      <c r="B36" s="271"/>
      <c r="C36" s="271"/>
      <c r="D36" s="271"/>
      <c r="E36" s="271"/>
      <c r="F36" s="271"/>
      <c r="G36" s="271"/>
      <c r="H36" s="271"/>
      <c r="I36" s="272"/>
      <c r="J36" s="158"/>
    </row>
    <row r="37" spans="1:10" s="216" customFormat="1">
      <c r="A37" s="275" t="s">
        <v>256</v>
      </c>
      <c r="B37" s="275"/>
      <c r="C37" s="275"/>
      <c r="D37" s="275"/>
      <c r="E37" s="275"/>
      <c r="F37" s="275"/>
      <c r="G37" s="275"/>
      <c r="H37" s="275"/>
      <c r="I37" s="276"/>
      <c r="J37" s="158"/>
    </row>
    <row r="38" spans="1:10" s="216" customFormat="1">
      <c r="A38" s="217" t="s">
        <v>1</v>
      </c>
      <c r="B38" s="217" t="s">
        <v>2</v>
      </c>
      <c r="C38" s="217" t="s">
        <v>3</v>
      </c>
      <c r="D38" s="217" t="s">
        <v>4</v>
      </c>
      <c r="E38" s="217" t="s">
        <v>5</v>
      </c>
      <c r="F38" s="217" t="s">
        <v>6</v>
      </c>
      <c r="G38" s="217" t="s">
        <v>358</v>
      </c>
      <c r="H38" s="217" t="s">
        <v>359</v>
      </c>
      <c r="I38" s="223" t="s">
        <v>360</v>
      </c>
      <c r="J38" s="158"/>
    </row>
    <row r="39" spans="1:10" s="216" customFormat="1">
      <c r="A39" s="218">
        <v>101783</v>
      </c>
      <c r="B39" s="218">
        <v>99022</v>
      </c>
      <c r="C39" s="219">
        <v>2026</v>
      </c>
      <c r="D39" s="220" t="s">
        <v>26</v>
      </c>
      <c r="E39" s="220" t="s">
        <v>19</v>
      </c>
      <c r="F39" s="220" t="s">
        <v>19</v>
      </c>
      <c r="G39" s="158"/>
      <c r="H39" s="158" t="s">
        <v>112</v>
      </c>
      <c r="I39" s="222"/>
      <c r="J39" s="158"/>
    </row>
    <row r="40" spans="1:10" s="216" customFormat="1">
      <c r="A40" s="271" t="s">
        <v>390</v>
      </c>
      <c r="B40" s="271"/>
      <c r="C40" s="271"/>
      <c r="D40" s="271"/>
      <c r="E40" s="271"/>
      <c r="F40" s="271"/>
      <c r="G40" s="271"/>
      <c r="H40" s="271"/>
      <c r="I40" s="272"/>
    </row>
    <row r="41" spans="1:10" s="216" customFormat="1">
      <c r="A41" s="273" t="s">
        <v>256</v>
      </c>
      <c r="B41" s="273"/>
      <c r="C41" s="273"/>
      <c r="D41" s="273"/>
      <c r="E41" s="273"/>
      <c r="F41" s="273"/>
      <c r="G41" s="273"/>
      <c r="H41" s="273"/>
      <c r="I41" s="274"/>
    </row>
    <row r="42" spans="1:10" s="216" customFormat="1">
      <c r="A42" s="217" t="s">
        <v>1</v>
      </c>
      <c r="B42" s="217" t="s">
        <v>2</v>
      </c>
      <c r="C42" s="217" t="s">
        <v>3</v>
      </c>
      <c r="D42" s="217" t="s">
        <v>4</v>
      </c>
      <c r="E42" s="217" t="s">
        <v>5</v>
      </c>
      <c r="F42" s="217" t="s">
        <v>6</v>
      </c>
      <c r="G42" s="217" t="s">
        <v>358</v>
      </c>
      <c r="H42" s="217" t="s">
        <v>359</v>
      </c>
      <c r="I42" s="159" t="s">
        <v>360</v>
      </c>
    </row>
    <row r="43" spans="1:10">
      <c r="A43" s="210">
        <v>102014</v>
      </c>
      <c r="B43" s="210">
        <v>101293</v>
      </c>
      <c r="C43" s="49">
        <v>2026</v>
      </c>
      <c r="D43" s="49" t="s">
        <v>8</v>
      </c>
      <c r="E43" s="49" t="s">
        <v>312</v>
      </c>
      <c r="F43" s="49" t="s">
        <v>33</v>
      </c>
      <c r="G43" s="95"/>
      <c r="H43" s="95" t="s">
        <v>151</v>
      </c>
      <c r="I43" s="95"/>
    </row>
    <row r="44" spans="1:10">
      <c r="A44" s="154">
        <v>102259</v>
      </c>
      <c r="B44" s="154">
        <v>101855</v>
      </c>
      <c r="C44" s="19">
        <v>2026</v>
      </c>
      <c r="D44" s="19" t="s">
        <v>8</v>
      </c>
      <c r="E44" s="19" t="s">
        <v>209</v>
      </c>
      <c r="F44" s="19" t="s">
        <v>33</v>
      </c>
      <c r="G44" s="67"/>
      <c r="H44" s="67" t="s">
        <v>151</v>
      </c>
      <c r="I44" s="67"/>
    </row>
    <row r="45" spans="1:10" s="216" customFormat="1">
      <c r="A45" s="214">
        <v>101966</v>
      </c>
      <c r="B45" s="214">
        <v>101487</v>
      </c>
      <c r="C45" s="215">
        <v>2026</v>
      </c>
      <c r="D45" s="215" t="s">
        <v>1</v>
      </c>
      <c r="E45" s="215" t="s">
        <v>13</v>
      </c>
      <c r="F45" s="215" t="s">
        <v>13</v>
      </c>
      <c r="G45" s="158"/>
      <c r="H45" s="158" t="s">
        <v>112</v>
      </c>
      <c r="I45" s="158"/>
    </row>
  </sheetData>
  <mergeCells count="14">
    <mergeCell ref="A1:I1"/>
    <mergeCell ref="A2:I2"/>
    <mergeCell ref="A20:I20"/>
    <mergeCell ref="A21:I21"/>
    <mergeCell ref="A8:I8"/>
    <mergeCell ref="A7:I7"/>
    <mergeCell ref="A16:I16"/>
    <mergeCell ref="A40:I40"/>
    <mergeCell ref="A41:I41"/>
    <mergeCell ref="A36:I36"/>
    <mergeCell ref="A37:I37"/>
    <mergeCell ref="A28:I28"/>
    <mergeCell ref="A29:I29"/>
    <mergeCell ref="A33:I33"/>
  </mergeCells>
  <hyperlinks>
    <hyperlink ref="A10" r:id="rId1" display="99797" xr:uid="{444715F6-5368-44A1-93A7-F91A95AC7A1A}"/>
    <hyperlink ref="B10" r:id="rId2" display="99330" xr:uid="{9C82E296-8F18-4E5D-8C36-4B12633603C3}"/>
    <hyperlink ref="A11" r:id="rId3" display="99788" xr:uid="{3F155492-3B13-4908-997E-5C4EB7DB9FD8}"/>
    <hyperlink ref="B11" r:id="rId4" display="98081" xr:uid="{5156AAE1-F68C-4FA9-AB8E-3BEBC08B5BD4}"/>
    <hyperlink ref="A12" r:id="rId5" display="99758" xr:uid="{1EE48EF7-C035-423C-9921-B367C1F78A62}"/>
    <hyperlink ref="B12" r:id="rId6" display="97270" xr:uid="{E3A21D18-0170-405A-BF85-ED0B60381EE2}"/>
    <hyperlink ref="A13" r:id="rId7" display="99594" xr:uid="{675F9127-BF79-4F20-8262-34C0FC009E39}"/>
    <hyperlink ref="B13" r:id="rId8" display="96490" xr:uid="{5069BAA7-CD2A-4AE4-A3BB-CB9BC11A2398}"/>
    <hyperlink ref="A14" r:id="rId9" display="99624" xr:uid="{CC836ADA-F0B2-44E2-9673-8845AB86C0D1}"/>
    <hyperlink ref="B14" r:id="rId10" display="98349" xr:uid="{179CA09B-69FC-4E74-B995-B01D8C6DFB7D}"/>
    <hyperlink ref="A15" r:id="rId11" display="99464" xr:uid="{E62F8D6C-223C-4DC3-BCB7-C767D9F320D2}"/>
    <hyperlink ref="B15" r:id="rId12" display="97970" xr:uid="{E0C417F8-87E5-4EE6-8AD8-590C93DD1E0D}"/>
    <hyperlink ref="A17" r:id="rId13" display="99469" xr:uid="{5E8E3AE2-25B8-45F8-8EEC-448A3AF922BA}"/>
    <hyperlink ref="B17" r:id="rId14" display="98104" xr:uid="{9CE6FA36-7527-4E47-A2B5-02633985078C}"/>
    <hyperlink ref="A4" r:id="rId15" display="99222" xr:uid="{C7E7B611-2FE3-458C-87C2-333BD5001760}"/>
    <hyperlink ref="B4" r:id="rId16" display="96733" xr:uid="{FA02CDDA-764C-4639-A1D8-5460E77CD454}"/>
    <hyperlink ref="A23" r:id="rId17" display="100250" xr:uid="{C6974190-A764-4028-B621-3EAB555EDD36}"/>
    <hyperlink ref="B23" r:id="rId18" display="99351" xr:uid="{3ABC0BD0-0467-4F86-AA23-82C0C410FCBE}"/>
    <hyperlink ref="A24" r:id="rId19" display="100319" xr:uid="{686F2DCD-F19C-456A-9D73-6CBE567160D6}"/>
    <hyperlink ref="B24" r:id="rId20" display="99223" xr:uid="{2EAA9F56-DE71-43E9-9315-3D0B3E6A37DC}"/>
    <hyperlink ref="A25" r:id="rId21" display="100187" xr:uid="{63D05FD3-E59B-4331-B72C-2849D4C742C9}"/>
    <hyperlink ref="B25" r:id="rId22" display="99797" xr:uid="{B98B0A13-24DA-4F51-B21B-36BB64B2D2AF}"/>
    <hyperlink ref="A26" r:id="rId23" display="100156" xr:uid="{4D36C21C-AABB-4B46-8ADE-266BF065DE65}"/>
    <hyperlink ref="B26" r:id="rId24" display="99223" xr:uid="{B68DABAD-8320-4A4E-B2EB-5F9333DA4BFA}"/>
    <hyperlink ref="A27" r:id="rId25" display="100616" xr:uid="{63433BDB-44A4-4A6B-9AAC-99CB56F00DCE}"/>
    <hyperlink ref="B27" r:id="rId26" display="99223" xr:uid="{98426E36-333E-43C8-A60F-0D5959498339}"/>
    <hyperlink ref="A31" r:id="rId27" display="101120" xr:uid="{D0A064CC-477A-4F8E-BB69-DA9AAC046E1E}"/>
    <hyperlink ref="B31" r:id="rId28" display="99223" xr:uid="{998A1442-73A4-40EC-92E5-C07EC996D757}"/>
    <hyperlink ref="A34" r:id="rId29" display="100898" xr:uid="{2A02AF96-CEF6-492C-B951-C27C37E46648}"/>
    <hyperlink ref="B34" r:id="rId30" display="93192" xr:uid="{F89637F7-DFF9-46A4-8CBD-6413AE77F5DA}"/>
    <hyperlink ref="A35" r:id="rId31" display="100985" xr:uid="{D24B8CBF-8784-4C49-A1C7-97E51D700B07}"/>
    <hyperlink ref="B35" r:id="rId32" display="99876" xr:uid="{304B0B00-4FCF-48D2-9294-E2905F5395CC}"/>
    <hyperlink ref="A32" r:id="rId33" display="101283" xr:uid="{47627ED7-EA64-4A32-9119-E1C547AC70B4}"/>
    <hyperlink ref="B32" r:id="rId34" display="99223" xr:uid="{A1F9F231-8417-4E16-BFB4-6FA35E534517}"/>
    <hyperlink ref="A39" r:id="rId35" display="101783" xr:uid="{9BE092EB-2B30-4674-AE2A-0CCD1FEA7C6F}"/>
    <hyperlink ref="B39" r:id="rId36" display="99022" xr:uid="{7BC66F80-0201-4328-95C9-72B90BEF705C}"/>
    <hyperlink ref="A43" r:id="rId37" display="102014" xr:uid="{51402271-AB82-4B8B-8BAE-98C2C5F87317}"/>
    <hyperlink ref="B43" r:id="rId38" display="101293" xr:uid="{CAD2C2E0-0106-4C0B-A9E9-F50C7A04BF6C}"/>
    <hyperlink ref="A44" r:id="rId39" display="102259" xr:uid="{430B21D4-F6C8-451B-BF95-DC8FE9FE6A43}"/>
    <hyperlink ref="B44" r:id="rId40" display="101855" xr:uid="{F24D0885-CF3F-4830-922C-668AAF5157C7}"/>
    <hyperlink ref="A45" r:id="rId41" display="101966" xr:uid="{2A769D8A-8C48-4EB2-B959-001B3E58F86A}"/>
    <hyperlink ref="B45" r:id="rId42" display="101487" xr:uid="{99E08F43-ABD4-42DC-94C0-906EB61565B3}"/>
  </hyperlinks>
  <pageMargins left="0.7" right="0.7" top="0.75" bottom="0.75" header="0.3" footer="0.3"/>
  <legacyDrawing r:id="rId4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6E68-DA8C-48AA-B9DD-835E99E5F9F6}">
  <dimension ref="A5:N76"/>
  <sheetViews>
    <sheetView topLeftCell="A39" workbookViewId="0">
      <selection activeCell="G59" sqref="G59"/>
    </sheetView>
  </sheetViews>
  <sheetFormatPr defaultRowHeight="15"/>
  <cols>
    <col min="1" max="1" width="18.7109375" customWidth="1"/>
    <col min="2" max="2" width="13.28515625" bestFit="1" customWidth="1"/>
    <col min="3" max="3" width="17.7109375" bestFit="1" customWidth="1"/>
    <col min="4" max="4" width="12.7109375" customWidth="1"/>
    <col min="5" max="5" width="15.85546875" bestFit="1" customWidth="1"/>
    <col min="6" max="6" width="13.7109375" customWidth="1"/>
    <col min="7" max="7" width="13.85546875" customWidth="1"/>
    <col min="9" max="9" width="10.140625" bestFit="1" customWidth="1"/>
    <col min="10" max="10" width="10.42578125" bestFit="1" customWidth="1"/>
  </cols>
  <sheetData>
    <row r="5" spans="1:10" ht="37.5" customHeight="1">
      <c r="A5" s="94" t="s">
        <v>391</v>
      </c>
      <c r="B5" s="66" t="s">
        <v>105</v>
      </c>
      <c r="C5" s="66" t="s">
        <v>106</v>
      </c>
      <c r="D5" s="93" t="s">
        <v>392</v>
      </c>
      <c r="E5" s="69" t="s">
        <v>259</v>
      </c>
      <c r="F5" s="69" t="s">
        <v>260</v>
      </c>
      <c r="G5" s="94" t="s">
        <v>393</v>
      </c>
    </row>
    <row r="6" spans="1:10">
      <c r="A6" s="67" t="s">
        <v>262</v>
      </c>
      <c r="B6" s="87">
        <v>19</v>
      </c>
      <c r="C6" s="87">
        <v>2</v>
      </c>
      <c r="D6" s="68">
        <f>(C6-E6)/B6</f>
        <v>0</v>
      </c>
      <c r="E6" s="91">
        <v>2</v>
      </c>
      <c r="F6" s="68">
        <f>C6/B6</f>
        <v>0.10526315789473684</v>
      </c>
      <c r="G6" s="90">
        <f>C6-E6</f>
        <v>0</v>
      </c>
      <c r="J6" s="101"/>
    </row>
    <row r="7" spans="1:10">
      <c r="A7" s="67" t="s">
        <v>263</v>
      </c>
      <c r="B7" s="87">
        <v>24</v>
      </c>
      <c r="C7" s="87">
        <v>4</v>
      </c>
      <c r="D7" s="68">
        <f t="shared" ref="D7:D18" si="0">(C7-E7)/B7</f>
        <v>8.3333333333333329E-2</v>
      </c>
      <c r="E7" s="92">
        <v>2</v>
      </c>
      <c r="F7" s="68">
        <f t="shared" ref="F7:F18" si="1">C7/B7</f>
        <v>0.16666666666666666</v>
      </c>
      <c r="G7" s="87">
        <f>C7-E7</f>
        <v>2</v>
      </c>
      <c r="J7" s="101"/>
    </row>
    <row r="8" spans="1:10">
      <c r="A8" s="67" t="s">
        <v>264</v>
      </c>
      <c r="B8" s="87">
        <v>27</v>
      </c>
      <c r="C8" s="87">
        <v>3</v>
      </c>
      <c r="D8" s="68">
        <f t="shared" si="0"/>
        <v>7.407407407407407E-2</v>
      </c>
      <c r="E8" s="92">
        <v>1</v>
      </c>
      <c r="F8" s="68">
        <f t="shared" si="1"/>
        <v>0.1111111111111111</v>
      </c>
      <c r="G8" s="87">
        <f t="shared" ref="G7:G17" si="2">C8-E8</f>
        <v>2</v>
      </c>
      <c r="J8" s="101"/>
    </row>
    <row r="9" spans="1:10">
      <c r="A9" s="67" t="s">
        <v>266</v>
      </c>
      <c r="B9" s="87">
        <v>27</v>
      </c>
      <c r="C9" s="87">
        <v>3</v>
      </c>
      <c r="D9" s="68">
        <f t="shared" si="0"/>
        <v>0</v>
      </c>
      <c r="E9" s="92">
        <v>3</v>
      </c>
      <c r="F9" s="68">
        <f t="shared" si="1"/>
        <v>0.1111111111111111</v>
      </c>
      <c r="G9" s="87">
        <f t="shared" si="2"/>
        <v>0</v>
      </c>
      <c r="J9" s="101"/>
    </row>
    <row r="10" spans="1:10">
      <c r="A10" s="67" t="s">
        <v>267</v>
      </c>
      <c r="B10" s="87">
        <v>21</v>
      </c>
      <c r="C10" s="87">
        <v>4</v>
      </c>
      <c r="D10" s="68">
        <f t="shared" si="0"/>
        <v>4.7619047619047616E-2</v>
      </c>
      <c r="E10" s="92">
        <v>3</v>
      </c>
      <c r="F10" s="68">
        <f t="shared" si="1"/>
        <v>0.19047619047619047</v>
      </c>
      <c r="G10" s="87">
        <f t="shared" si="2"/>
        <v>1</v>
      </c>
      <c r="J10" s="101"/>
    </row>
    <row r="11" spans="1:10">
      <c r="A11" s="67" t="s">
        <v>268</v>
      </c>
      <c r="B11" s="87">
        <v>23</v>
      </c>
      <c r="C11" s="87">
        <v>5</v>
      </c>
      <c r="D11" s="68">
        <f t="shared" si="0"/>
        <v>4.3478260869565216E-2</v>
      </c>
      <c r="E11" s="92">
        <v>4</v>
      </c>
      <c r="F11" s="68">
        <f t="shared" si="1"/>
        <v>0.21739130434782608</v>
      </c>
      <c r="G11" s="87">
        <f t="shared" si="2"/>
        <v>1</v>
      </c>
      <c r="J11" s="101"/>
    </row>
    <row r="12" spans="1:10">
      <c r="A12" s="67" t="s">
        <v>269</v>
      </c>
      <c r="B12" s="87">
        <v>20</v>
      </c>
      <c r="C12" s="87">
        <v>5</v>
      </c>
      <c r="D12" s="68">
        <f t="shared" si="0"/>
        <v>0.2</v>
      </c>
      <c r="E12" s="92">
        <v>1</v>
      </c>
      <c r="F12" s="68">
        <f>C12/B12</f>
        <v>0.25</v>
      </c>
      <c r="G12" s="87">
        <f t="shared" si="2"/>
        <v>4</v>
      </c>
      <c r="J12" s="101"/>
    </row>
    <row r="13" spans="1:10">
      <c r="A13" s="67" t="s">
        <v>270</v>
      </c>
      <c r="B13" s="87">
        <v>31</v>
      </c>
      <c r="C13" s="87">
        <v>5</v>
      </c>
      <c r="D13" s="68">
        <f t="shared" si="0"/>
        <v>0.12903225806451613</v>
      </c>
      <c r="E13" s="92">
        <v>1</v>
      </c>
      <c r="F13" s="68">
        <f t="shared" si="1"/>
        <v>0.16129032258064516</v>
      </c>
      <c r="G13" s="87">
        <v>4</v>
      </c>
      <c r="J13" s="101"/>
    </row>
    <row r="14" spans="1:10">
      <c r="A14" s="67" t="s">
        <v>272</v>
      </c>
      <c r="B14" s="87">
        <v>36</v>
      </c>
      <c r="C14" s="87">
        <v>6</v>
      </c>
      <c r="D14" s="68">
        <f t="shared" si="0"/>
        <v>0.1111111111111111</v>
      </c>
      <c r="E14" s="92">
        <v>2</v>
      </c>
      <c r="F14" s="68">
        <f t="shared" si="1"/>
        <v>0.16666666666666666</v>
      </c>
      <c r="G14" s="87">
        <v>4</v>
      </c>
      <c r="J14" s="101"/>
    </row>
    <row r="15" spans="1:10">
      <c r="A15" s="67" t="s">
        <v>273</v>
      </c>
      <c r="B15" s="87">
        <v>30</v>
      </c>
      <c r="C15" s="87">
        <v>6</v>
      </c>
      <c r="D15" s="68">
        <f t="shared" si="0"/>
        <v>0.1</v>
      </c>
      <c r="E15" s="92">
        <v>3</v>
      </c>
      <c r="F15" s="68">
        <f t="shared" si="1"/>
        <v>0.2</v>
      </c>
      <c r="G15" s="87">
        <f t="shared" si="2"/>
        <v>3</v>
      </c>
      <c r="J15" s="101"/>
    </row>
    <row r="16" spans="1:10">
      <c r="A16" s="67" t="s">
        <v>274</v>
      </c>
      <c r="B16" s="87">
        <v>40</v>
      </c>
      <c r="C16" s="87">
        <v>7</v>
      </c>
      <c r="D16" s="68">
        <f t="shared" si="0"/>
        <v>7.4999999999999997E-2</v>
      </c>
      <c r="E16" s="92">
        <v>4</v>
      </c>
      <c r="F16" s="68">
        <f t="shared" si="1"/>
        <v>0.17499999999999999</v>
      </c>
      <c r="G16" s="87">
        <f t="shared" si="2"/>
        <v>3</v>
      </c>
      <c r="J16" s="101"/>
    </row>
    <row r="17" spans="1:10">
      <c r="A17" s="67" t="s">
        <v>275</v>
      </c>
      <c r="B17" s="87">
        <v>30</v>
      </c>
      <c r="C17" s="87">
        <v>8</v>
      </c>
      <c r="D17" s="68">
        <f t="shared" si="0"/>
        <v>0.13333333333333333</v>
      </c>
      <c r="E17" s="92">
        <v>4</v>
      </c>
      <c r="F17" s="68">
        <f t="shared" si="1"/>
        <v>0.26666666666666666</v>
      </c>
      <c r="G17" s="87">
        <f t="shared" si="2"/>
        <v>4</v>
      </c>
      <c r="J17" s="101"/>
    </row>
    <row r="18" spans="1:10">
      <c r="A18" s="74" t="s">
        <v>277</v>
      </c>
      <c r="B18" s="87">
        <f>SUM(B6:B17)</f>
        <v>328</v>
      </c>
      <c r="C18" s="87">
        <f>SUM(C6:C17)</f>
        <v>58</v>
      </c>
      <c r="D18" s="97">
        <f>(C18-E18)/B18</f>
        <v>8.5365853658536592E-2</v>
      </c>
      <c r="E18" s="87">
        <f>SUM(E6:E17)</f>
        <v>30</v>
      </c>
      <c r="F18" s="68">
        <f>C18/B18</f>
        <v>0.17682926829268292</v>
      </c>
      <c r="G18" s="96">
        <f>SUM(G6:G17)</f>
        <v>28</v>
      </c>
    </row>
    <row r="19" spans="1:10">
      <c r="B19">
        <f>B6+B7+B8+B9+B10+B11</f>
        <v>141</v>
      </c>
      <c r="C19">
        <f>C6+C7+C8+C9+C10+C11</f>
        <v>21</v>
      </c>
    </row>
    <row r="20" spans="1:10">
      <c r="B20">
        <f>B19-C19</f>
        <v>120</v>
      </c>
    </row>
    <row r="21" spans="1:10" ht="30.75">
      <c r="A21" s="94" t="s">
        <v>394</v>
      </c>
      <c r="B21" s="66" t="s">
        <v>105</v>
      </c>
      <c r="C21" s="66" t="s">
        <v>106</v>
      </c>
      <c r="D21" s="93" t="s">
        <v>395</v>
      </c>
      <c r="E21" s="69" t="s">
        <v>259</v>
      </c>
      <c r="F21" s="69" t="s">
        <v>260</v>
      </c>
      <c r="G21" s="94" t="s">
        <v>396</v>
      </c>
    </row>
    <row r="22" spans="1:10">
      <c r="A22" s="67" t="s">
        <v>262</v>
      </c>
      <c r="B22" s="87">
        <v>29</v>
      </c>
      <c r="C22" s="87">
        <v>8</v>
      </c>
      <c r="D22" s="68">
        <f>(C22-E22)/B22</f>
        <v>0.10344827586206896</v>
      </c>
      <c r="E22" s="91">
        <v>5</v>
      </c>
      <c r="F22" s="68">
        <f>C22/B22</f>
        <v>0.27586206896551724</v>
      </c>
      <c r="G22" s="90">
        <v>3</v>
      </c>
    </row>
    <row r="23" spans="1:10">
      <c r="A23" s="67" t="s">
        <v>263</v>
      </c>
      <c r="B23" s="87">
        <v>31</v>
      </c>
      <c r="C23" s="87">
        <v>3</v>
      </c>
      <c r="D23" s="68">
        <f t="shared" ref="D23:D34" si="3">(C23-E23)/B23</f>
        <v>3.2258064516129031E-2</v>
      </c>
      <c r="E23" s="92">
        <v>2</v>
      </c>
      <c r="F23" s="68">
        <f t="shared" ref="F23:F34" si="4">C23/B23</f>
        <v>9.6774193548387094E-2</v>
      </c>
      <c r="G23" s="87">
        <v>1</v>
      </c>
    </row>
    <row r="24" spans="1:10">
      <c r="A24" s="67" t="s">
        <v>264</v>
      </c>
      <c r="B24" s="87">
        <v>33</v>
      </c>
      <c r="C24" s="87">
        <v>8</v>
      </c>
      <c r="D24" s="68">
        <f t="shared" si="3"/>
        <v>0.18181818181818182</v>
      </c>
      <c r="E24" s="92">
        <v>2</v>
      </c>
      <c r="F24" s="68">
        <f t="shared" si="4"/>
        <v>0.24242424242424243</v>
      </c>
      <c r="G24" s="87">
        <v>6</v>
      </c>
    </row>
    <row r="25" spans="1:10">
      <c r="A25" s="67" t="s">
        <v>266</v>
      </c>
      <c r="B25" s="87">
        <v>45</v>
      </c>
      <c r="C25" s="87">
        <v>12</v>
      </c>
      <c r="D25" s="68">
        <f t="shared" si="3"/>
        <v>6.6666666666666666E-2</v>
      </c>
      <c r="E25" s="92">
        <v>9</v>
      </c>
      <c r="F25" s="68">
        <f t="shared" si="4"/>
        <v>0.26666666666666666</v>
      </c>
      <c r="G25" s="87">
        <f t="shared" ref="G23:G33" si="5">C25-E25</f>
        <v>3</v>
      </c>
    </row>
    <row r="26" spans="1:10">
      <c r="A26" s="67" t="s">
        <v>267</v>
      </c>
      <c r="B26" s="87">
        <v>40</v>
      </c>
      <c r="C26" s="87">
        <v>9</v>
      </c>
      <c r="D26" s="68">
        <f t="shared" si="3"/>
        <v>0.1</v>
      </c>
      <c r="E26" s="92">
        <v>5</v>
      </c>
      <c r="F26" s="68">
        <f t="shared" si="4"/>
        <v>0.22500000000000001</v>
      </c>
      <c r="G26" s="87">
        <f t="shared" si="5"/>
        <v>4</v>
      </c>
    </row>
    <row r="27" spans="1:10">
      <c r="A27" s="67" t="s">
        <v>268</v>
      </c>
      <c r="B27" s="87">
        <v>36</v>
      </c>
      <c r="C27" s="87">
        <v>8</v>
      </c>
      <c r="D27" s="68">
        <f>(C27-E27)/B27</f>
        <v>0.1111111111111111</v>
      </c>
      <c r="E27" s="92">
        <v>4</v>
      </c>
      <c r="F27" s="68">
        <f t="shared" si="4"/>
        <v>0.22222222222222221</v>
      </c>
      <c r="G27" s="87">
        <f t="shared" si="5"/>
        <v>4</v>
      </c>
    </row>
    <row r="28" spans="1:10">
      <c r="A28" s="67" t="s">
        <v>269</v>
      </c>
      <c r="B28" s="87"/>
      <c r="C28" s="87"/>
      <c r="D28" s="68" t="e">
        <f t="shared" si="3"/>
        <v>#DIV/0!</v>
      </c>
      <c r="E28" s="92">
        <v>0</v>
      </c>
      <c r="F28" s="68" t="e">
        <f t="shared" si="4"/>
        <v>#DIV/0!</v>
      </c>
      <c r="G28" s="87">
        <f t="shared" si="5"/>
        <v>0</v>
      </c>
    </row>
    <row r="29" spans="1:10">
      <c r="A29" s="67" t="s">
        <v>270</v>
      </c>
      <c r="B29" s="87"/>
      <c r="C29" s="87"/>
      <c r="D29" s="68" t="e">
        <f t="shared" si="3"/>
        <v>#DIV/0!</v>
      </c>
      <c r="E29" s="92">
        <v>0</v>
      </c>
      <c r="F29" s="68" t="e">
        <f t="shared" si="4"/>
        <v>#DIV/0!</v>
      </c>
      <c r="G29" s="87">
        <f t="shared" si="5"/>
        <v>0</v>
      </c>
    </row>
    <row r="30" spans="1:10">
      <c r="A30" s="67" t="s">
        <v>272</v>
      </c>
      <c r="B30" s="87"/>
      <c r="C30" s="87"/>
      <c r="D30" s="68" t="e">
        <f t="shared" si="3"/>
        <v>#DIV/0!</v>
      </c>
      <c r="E30" s="92">
        <v>0</v>
      </c>
      <c r="F30" s="68" t="e">
        <f t="shared" si="4"/>
        <v>#DIV/0!</v>
      </c>
      <c r="G30" s="87">
        <f t="shared" si="5"/>
        <v>0</v>
      </c>
    </row>
    <row r="31" spans="1:10">
      <c r="A31" s="67" t="s">
        <v>273</v>
      </c>
      <c r="B31" s="87"/>
      <c r="C31" s="87"/>
      <c r="D31" s="68" t="e">
        <f>(C31-E32)/B31</f>
        <v>#DIV/0!</v>
      </c>
      <c r="E31">
        <v>0</v>
      </c>
      <c r="F31" s="68" t="e">
        <f t="shared" si="4"/>
        <v>#DIV/0!</v>
      </c>
      <c r="G31" s="87">
        <f t="shared" si="5"/>
        <v>0</v>
      </c>
    </row>
    <row r="32" spans="1:10">
      <c r="A32" s="67" t="s">
        <v>274</v>
      </c>
      <c r="B32" s="87"/>
      <c r="C32" s="87"/>
      <c r="D32" s="68" t="e">
        <f>(C32-E33)/B32</f>
        <v>#DIV/0!</v>
      </c>
      <c r="E32" s="92">
        <v>0</v>
      </c>
      <c r="F32" s="68" t="e">
        <f t="shared" si="4"/>
        <v>#DIV/0!</v>
      </c>
      <c r="G32" s="87">
        <f t="shared" si="5"/>
        <v>0</v>
      </c>
    </row>
    <row r="33" spans="1:14">
      <c r="A33" s="67" t="s">
        <v>275</v>
      </c>
      <c r="B33" s="87"/>
      <c r="C33" s="87"/>
      <c r="D33" s="68" t="e">
        <f t="shared" si="3"/>
        <v>#DIV/0!</v>
      </c>
      <c r="E33" s="92">
        <v>0</v>
      </c>
      <c r="F33" s="68" t="e">
        <f t="shared" si="4"/>
        <v>#DIV/0!</v>
      </c>
      <c r="G33" s="87">
        <f t="shared" si="5"/>
        <v>0</v>
      </c>
    </row>
    <row r="34" spans="1:14">
      <c r="A34" s="74" t="s">
        <v>277</v>
      </c>
      <c r="B34" s="87">
        <f>SUM(B22:B33)</f>
        <v>214</v>
      </c>
      <c r="C34" s="87">
        <f>SUM(C22:C33)</f>
        <v>48</v>
      </c>
      <c r="D34" s="226">
        <f>(C34-E34)/B34</f>
        <v>9.8130841121495324E-2</v>
      </c>
      <c r="E34" s="87">
        <f>SUM(E22:E33)</f>
        <v>27</v>
      </c>
      <c r="F34" s="68">
        <f>C34/B34</f>
        <v>0.22429906542056074</v>
      </c>
      <c r="G34" s="87">
        <f>C34-E34</f>
        <v>21</v>
      </c>
    </row>
    <row r="35" spans="1:14">
      <c r="B35">
        <f>B34-C34</f>
        <v>166</v>
      </c>
    </row>
    <row r="44" spans="1:14">
      <c r="A44" s="256" t="s">
        <v>397</v>
      </c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57"/>
      <c r="N44" s="66" t="s">
        <v>398</v>
      </c>
    </row>
    <row r="45" spans="1:14">
      <c r="A45" s="67" t="s">
        <v>399</v>
      </c>
      <c r="B45" s="227">
        <v>46023</v>
      </c>
      <c r="C45" s="67" t="s">
        <v>400</v>
      </c>
      <c r="D45" s="227">
        <v>46082</v>
      </c>
      <c r="E45" s="67" t="s">
        <v>401</v>
      </c>
      <c r="F45" s="67" t="s">
        <v>402</v>
      </c>
      <c r="G45" s="227">
        <v>46174</v>
      </c>
      <c r="H45" s="227">
        <v>46204</v>
      </c>
      <c r="I45" s="67" t="s">
        <v>403</v>
      </c>
      <c r="J45" s="67" t="s">
        <v>404</v>
      </c>
      <c r="K45" s="67" t="s">
        <v>405</v>
      </c>
      <c r="L45" s="227">
        <v>46327</v>
      </c>
      <c r="M45" s="67" t="s">
        <v>406</v>
      </c>
      <c r="N45" s="74"/>
    </row>
    <row r="46" spans="1:14">
      <c r="A46" s="67" t="s">
        <v>284</v>
      </c>
      <c r="B46" s="67">
        <v>1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74">
        <f>B46+C46+D46+E46+F46+G46+H46+I46+J46+K46+L46+M46</f>
        <v>1</v>
      </c>
    </row>
    <row r="47" spans="1:14">
      <c r="A47" s="67" t="s">
        <v>213</v>
      </c>
      <c r="B47" s="67">
        <v>1</v>
      </c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74">
        <f>B47+C47+D47+E47+F47+G47+H47+I47+J47+K47+L47+M47</f>
        <v>1</v>
      </c>
    </row>
    <row r="48" spans="1:14">
      <c r="A48" s="67" t="s">
        <v>49</v>
      </c>
      <c r="B48" s="67">
        <v>1</v>
      </c>
      <c r="C48" s="67"/>
      <c r="D48" s="67">
        <v>1</v>
      </c>
      <c r="E48" s="67"/>
      <c r="F48" s="67">
        <v>2</v>
      </c>
      <c r="G48" s="67"/>
      <c r="H48" s="67"/>
      <c r="I48" s="67"/>
      <c r="J48" s="67"/>
      <c r="K48" s="67"/>
      <c r="L48" s="67"/>
      <c r="M48" s="67"/>
      <c r="N48" s="74">
        <f>B48+C48+D48+E48+F48+G48+H48+I48+J48+K48+L48+M48</f>
        <v>4</v>
      </c>
    </row>
    <row r="49" spans="1:14">
      <c r="A49" s="67" t="s">
        <v>34</v>
      </c>
      <c r="B49" s="67"/>
      <c r="C49" s="67">
        <v>1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74">
        <f>B49+C49+D49+E49+F49+G49+H49+I49+J49+K49+L49+M49</f>
        <v>1</v>
      </c>
    </row>
    <row r="50" spans="1:14">
      <c r="A50" s="67" t="s">
        <v>312</v>
      </c>
      <c r="B50" s="67"/>
      <c r="C50" s="67"/>
      <c r="D50" s="67">
        <v>2</v>
      </c>
      <c r="E50" s="67"/>
      <c r="F50" s="67"/>
      <c r="G50" s="67">
        <v>1</v>
      </c>
      <c r="H50" s="67"/>
      <c r="I50" s="67"/>
      <c r="J50" s="67"/>
      <c r="K50" s="67"/>
      <c r="L50" s="67"/>
      <c r="M50" s="67"/>
      <c r="N50" s="74">
        <f>B50+C50+D50+E50+F50+G50+H50+I50+J50+K50+L50+M50</f>
        <v>3</v>
      </c>
    </row>
    <row r="51" spans="1:14">
      <c r="A51" s="67" t="s">
        <v>52</v>
      </c>
      <c r="B51" s="67"/>
      <c r="C51" s="67"/>
      <c r="D51" s="67">
        <v>1</v>
      </c>
      <c r="E51" s="67">
        <v>2</v>
      </c>
      <c r="F51" s="67"/>
      <c r="G51" s="67">
        <v>2</v>
      </c>
      <c r="H51" s="67"/>
      <c r="I51" s="67"/>
      <c r="J51" s="67"/>
      <c r="K51" s="67"/>
      <c r="L51" s="67"/>
      <c r="M51" s="67"/>
      <c r="N51" s="74">
        <f>B51+C51+D51+E51+F51+G51+H51+I51+J51+K51+L51+M51</f>
        <v>5</v>
      </c>
    </row>
    <row r="52" spans="1:14">
      <c r="A52" s="67" t="s">
        <v>209</v>
      </c>
      <c r="B52" s="67"/>
      <c r="C52" s="67"/>
      <c r="D52" s="67">
        <v>1</v>
      </c>
      <c r="E52" s="67"/>
      <c r="F52" s="67"/>
      <c r="G52" s="67">
        <v>1</v>
      </c>
      <c r="H52" s="67"/>
      <c r="I52" s="67"/>
      <c r="J52" s="67"/>
      <c r="K52" s="67"/>
      <c r="L52" s="67"/>
      <c r="M52" s="67"/>
      <c r="N52" s="74">
        <f>B52+C52+D52+E52+F52+G52+H52+I52+J52+K52+L52+M52</f>
        <v>2</v>
      </c>
    </row>
    <row r="53" spans="1:14">
      <c r="A53" s="67" t="s">
        <v>265</v>
      </c>
      <c r="B53" s="67"/>
      <c r="C53" s="67"/>
      <c r="D53" s="67"/>
      <c r="E53" s="67"/>
      <c r="F53" s="67">
        <v>1</v>
      </c>
      <c r="G53" s="67"/>
      <c r="H53" s="67"/>
      <c r="I53" s="67"/>
      <c r="J53" s="67"/>
      <c r="K53" s="67"/>
      <c r="L53" s="67"/>
      <c r="M53" s="67"/>
      <c r="N53" s="74">
        <f>B53+C53+D53+E53+F53+G53+H53+I53+J53+K53+L53+M53</f>
        <v>1</v>
      </c>
    </row>
    <row r="54" spans="1:14">
      <c r="A54" s="67" t="s">
        <v>171</v>
      </c>
      <c r="B54" s="67"/>
      <c r="C54" s="67"/>
      <c r="D54" s="67"/>
      <c r="E54" s="67"/>
      <c r="F54" s="67">
        <v>1</v>
      </c>
      <c r="G54" s="67"/>
      <c r="H54" s="67"/>
      <c r="I54" s="67"/>
      <c r="J54" s="67"/>
      <c r="K54" s="67"/>
      <c r="L54" s="67"/>
      <c r="M54" s="67"/>
      <c r="N54" s="74">
        <f>B54+C54+D54+E54+F54+G54+H54+I54+J54+K54+L54+M54</f>
        <v>1</v>
      </c>
    </row>
    <row r="55" spans="1:14">
      <c r="N55" s="228"/>
    </row>
    <row r="56" spans="1:14">
      <c r="A56" s="67" t="s">
        <v>407</v>
      </c>
      <c r="B56" s="227">
        <v>46023</v>
      </c>
      <c r="C56" s="67" t="s">
        <v>400</v>
      </c>
      <c r="D56" s="227">
        <v>46082</v>
      </c>
      <c r="E56" s="67" t="s">
        <v>401</v>
      </c>
      <c r="F56" s="67" t="s">
        <v>402</v>
      </c>
      <c r="G56" s="227">
        <v>46174</v>
      </c>
      <c r="H56" s="227">
        <v>46204</v>
      </c>
      <c r="I56" s="67" t="s">
        <v>403</v>
      </c>
      <c r="J56" s="67" t="s">
        <v>404</v>
      </c>
      <c r="K56" s="67" t="s">
        <v>405</v>
      </c>
      <c r="L56" s="227">
        <v>46327</v>
      </c>
      <c r="M56" s="67" t="s">
        <v>406</v>
      </c>
      <c r="N56" s="66" t="s">
        <v>398</v>
      </c>
    </row>
    <row r="57" spans="1:14">
      <c r="A57" s="67" t="s">
        <v>19</v>
      </c>
      <c r="B57" s="67">
        <v>2</v>
      </c>
      <c r="C57" s="67"/>
      <c r="D57" s="67"/>
      <c r="E57" s="67">
        <v>1</v>
      </c>
      <c r="F57" s="67"/>
      <c r="G57" s="67"/>
      <c r="H57" s="67"/>
      <c r="I57" s="67"/>
      <c r="J57" s="67"/>
      <c r="K57" s="67"/>
      <c r="L57" s="67"/>
      <c r="M57" s="67"/>
      <c r="N57" s="74">
        <f>B57+C57+D57+E57+F57+G57+H57+I57+J57+K57+L57+M57</f>
        <v>3</v>
      </c>
    </row>
    <row r="58" spans="1:14">
      <c r="A58" s="67" t="s">
        <v>35</v>
      </c>
      <c r="B58" s="67">
        <v>1</v>
      </c>
      <c r="C58" s="67">
        <v>1</v>
      </c>
      <c r="D58" s="67">
        <v>1</v>
      </c>
      <c r="E58" s="67">
        <v>1</v>
      </c>
      <c r="F58" s="67">
        <v>2</v>
      </c>
      <c r="G58" s="67">
        <v>2</v>
      </c>
      <c r="H58" s="67"/>
      <c r="I58" s="67"/>
      <c r="J58" s="67"/>
      <c r="K58" s="67"/>
      <c r="L58" s="67"/>
      <c r="M58" s="67"/>
      <c r="N58" s="74">
        <f>B58+C58+D58+E58+F58+G58+H58+I58+J58+K58+L58+M58</f>
        <v>8</v>
      </c>
    </row>
    <row r="59" spans="1:14">
      <c r="A59" s="67" t="s">
        <v>33</v>
      </c>
      <c r="B59" s="67"/>
      <c r="C59" s="67"/>
      <c r="D59" s="67">
        <v>2</v>
      </c>
      <c r="E59" s="67"/>
      <c r="F59" s="67"/>
      <c r="G59" s="67">
        <v>2</v>
      </c>
      <c r="H59" s="67"/>
      <c r="I59" s="67"/>
      <c r="J59" s="67"/>
      <c r="K59" s="67"/>
      <c r="L59" s="67"/>
      <c r="M59" s="67"/>
      <c r="N59" s="74">
        <f>B59+C59+D59+E59+F59+G59+H59+I59+J59+K59+L59+M59</f>
        <v>4</v>
      </c>
    </row>
    <row r="60" spans="1:14">
      <c r="A60" s="67" t="s">
        <v>152</v>
      </c>
      <c r="B60" s="67"/>
      <c r="C60" s="67"/>
      <c r="D60" s="67">
        <v>1</v>
      </c>
      <c r="E60" s="67"/>
      <c r="F60" s="67"/>
      <c r="G60" s="67"/>
      <c r="H60" s="67"/>
      <c r="I60" s="67"/>
      <c r="J60" s="67"/>
      <c r="K60" s="67"/>
      <c r="L60" s="67"/>
      <c r="M60" s="67"/>
      <c r="N60" s="74">
        <f>B60+C60+D60+E60+F60+G60+H60+I60+J60+K60+L60+M60</f>
        <v>1</v>
      </c>
    </row>
    <row r="61" spans="1:14">
      <c r="A61" s="67" t="s">
        <v>10</v>
      </c>
      <c r="B61" s="67"/>
      <c r="C61" s="67"/>
      <c r="D61" s="67">
        <v>2</v>
      </c>
      <c r="E61" s="67">
        <v>1</v>
      </c>
      <c r="F61" s="67">
        <v>2</v>
      </c>
      <c r="G61" s="67"/>
      <c r="H61" s="67"/>
      <c r="I61" s="67"/>
      <c r="J61" s="67"/>
      <c r="K61" s="67"/>
      <c r="L61" s="67"/>
      <c r="M61" s="67"/>
      <c r="N61" s="74">
        <f>B61+C61+D61+E61+F61+G61+H61+I61+J61+K61+L61+M61</f>
        <v>5</v>
      </c>
    </row>
    <row r="66" spans="1:5">
      <c r="A66" s="266" t="s">
        <v>108</v>
      </c>
      <c r="B66" s="266"/>
      <c r="D66" s="255" t="s">
        <v>109</v>
      </c>
      <c r="E66" s="255"/>
    </row>
    <row r="67" spans="1:5">
      <c r="A67" s="67" t="s">
        <v>52</v>
      </c>
      <c r="B67" s="67">
        <f>N51</f>
        <v>5</v>
      </c>
      <c r="D67" s="67" t="s">
        <v>152</v>
      </c>
      <c r="E67" s="67">
        <f>N60</f>
        <v>1</v>
      </c>
    </row>
    <row r="68" spans="1:5">
      <c r="A68" s="67" t="s">
        <v>9</v>
      </c>
      <c r="B68" s="67">
        <f>N50</f>
        <v>3</v>
      </c>
      <c r="D68" s="67" t="s">
        <v>10</v>
      </c>
      <c r="E68" s="67">
        <f>N61</f>
        <v>5</v>
      </c>
    </row>
    <row r="69" spans="1:5">
      <c r="A69" s="67" t="s">
        <v>265</v>
      </c>
      <c r="B69" s="67">
        <f>N53</f>
        <v>1</v>
      </c>
      <c r="D69" s="67" t="s">
        <v>19</v>
      </c>
      <c r="E69" s="67">
        <f>N57</f>
        <v>3</v>
      </c>
    </row>
    <row r="70" spans="1:5">
      <c r="A70" s="67" t="s">
        <v>14</v>
      </c>
      <c r="B70" s="67">
        <f>N48</f>
        <v>4</v>
      </c>
      <c r="D70" s="67" t="s">
        <v>35</v>
      </c>
      <c r="E70" s="67">
        <f>N58</f>
        <v>8</v>
      </c>
    </row>
    <row r="71" spans="1:5">
      <c r="A71" s="67" t="s">
        <v>284</v>
      </c>
      <c r="B71" s="67">
        <f>N46</f>
        <v>1</v>
      </c>
      <c r="D71" s="67" t="s">
        <v>189</v>
      </c>
      <c r="E71" s="67">
        <f>N59</f>
        <v>4</v>
      </c>
    </row>
    <row r="72" spans="1:5">
      <c r="A72" s="95" t="s">
        <v>276</v>
      </c>
      <c r="B72" s="95">
        <f>N54</f>
        <v>1</v>
      </c>
    </row>
    <row r="73" spans="1:5">
      <c r="A73" s="67" t="s">
        <v>34</v>
      </c>
      <c r="B73" s="67">
        <f>N49</f>
        <v>1</v>
      </c>
    </row>
    <row r="74" spans="1:5">
      <c r="A74" s="67" t="s">
        <v>209</v>
      </c>
      <c r="B74" s="67">
        <f>N52</f>
        <v>2</v>
      </c>
      <c r="D74" s="67" t="s">
        <v>271</v>
      </c>
      <c r="E74" s="100">
        <f>E67+E68+E69+E70+E71</f>
        <v>21</v>
      </c>
    </row>
    <row r="75" spans="1:5">
      <c r="A75" s="67" t="s">
        <v>213</v>
      </c>
      <c r="B75" s="67">
        <f>N47</f>
        <v>1</v>
      </c>
    </row>
    <row r="76" spans="1:5">
      <c r="A76" s="67" t="s">
        <v>271</v>
      </c>
      <c r="B76" s="100">
        <f>B67+B68+B69+B70+B71+B72+B73+B74+B75</f>
        <v>19</v>
      </c>
    </row>
  </sheetData>
  <mergeCells count="3">
    <mergeCell ref="A44:M44"/>
    <mergeCell ref="A66:B66"/>
    <mergeCell ref="D66:E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Neves, Marielli (TR Product)</dc:creator>
  <cp:keywords/>
  <dc:description/>
  <cp:lastModifiedBy/>
  <cp:revision/>
  <dcterms:created xsi:type="dcterms:W3CDTF">2024-01-23T11:37:08Z</dcterms:created>
  <dcterms:modified xsi:type="dcterms:W3CDTF">2026-08-03T11:36:51Z</dcterms:modified>
  <cp:category/>
  <cp:contentStatus/>
</cp:coreProperties>
</file>