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15" documentId="11_F7031CEFC25C30F0B4CE9B1E373B36176E014AC3" xr6:coauthVersionLast="47" xr6:coauthVersionMax="47" xr10:uidLastSave="{1EFE4F28-76DD-4D09-90FC-95B86FF16B41}"/>
  <bookViews>
    <workbookView xWindow="-108" yWindow="-108" windowWidth="23256" windowHeight="12456" xr2:uid="{00000000-000D-0000-FFFF-FFFF00000000}"/>
  </bookViews>
  <sheets>
    <sheet name="Consolidado Q1" sheetId="1" r:id="rId1"/>
    <sheet name="Descartes Mot.26" sheetId="2" r:id="rId2"/>
    <sheet name="Overvie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E16" i="1"/>
  <c r="D16" i="1"/>
</calcChain>
</file>

<file path=xl/sharedStrings.xml><?xml version="1.0" encoding="utf-8"?>
<sst xmlns="http://schemas.openxmlformats.org/spreadsheetml/2006/main" count="410" uniqueCount="93">
  <si>
    <t>ANALISE Q1 2026 - NEs FOLHA</t>
  </si>
  <si>
    <t>Fonte: indicadores.json (2026-03-23) | Metas: Diretrizes Produto 2026 - Metas.xlsx (guia Folha)</t>
  </si>
  <si>
    <t>Indicador</t>
  </si>
  <si>
    <t>Jan (10.6A-01)</t>
  </si>
  <si>
    <t>Fev (10.6A-02)</t>
  </si>
  <si>
    <t>Mar* (10.6A-03)</t>
  </si>
  <si>
    <t>Total Q1</t>
  </si>
  <si>
    <t>Delta vs Meta</t>
  </si>
  <si>
    <t>ENTRADAS DE NE</t>
  </si>
  <si>
    <t>Previsao (Diretrizes)</t>
  </si>
  <si>
    <t>-</t>
  </si>
  <si>
    <t>Realizado (bruto)</t>
  </si>
  <si>
    <t>+74</t>
  </si>
  <si>
    <t>Descartes (excl. mot. 26)</t>
  </si>
  <si>
    <t xml:space="preserve">   Reprovada</t>
  </si>
  <si>
    <t xml:space="preserve">   Prescrita</t>
  </si>
  <si>
    <t>Entrada liquida (Real - Desc excl.26)</t>
  </si>
  <si>
    <t>+30</t>
  </si>
  <si>
    <t>LIBERACOES DE NE</t>
  </si>
  <si>
    <t>Realizado</t>
  </si>
  <si>
    <t>Saldo liberacao (debito por versao)</t>
  </si>
  <si>
    <t>-58 NEs</t>
  </si>
  <si>
    <t>Atingimento (%)</t>
  </si>
  <si>
    <t>62%</t>
  </si>
  <si>
    <t>65%</t>
  </si>
  <si>
    <t>30%</t>
  </si>
  <si>
    <t>51%</t>
  </si>
  <si>
    <t>DESCARTES MOT. 26 - "Liberado em versoes anteriores"</t>
  </si>
  <si>
    <t>Qtd descartes mot. 26</t>
  </si>
  <si>
    <t>SALDOS</t>
  </si>
  <si>
    <t>Saldo versao SEM mot.26 (Ent - DescExcl26 - Lib)</t>
  </si>
  <si>
    <t>Saldo versao FINAL (Ent - DescTotal - Lib)</t>
  </si>
  <si>
    <t>Meta saldo NE (Diretrizes)</t>
  </si>
  <si>
    <t>Saldo NE real (ultimo indicador)</t>
  </si>
  <si>
    <t>* Marco: versao 10.6A-03 em andamento (encerra 23/mar/2026). Dados atualizados em 2026-03-23.</t>
  </si>
  <si>
    <t>Saldo SEM mot.26: desconsidera os descartes por "Liberado em versoes anteriores" (limpeza de backlog). Mostra o impacto real de entradas vs liberacoes.</t>
  </si>
  <si>
    <t>Saldo FINAL: considera TODOS os descartes incluindo mot.26. Variacao efetiva do saldo de NEs no periodo.</t>
  </si>
  <si>
    <t>PERIODOS DAS VERSOES (PIAZZA)</t>
  </si>
  <si>
    <t>Versao</t>
  </si>
  <si>
    <t>Mes</t>
  </si>
  <si>
    <t>Inicio</t>
  </si>
  <si>
    <t>Fim</t>
  </si>
  <si>
    <t/>
  </si>
  <si>
    <t>10.6A-01</t>
  </si>
  <si>
    <t>Janeiro</t>
  </si>
  <si>
    <t>26/dez/2025</t>
  </si>
  <si>
    <t>22/jan/2026</t>
  </si>
  <si>
    <t>10.6A-02</t>
  </si>
  <si>
    <t>Fevereiro</t>
  </si>
  <si>
    <t>24/fev/2026</t>
  </si>
  <si>
    <t>10.6A-03</t>
  </si>
  <si>
    <t>Marco*</t>
  </si>
  <si>
    <t>23/mar/2026</t>
  </si>
  <si>
    <t>DESCARTES MOTIVO 26 - "Liberado em versoes anteriores"</t>
  </si>
  <si>
    <t>Limpeza de backlog: NEs ja liberadas em versoes passadas. Total Q1: 83 NEs.</t>
  </si>
  <si>
    <t>PSAI</t>
  </si>
  <si>
    <t>SAI</t>
  </si>
  <si>
    <t>Data Descarte</t>
  </si>
  <si>
    <t>Gravidade</t>
  </si>
  <si>
    <t>Janeiro (10.6A-01) - 13 descartes mot.26 (detalhe nao disponivel no cache atual)</t>
  </si>
  <si>
    <t>2026-01-27</t>
  </si>
  <si>
    <t>Normal</t>
  </si>
  <si>
    <t>2026-02-14</t>
  </si>
  <si>
    <t>2026-02-21</t>
  </si>
  <si>
    <t>Marco</t>
  </si>
  <si>
    <t>2026-02-25</t>
  </si>
  <si>
    <t>2026-03-15</t>
  </si>
  <si>
    <t>2026-03-16</t>
  </si>
  <si>
    <t>2026-03-21</t>
  </si>
  <si>
    <t>TOTAL Q1: 83 descartes motivo 26</t>
  </si>
  <si>
    <t>OVERVIEW Q1 2026 - IMPACTO</t>
  </si>
  <si>
    <t>Meta Q1</t>
  </si>
  <si>
    <t>Realizado Q1</t>
  </si>
  <si>
    <t>Delta</t>
  </si>
  <si>
    <t>Entradas brutas</t>
  </si>
  <si>
    <t>+74 (+62%)</t>
  </si>
  <si>
    <t>Descartes (excl. mot.26)</t>
  </si>
  <si>
    <t>Entradas liquidas</t>
  </si>
  <si>
    <t>Liberacoes</t>
  </si>
  <si>
    <t>-58 (-49%)</t>
  </si>
  <si>
    <t>Debito liberacao Q1</t>
  </si>
  <si>
    <t>Descartes mot. 26 (limpeza backlog)</t>
  </si>
  <si>
    <t>Saldo versao SEM mot.26 (Ent-DescExcl26-Lib)</t>
  </si>
  <si>
    <t>Impacto real</t>
  </si>
  <si>
    <t>Saldo versao FINAL (Ent-DescTotal-Lib)</t>
  </si>
  <si>
    <t>Variacao efetiva</t>
  </si>
  <si>
    <t>PONTOS DE ATENCAO:</t>
  </si>
  <si>
    <t xml:space="preserve">  - Fevereiro: 80 entradas brutas = mais que o dobro da meta (37)</t>
  </si>
  <si>
    <t xml:space="preserve">  - Marco: 67 entradas brutas vs meta de 43 (+56%), versao ainda em andamento</t>
  </si>
  <si>
    <t xml:space="preserve">  - Liberacoes: Jan 24/39 (62%), Fev 24/37 (65%), Mar 13/43 (30%)</t>
  </si>
  <si>
    <t xml:space="preserve">  - 83 NEs descartadas por mot.26 (backlog) - Fev concentrou 39, Mar 31</t>
  </si>
  <si>
    <t xml:space="preserve">  - Sem os descartes mot.26, o saldo teria subido 88 NEs no Q1</t>
  </si>
  <si>
    <t xml:space="preserve">  - Com mot.26 incluido, saldo efetivo variou 5 NEs no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</si>
</sst>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9"/>
      <color rgb="FF888888"/>
      <name val="Calibri"/>
    </font>
    <font>
      <b/>
      <sz val="11"/>
      <color rgb="FFFFFFFF"/>
      <name val="Calibri"/>
    </font>
    <font>
      <b/>
      <sz val="11"/>
      <color rgb="FF1B2A4A"/>
      <name val="Calibri"/>
    </font>
    <font>
      <sz val="10"/>
      <name val="Calibri"/>
    </font>
    <font>
      <sz val="10"/>
      <color rgb="FFC0392B"/>
      <name val="Calibri"/>
    </font>
    <font>
      <b/>
      <sz val="10"/>
      <name val="Calibri"/>
    </font>
    <font>
      <b/>
      <sz val="11"/>
      <color rgb="FFC0392B"/>
      <name val="Calibri"/>
    </font>
    <font>
      <b/>
      <sz val="11"/>
      <color rgb="FF7B2D8E"/>
      <name val="Calibri"/>
    </font>
    <font>
      <b/>
      <sz val="11"/>
      <name val="Calibri"/>
    </font>
    <font>
      <i/>
      <sz val="10"/>
      <color rgb="FF888888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2F2F2"/>
      </patternFill>
    </fill>
    <fill>
      <patternFill patternType="solid">
        <fgColor rgb="FF2E5090"/>
      </patternFill>
    </fill>
    <fill>
      <patternFill patternType="solid">
        <fgColor rgb="FFD6E4F0"/>
      </patternFill>
    </fill>
    <fill>
      <patternFill patternType="solid">
        <fgColor rgb="FFFDF2E9"/>
      </patternFill>
    </fill>
    <fill>
      <patternFill patternType="solid">
        <fgColor rgb="FFFCE4EC"/>
      </patternFill>
    </fill>
    <fill>
      <patternFill patternType="solid">
        <fgColor rgb="FFF3E5F5"/>
      </patternFill>
    </fill>
    <fill>
      <patternFill patternType="solid">
        <fgColor rgb="FFE2EFDA"/>
      </patternFill>
    </fill>
    <fill>
      <patternFill patternType="solid">
        <fgColor rgb="FF7B2D8E"/>
      </patternFill>
    </fill>
    <fill>
      <patternFill patternType="solid">
        <fgColor rgb="FFC0392B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6" borderId="1" xfId="0" applyFont="1" applyFill="1" applyBorder="1"/>
    <xf numFmtId="0" fontId="5" fillId="6" borderId="1" xfId="0" applyFont="1" applyFill="1" applyBorder="1" applyAlignment="1">
      <alignment horizontal="center"/>
    </xf>
    <xf numFmtId="0" fontId="5" fillId="0" borderId="1" xfId="0" applyFont="1" applyBorder="1" applyAlignment="1">
      <alignment indent="2"/>
    </xf>
    <xf numFmtId="0" fontId="7" fillId="7" borderId="1" xfId="0" applyFont="1" applyFill="1" applyBorder="1"/>
    <xf numFmtId="0" fontId="8" fillId="7" borderId="1" xfId="0" applyFont="1" applyFill="1" applyBorder="1" applyAlignment="1">
      <alignment horizontal="center"/>
    </xf>
    <xf numFmtId="0" fontId="7" fillId="0" borderId="1" xfId="0" applyFont="1" applyBorder="1"/>
    <xf numFmtId="0" fontId="8" fillId="0" borderId="1" xfId="0" applyFont="1" applyBorder="1" applyAlignment="1">
      <alignment horizontal="center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7" fillId="8" borderId="1" xfId="0" applyFont="1" applyFill="1" applyBorder="1"/>
    <xf numFmtId="0" fontId="9" fillId="8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7" fillId="9" borderId="1" xfId="0" applyFont="1" applyFill="1" applyBorder="1"/>
    <xf numFmtId="0" fontId="10" fillId="9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3" fillId="10" borderId="1" xfId="0" applyFont="1" applyFill="1" applyBorder="1"/>
    <xf numFmtId="0" fontId="3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10" fillId="7" borderId="1" xfId="0" applyFont="1" applyFill="1" applyBorder="1" applyAlignment="1">
      <alignment horizontal="left"/>
    </xf>
    <xf numFmtId="0" fontId="10" fillId="7" borderId="1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10" fillId="0" borderId="0" xfId="0" applyFont="1"/>
    <xf numFmtId="0" fontId="5" fillId="0" borderId="0" xfId="0" applyFon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4" fillId="5" borderId="1" xfId="0" applyFont="1" applyFill="1" applyBorder="1"/>
    <xf numFmtId="0" fontId="4" fillId="8" borderId="1" xfId="0" applyFont="1" applyFill="1" applyBorder="1"/>
    <xf numFmtId="0" fontId="2" fillId="0" borderId="0" xfId="0" applyFont="1"/>
    <xf numFmtId="0" fontId="4" fillId="3" borderId="0" xfId="0" applyFont="1" applyFill="1"/>
    <xf numFmtId="0" fontId="1" fillId="10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1" fillId="11" borderId="0" xfId="0" applyFont="1" applyFill="1" applyAlignment="1">
      <alignment horizontal="center" vertical="center"/>
    </xf>
    <xf numFmtId="0" fontId="6" fillId="0" borderId="2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5090"/>
  </sheetPr>
  <dimension ref="A1:G36"/>
  <sheetViews>
    <sheetView tabSelected="1" topLeftCell="A2" workbookViewId="0">
      <selection activeCell="G15" sqref="G7:G15"/>
    </sheetView>
  </sheetViews>
  <sheetFormatPr defaultRowHeight="15" x14ac:dyDescent="0.25"/>
  <cols>
    <col min="1" max="1" width="45" customWidth="1"/>
    <col min="2" max="4" width="20" customWidth="1"/>
    <col min="5" max="6" width="18" customWidth="1"/>
  </cols>
  <sheetData>
    <row r="1" spans="1:7" ht="32.1" customHeight="1" x14ac:dyDescent="0.25">
      <c r="A1" s="31" t="s">
        <v>0</v>
      </c>
      <c r="B1" s="31"/>
      <c r="C1" s="31"/>
      <c r="D1" s="31"/>
      <c r="E1" s="31"/>
      <c r="F1" s="31"/>
    </row>
    <row r="2" spans="1:7" x14ac:dyDescent="0.25">
      <c r="A2" s="32" t="s">
        <v>1</v>
      </c>
      <c r="B2" s="32"/>
      <c r="C2" s="32"/>
      <c r="D2" s="32"/>
      <c r="E2" s="32"/>
      <c r="F2" s="32"/>
    </row>
    <row r="4" spans="1:7" ht="27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7" x14ac:dyDescent="0.25">
      <c r="A5" s="33" t="s">
        <v>8</v>
      </c>
      <c r="B5" s="33"/>
      <c r="C5" s="33"/>
      <c r="D5" s="33"/>
      <c r="E5" s="33"/>
      <c r="F5" s="33"/>
    </row>
    <row r="6" spans="1:7" x14ac:dyDescent="0.25">
      <c r="A6" s="2" t="s">
        <v>9</v>
      </c>
      <c r="B6" s="3">
        <v>39</v>
      </c>
      <c r="C6" s="3">
        <v>37</v>
      </c>
      <c r="D6" s="3">
        <v>43</v>
      </c>
      <c r="E6" s="44">
        <v>119</v>
      </c>
      <c r="F6" s="3" t="s">
        <v>10</v>
      </c>
    </row>
    <row r="7" spans="1:7" x14ac:dyDescent="0.25">
      <c r="A7" s="2" t="s">
        <v>11</v>
      </c>
      <c r="B7" s="4">
        <v>45</v>
      </c>
      <c r="C7" s="4">
        <v>80</v>
      </c>
      <c r="D7" s="4">
        <v>68</v>
      </c>
      <c r="E7" s="4">
        <v>193</v>
      </c>
      <c r="F7" s="4" t="s">
        <v>12</v>
      </c>
      <c r="G7" s="42">
        <v>30</v>
      </c>
    </row>
    <row r="8" spans="1:7" x14ac:dyDescent="0.25">
      <c r="A8" s="5" t="s">
        <v>13</v>
      </c>
      <c r="B8" s="6">
        <v>12</v>
      </c>
      <c r="C8" s="6">
        <v>18</v>
      </c>
      <c r="D8" s="6">
        <v>14</v>
      </c>
      <c r="E8" s="6">
        <v>44</v>
      </c>
      <c r="F8" s="6" t="s">
        <v>10</v>
      </c>
    </row>
    <row r="9" spans="1:7" x14ac:dyDescent="0.25">
      <c r="A9" s="7" t="s">
        <v>14</v>
      </c>
      <c r="B9" s="3">
        <v>12</v>
      </c>
      <c r="C9" s="3">
        <v>17</v>
      </c>
      <c r="D9" s="3">
        <v>14</v>
      </c>
      <c r="E9" s="3">
        <v>43</v>
      </c>
      <c r="F9" s="3" t="s">
        <v>10</v>
      </c>
    </row>
    <row r="10" spans="1:7" x14ac:dyDescent="0.25">
      <c r="A10" s="7" t="s">
        <v>15</v>
      </c>
      <c r="B10" s="3">
        <v>0</v>
      </c>
      <c r="C10" s="3">
        <v>1</v>
      </c>
      <c r="D10" s="3">
        <v>0</v>
      </c>
      <c r="E10" s="3">
        <v>1</v>
      </c>
      <c r="F10" s="3" t="s">
        <v>10</v>
      </c>
    </row>
    <row r="11" spans="1:7" x14ac:dyDescent="0.25">
      <c r="A11" s="8" t="s">
        <v>16</v>
      </c>
      <c r="B11" s="9">
        <v>33</v>
      </c>
      <c r="C11" s="9">
        <v>62</v>
      </c>
      <c r="D11" s="9">
        <v>54</v>
      </c>
      <c r="E11" s="45">
        <v>149</v>
      </c>
      <c r="F11" s="9" t="s">
        <v>17</v>
      </c>
    </row>
    <row r="13" spans="1:7" x14ac:dyDescent="0.25">
      <c r="A13" s="33" t="s">
        <v>18</v>
      </c>
      <c r="B13" s="33"/>
      <c r="C13" s="33"/>
      <c r="D13" s="33"/>
      <c r="E13" s="33"/>
      <c r="F13" s="33"/>
    </row>
    <row r="14" spans="1:7" x14ac:dyDescent="0.25">
      <c r="A14" s="2" t="s">
        <v>9</v>
      </c>
      <c r="B14" s="3">
        <v>39</v>
      </c>
      <c r="C14" s="3">
        <v>37</v>
      </c>
      <c r="D14" s="3">
        <v>43</v>
      </c>
      <c r="E14" s="44">
        <v>119</v>
      </c>
      <c r="F14" s="3" t="s">
        <v>10</v>
      </c>
    </row>
    <row r="15" spans="1:7" x14ac:dyDescent="0.25">
      <c r="A15" s="10" t="s">
        <v>19</v>
      </c>
      <c r="B15" s="11">
        <v>24</v>
      </c>
      <c r="C15" s="11">
        <v>24</v>
      </c>
      <c r="D15" s="11">
        <v>27</v>
      </c>
      <c r="E15" s="45">
        <v>75</v>
      </c>
      <c r="F15" s="11">
        <f>B15+C15+D15</f>
        <v>75</v>
      </c>
      <c r="G15" s="43">
        <v>44</v>
      </c>
    </row>
    <row r="16" spans="1:7" x14ac:dyDescent="0.25">
      <c r="A16" s="8" t="s">
        <v>20</v>
      </c>
      <c r="B16" s="9">
        <v>-15</v>
      </c>
      <c r="C16" s="9">
        <v>-13</v>
      </c>
      <c r="D16" s="9">
        <f>D15-D14</f>
        <v>-16</v>
      </c>
      <c r="E16" s="9">
        <f>B16+C16+D16</f>
        <v>-44</v>
      </c>
      <c r="F16" s="9">
        <v>44</v>
      </c>
    </row>
    <row r="17" spans="1:7" x14ac:dyDescent="0.25">
      <c r="A17" s="12" t="s">
        <v>22</v>
      </c>
      <c r="B17" s="13" t="s">
        <v>23</v>
      </c>
      <c r="C17" s="13" t="s">
        <v>24</v>
      </c>
      <c r="D17" s="13" t="s">
        <v>25</v>
      </c>
      <c r="E17" s="13" t="s">
        <v>26</v>
      </c>
      <c r="F17" s="13" t="s">
        <v>10</v>
      </c>
    </row>
    <row r="19" spans="1:7" x14ac:dyDescent="0.25">
      <c r="A19" s="34" t="s">
        <v>27</v>
      </c>
      <c r="B19" s="34"/>
      <c r="C19" s="34"/>
      <c r="D19" s="34"/>
      <c r="E19" s="34"/>
      <c r="F19" s="34"/>
    </row>
    <row r="20" spans="1:7" x14ac:dyDescent="0.25">
      <c r="A20" s="14" t="s">
        <v>28</v>
      </c>
      <c r="B20" s="15">
        <v>13</v>
      </c>
      <c r="C20" s="15">
        <v>39</v>
      </c>
      <c r="D20" s="15">
        <v>31</v>
      </c>
      <c r="E20" s="15">
        <v>83</v>
      </c>
      <c r="F20" s="15" t="s">
        <v>10</v>
      </c>
      <c r="G20" s="46">
        <v>83</v>
      </c>
    </row>
    <row r="22" spans="1:7" x14ac:dyDescent="0.25">
      <c r="A22" s="33" t="s">
        <v>29</v>
      </c>
      <c r="B22" s="33"/>
      <c r="C22" s="33"/>
      <c r="D22" s="33"/>
      <c r="E22" s="33"/>
      <c r="F22" s="33"/>
    </row>
    <row r="23" spans="1:7" x14ac:dyDescent="0.25">
      <c r="A23" s="10" t="s">
        <v>30</v>
      </c>
      <c r="B23" s="16">
        <v>9</v>
      </c>
      <c r="C23" s="16">
        <v>38</v>
      </c>
      <c r="D23" s="16">
        <v>41</v>
      </c>
      <c r="E23" s="16">
        <v>88</v>
      </c>
      <c r="F23" s="16" t="s">
        <v>10</v>
      </c>
    </row>
    <row r="24" spans="1:7" x14ac:dyDescent="0.25">
      <c r="A24" s="17" t="s">
        <v>31</v>
      </c>
      <c r="B24" s="18">
        <v>-4</v>
      </c>
      <c r="C24" s="18">
        <v>-1</v>
      </c>
      <c r="D24" s="18">
        <v>10</v>
      </c>
      <c r="E24" s="18">
        <v>5</v>
      </c>
      <c r="F24" s="18" t="s">
        <v>10</v>
      </c>
    </row>
    <row r="25" spans="1:7" x14ac:dyDescent="0.25">
      <c r="A25" s="2" t="s">
        <v>32</v>
      </c>
      <c r="B25" s="3">
        <v>301</v>
      </c>
      <c r="C25" s="3">
        <v>301</v>
      </c>
      <c r="D25" s="3">
        <v>301</v>
      </c>
      <c r="E25" s="3" t="s">
        <v>10</v>
      </c>
      <c r="F25" s="3" t="s">
        <v>10</v>
      </c>
    </row>
    <row r="26" spans="1:7" x14ac:dyDescent="0.25">
      <c r="A26" s="10" t="s">
        <v>33</v>
      </c>
      <c r="B26" s="16" t="s">
        <v>10</v>
      </c>
      <c r="C26" s="16">
        <v>297</v>
      </c>
      <c r="D26" s="16">
        <v>307</v>
      </c>
      <c r="E26" s="16" t="s">
        <v>10</v>
      </c>
      <c r="F26" s="16" t="s">
        <v>10</v>
      </c>
    </row>
    <row r="28" spans="1:7" x14ac:dyDescent="0.25">
      <c r="A28" s="35" t="s">
        <v>34</v>
      </c>
      <c r="B28" s="35"/>
      <c r="C28" s="35"/>
      <c r="D28" s="35"/>
      <c r="E28" s="35"/>
      <c r="F28" s="35"/>
    </row>
    <row r="29" spans="1:7" x14ac:dyDescent="0.25">
      <c r="A29" s="35" t="s">
        <v>35</v>
      </c>
      <c r="B29" s="35"/>
      <c r="C29" s="35"/>
      <c r="D29" s="35"/>
      <c r="E29" s="35"/>
      <c r="F29" s="35"/>
    </row>
    <row r="30" spans="1:7" x14ac:dyDescent="0.25">
      <c r="A30" s="35" t="s">
        <v>36</v>
      </c>
      <c r="B30" s="35"/>
      <c r="C30" s="35"/>
      <c r="D30" s="35"/>
      <c r="E30" s="35"/>
      <c r="F30" s="35"/>
    </row>
    <row r="32" spans="1:7" x14ac:dyDescent="0.25">
      <c r="A32" s="36" t="s">
        <v>37</v>
      </c>
      <c r="B32" s="36"/>
      <c r="C32" s="36"/>
      <c r="D32" s="36"/>
      <c r="E32" s="36"/>
      <c r="F32" s="36"/>
    </row>
    <row r="33" spans="1:6" x14ac:dyDescent="0.25">
      <c r="A33" s="19" t="s">
        <v>38</v>
      </c>
      <c r="B33" s="19" t="s">
        <v>39</v>
      </c>
      <c r="C33" s="19" t="s">
        <v>40</v>
      </c>
      <c r="D33" s="19" t="s">
        <v>41</v>
      </c>
      <c r="E33" s="19" t="s">
        <v>42</v>
      </c>
      <c r="F33" s="19" t="s">
        <v>42</v>
      </c>
    </row>
    <row r="34" spans="1:6" x14ac:dyDescent="0.25">
      <c r="A34" s="3" t="s">
        <v>43</v>
      </c>
      <c r="B34" s="3" t="s">
        <v>44</v>
      </c>
      <c r="C34" s="3" t="s">
        <v>45</v>
      </c>
      <c r="D34" s="3" t="s">
        <v>46</v>
      </c>
    </row>
    <row r="35" spans="1:6" x14ac:dyDescent="0.25">
      <c r="A35" s="3" t="s">
        <v>47</v>
      </c>
      <c r="B35" s="3" t="s">
        <v>48</v>
      </c>
      <c r="C35" s="3" t="s">
        <v>46</v>
      </c>
      <c r="D35" s="3" t="s">
        <v>49</v>
      </c>
    </row>
    <row r="36" spans="1:6" x14ac:dyDescent="0.25">
      <c r="A36" s="3" t="s">
        <v>50</v>
      </c>
      <c r="B36" s="3" t="s">
        <v>51</v>
      </c>
      <c r="C36" s="3" t="s">
        <v>49</v>
      </c>
      <c r="D36" s="3" t="s">
        <v>52</v>
      </c>
    </row>
  </sheetData>
  <mergeCells count="10">
    <mergeCell ref="A22:F22"/>
    <mergeCell ref="A28:F28"/>
    <mergeCell ref="A29:F29"/>
    <mergeCell ref="A30:F30"/>
    <mergeCell ref="A32:F32"/>
    <mergeCell ref="A1:F1"/>
    <mergeCell ref="A2:F2"/>
    <mergeCell ref="A5:F5"/>
    <mergeCell ref="A13:F13"/>
    <mergeCell ref="A19:F19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B2D8E"/>
  </sheetPr>
  <dimension ref="A1:F76"/>
  <sheetViews>
    <sheetView workbookViewId="0"/>
  </sheetViews>
  <sheetFormatPr defaultRowHeight="15" x14ac:dyDescent="0.25"/>
  <cols>
    <col min="1" max="1" width="16" customWidth="1"/>
    <col min="2" max="2" width="14" customWidth="1"/>
    <col min="3" max="4" width="12" customWidth="1"/>
    <col min="5" max="5" width="18" customWidth="1"/>
    <col min="6" max="6" width="14" customWidth="1"/>
  </cols>
  <sheetData>
    <row r="1" spans="1:6" ht="32.1" customHeight="1" x14ac:dyDescent="0.25">
      <c r="A1" s="37" t="s">
        <v>53</v>
      </c>
      <c r="B1" s="37"/>
      <c r="C1" s="37"/>
      <c r="D1" s="37"/>
      <c r="E1" s="37"/>
      <c r="F1" s="37"/>
    </row>
    <row r="2" spans="1:6" ht="27.95" customHeight="1" x14ac:dyDescent="0.25">
      <c r="A2" s="38" t="s">
        <v>54</v>
      </c>
      <c r="B2" s="38"/>
      <c r="C2" s="38"/>
      <c r="D2" s="38"/>
      <c r="E2" s="38"/>
      <c r="F2" s="38"/>
    </row>
    <row r="4" spans="1:6" x14ac:dyDescent="0.25">
      <c r="A4" s="20" t="s">
        <v>38</v>
      </c>
      <c r="B4" s="20" t="s">
        <v>39</v>
      </c>
      <c r="C4" s="20" t="s">
        <v>55</v>
      </c>
      <c r="D4" s="20" t="s">
        <v>56</v>
      </c>
      <c r="E4" s="20" t="s">
        <v>57</v>
      </c>
      <c r="F4" s="20" t="s">
        <v>58</v>
      </c>
    </row>
    <row r="5" spans="1:6" x14ac:dyDescent="0.25">
      <c r="A5" s="39" t="s">
        <v>59</v>
      </c>
      <c r="B5" s="39"/>
      <c r="C5" s="39"/>
      <c r="D5" s="39"/>
      <c r="E5" s="39"/>
      <c r="F5" s="39"/>
    </row>
    <row r="6" spans="1:6" x14ac:dyDescent="0.25">
      <c r="A6" s="21" t="s">
        <v>47</v>
      </c>
      <c r="B6" s="21" t="s">
        <v>48</v>
      </c>
      <c r="C6" s="21">
        <v>119734</v>
      </c>
      <c r="D6" s="21">
        <v>94896</v>
      </c>
      <c r="E6" s="21" t="s">
        <v>60</v>
      </c>
      <c r="F6" s="21" t="s">
        <v>61</v>
      </c>
    </row>
    <row r="7" spans="1:6" x14ac:dyDescent="0.25">
      <c r="A7" s="21" t="s">
        <v>47</v>
      </c>
      <c r="B7" s="21" t="s">
        <v>48</v>
      </c>
      <c r="C7" s="21">
        <v>91810</v>
      </c>
      <c r="D7" s="21">
        <v>78239</v>
      </c>
      <c r="E7" s="21" t="s">
        <v>62</v>
      </c>
      <c r="F7" s="21" t="s">
        <v>61</v>
      </c>
    </row>
    <row r="8" spans="1:6" x14ac:dyDescent="0.25">
      <c r="A8" s="21" t="s">
        <v>47</v>
      </c>
      <c r="B8" s="21" t="s">
        <v>48</v>
      </c>
      <c r="C8" s="21">
        <v>107425</v>
      </c>
      <c r="D8" s="21">
        <v>87303</v>
      </c>
      <c r="E8" s="21" t="s">
        <v>62</v>
      </c>
      <c r="F8" s="21" t="s">
        <v>61</v>
      </c>
    </row>
    <row r="9" spans="1:6" x14ac:dyDescent="0.25">
      <c r="A9" s="21" t="s">
        <v>47</v>
      </c>
      <c r="B9" s="21" t="s">
        <v>48</v>
      </c>
      <c r="C9" s="21">
        <v>107738</v>
      </c>
      <c r="D9" s="21">
        <v>87901</v>
      </c>
      <c r="E9" s="21" t="s">
        <v>62</v>
      </c>
      <c r="F9" s="21" t="s">
        <v>61</v>
      </c>
    </row>
    <row r="10" spans="1:6" x14ac:dyDescent="0.25">
      <c r="A10" s="21" t="s">
        <v>47</v>
      </c>
      <c r="B10" s="21" t="s">
        <v>48</v>
      </c>
      <c r="C10" s="21">
        <v>107833</v>
      </c>
      <c r="D10" s="21">
        <v>87969</v>
      </c>
      <c r="E10" s="21" t="s">
        <v>62</v>
      </c>
      <c r="F10" s="21" t="s">
        <v>61</v>
      </c>
    </row>
    <row r="11" spans="1:6" x14ac:dyDescent="0.25">
      <c r="A11" s="21" t="s">
        <v>47</v>
      </c>
      <c r="B11" s="21" t="s">
        <v>48</v>
      </c>
      <c r="C11" s="21">
        <v>108096</v>
      </c>
      <c r="D11" s="21">
        <v>89418</v>
      </c>
      <c r="E11" s="21" t="s">
        <v>62</v>
      </c>
      <c r="F11" s="21" t="s">
        <v>61</v>
      </c>
    </row>
    <row r="12" spans="1:6" x14ac:dyDescent="0.25">
      <c r="A12" s="21" t="s">
        <v>47</v>
      </c>
      <c r="B12" s="21" t="s">
        <v>48</v>
      </c>
      <c r="C12" s="21">
        <v>109769</v>
      </c>
      <c r="D12" s="21">
        <v>87978</v>
      </c>
      <c r="E12" s="21" t="s">
        <v>62</v>
      </c>
      <c r="F12" s="21" t="s">
        <v>61</v>
      </c>
    </row>
    <row r="13" spans="1:6" x14ac:dyDescent="0.25">
      <c r="A13" s="21" t="s">
        <v>47</v>
      </c>
      <c r="B13" s="21" t="s">
        <v>48</v>
      </c>
      <c r="C13" s="21">
        <v>109993</v>
      </c>
      <c r="D13" s="21">
        <v>87344</v>
      </c>
      <c r="E13" s="21" t="s">
        <v>62</v>
      </c>
      <c r="F13" s="21" t="s">
        <v>61</v>
      </c>
    </row>
    <row r="14" spans="1:6" x14ac:dyDescent="0.25">
      <c r="A14" s="21" t="s">
        <v>47</v>
      </c>
      <c r="B14" s="21" t="s">
        <v>48</v>
      </c>
      <c r="C14" s="21">
        <v>110087</v>
      </c>
      <c r="D14" s="21">
        <v>87285</v>
      </c>
      <c r="E14" s="21" t="s">
        <v>62</v>
      </c>
      <c r="F14" s="21" t="s">
        <v>61</v>
      </c>
    </row>
    <row r="15" spans="1:6" x14ac:dyDescent="0.25">
      <c r="A15" s="21" t="s">
        <v>47</v>
      </c>
      <c r="B15" s="21" t="s">
        <v>48</v>
      </c>
      <c r="C15" s="21">
        <v>110369</v>
      </c>
      <c r="D15" s="21">
        <v>87854</v>
      </c>
      <c r="E15" s="21" t="s">
        <v>62</v>
      </c>
      <c r="F15" s="21" t="s">
        <v>61</v>
      </c>
    </row>
    <row r="16" spans="1:6" x14ac:dyDescent="0.25">
      <c r="A16" s="21" t="s">
        <v>47</v>
      </c>
      <c r="B16" s="21" t="s">
        <v>48</v>
      </c>
      <c r="C16" s="21">
        <v>110428</v>
      </c>
      <c r="D16" s="21">
        <v>87932</v>
      </c>
      <c r="E16" s="21" t="s">
        <v>62</v>
      </c>
      <c r="F16" s="21" t="s">
        <v>61</v>
      </c>
    </row>
    <row r="17" spans="1:6" x14ac:dyDescent="0.25">
      <c r="A17" s="21" t="s">
        <v>47</v>
      </c>
      <c r="B17" s="21" t="s">
        <v>48</v>
      </c>
      <c r="C17" s="21">
        <v>110601</v>
      </c>
      <c r="D17" s="21">
        <v>87418</v>
      </c>
      <c r="E17" s="21" t="s">
        <v>62</v>
      </c>
      <c r="F17" s="21" t="s">
        <v>61</v>
      </c>
    </row>
    <row r="18" spans="1:6" x14ac:dyDescent="0.25">
      <c r="A18" s="21" t="s">
        <v>47</v>
      </c>
      <c r="B18" s="21" t="s">
        <v>48</v>
      </c>
      <c r="C18" s="21">
        <v>111013</v>
      </c>
      <c r="D18" s="21">
        <v>87585</v>
      </c>
      <c r="E18" s="21" t="s">
        <v>62</v>
      </c>
      <c r="F18" s="21" t="s">
        <v>61</v>
      </c>
    </row>
    <row r="19" spans="1:6" x14ac:dyDescent="0.25">
      <c r="A19" s="21" t="s">
        <v>47</v>
      </c>
      <c r="B19" s="21" t="s">
        <v>48</v>
      </c>
      <c r="C19" s="21">
        <v>111092</v>
      </c>
      <c r="D19" s="21">
        <v>87939</v>
      </c>
      <c r="E19" s="21" t="s">
        <v>62</v>
      </c>
      <c r="F19" s="21" t="s">
        <v>61</v>
      </c>
    </row>
    <row r="20" spans="1:6" x14ac:dyDescent="0.25">
      <c r="A20" s="21" t="s">
        <v>47</v>
      </c>
      <c r="B20" s="21" t="s">
        <v>48</v>
      </c>
      <c r="C20" s="21">
        <v>111764</v>
      </c>
      <c r="D20" s="21">
        <v>88357</v>
      </c>
      <c r="E20" s="21" t="s">
        <v>62</v>
      </c>
      <c r="F20" s="21" t="s">
        <v>61</v>
      </c>
    </row>
    <row r="21" spans="1:6" x14ac:dyDescent="0.25">
      <c r="A21" s="21" t="s">
        <v>47</v>
      </c>
      <c r="B21" s="21" t="s">
        <v>48</v>
      </c>
      <c r="C21" s="21">
        <v>111898</v>
      </c>
      <c r="D21" s="21">
        <v>88352</v>
      </c>
      <c r="E21" s="21" t="s">
        <v>62</v>
      </c>
      <c r="F21" s="21" t="s">
        <v>61</v>
      </c>
    </row>
    <row r="22" spans="1:6" x14ac:dyDescent="0.25">
      <c r="A22" s="21" t="s">
        <v>47</v>
      </c>
      <c r="B22" s="21" t="s">
        <v>48</v>
      </c>
      <c r="C22" s="21">
        <v>112054</v>
      </c>
      <c r="D22" s="21">
        <v>88677</v>
      </c>
      <c r="E22" s="21" t="s">
        <v>62</v>
      </c>
      <c r="F22" s="21" t="s">
        <v>61</v>
      </c>
    </row>
    <row r="23" spans="1:6" x14ac:dyDescent="0.25">
      <c r="A23" s="21" t="s">
        <v>47</v>
      </c>
      <c r="B23" s="21" t="s">
        <v>48</v>
      </c>
      <c r="C23" s="21">
        <v>112151</v>
      </c>
      <c r="D23" s="21">
        <v>88704</v>
      </c>
      <c r="E23" s="21" t="s">
        <v>62</v>
      </c>
      <c r="F23" s="21" t="s">
        <v>61</v>
      </c>
    </row>
    <row r="24" spans="1:6" x14ac:dyDescent="0.25">
      <c r="A24" s="21" t="s">
        <v>47</v>
      </c>
      <c r="B24" s="21" t="s">
        <v>48</v>
      </c>
      <c r="C24" s="21">
        <v>112190</v>
      </c>
      <c r="D24" s="21">
        <v>88518</v>
      </c>
      <c r="E24" s="21" t="s">
        <v>62</v>
      </c>
      <c r="F24" s="21" t="s">
        <v>61</v>
      </c>
    </row>
    <row r="25" spans="1:6" x14ac:dyDescent="0.25">
      <c r="A25" s="21" t="s">
        <v>47</v>
      </c>
      <c r="B25" s="21" t="s">
        <v>48</v>
      </c>
      <c r="C25" s="21">
        <v>112834</v>
      </c>
      <c r="D25" s="21">
        <v>89164</v>
      </c>
      <c r="E25" s="21" t="s">
        <v>62</v>
      </c>
      <c r="F25" s="21" t="s">
        <v>61</v>
      </c>
    </row>
    <row r="26" spans="1:6" x14ac:dyDescent="0.25">
      <c r="A26" s="21" t="s">
        <v>47</v>
      </c>
      <c r="B26" s="21" t="s">
        <v>48</v>
      </c>
      <c r="C26" s="21">
        <v>97403</v>
      </c>
      <c r="D26" s="21">
        <v>82114</v>
      </c>
      <c r="E26" s="21" t="s">
        <v>63</v>
      </c>
      <c r="F26" s="21" t="s">
        <v>61</v>
      </c>
    </row>
    <row r="27" spans="1:6" x14ac:dyDescent="0.25">
      <c r="A27" s="21" t="s">
        <v>47</v>
      </c>
      <c r="B27" s="21" t="s">
        <v>48</v>
      </c>
      <c r="C27" s="21">
        <v>106813</v>
      </c>
      <c r="D27" s="21">
        <v>87959</v>
      </c>
      <c r="E27" s="21" t="s">
        <v>63</v>
      </c>
      <c r="F27" s="21" t="s">
        <v>61</v>
      </c>
    </row>
    <row r="28" spans="1:6" x14ac:dyDescent="0.25">
      <c r="A28" s="21" t="s">
        <v>47</v>
      </c>
      <c r="B28" s="21" t="s">
        <v>48</v>
      </c>
      <c r="C28" s="21">
        <v>99253</v>
      </c>
      <c r="D28" s="21">
        <v>80801</v>
      </c>
      <c r="E28" s="21" t="s">
        <v>63</v>
      </c>
      <c r="F28" s="21" t="s">
        <v>61</v>
      </c>
    </row>
    <row r="29" spans="1:6" x14ac:dyDescent="0.25">
      <c r="A29" s="21" t="s">
        <v>47</v>
      </c>
      <c r="B29" s="21" t="s">
        <v>48</v>
      </c>
      <c r="C29" s="21">
        <v>107088</v>
      </c>
      <c r="D29" s="21">
        <v>86945</v>
      </c>
      <c r="E29" s="21" t="s">
        <v>63</v>
      </c>
      <c r="F29" s="21" t="s">
        <v>61</v>
      </c>
    </row>
    <row r="30" spans="1:6" x14ac:dyDescent="0.25">
      <c r="A30" s="21" t="s">
        <v>47</v>
      </c>
      <c r="B30" s="21" t="s">
        <v>48</v>
      </c>
      <c r="C30" s="21">
        <v>109981</v>
      </c>
      <c r="D30" s="21">
        <v>87167</v>
      </c>
      <c r="E30" s="21" t="s">
        <v>63</v>
      </c>
      <c r="F30" s="21" t="s">
        <v>61</v>
      </c>
    </row>
    <row r="31" spans="1:6" x14ac:dyDescent="0.25">
      <c r="A31" s="21" t="s">
        <v>47</v>
      </c>
      <c r="B31" s="21" t="s">
        <v>48</v>
      </c>
      <c r="C31" s="21">
        <v>111011</v>
      </c>
      <c r="D31" s="21">
        <v>87800</v>
      </c>
      <c r="E31" s="21" t="s">
        <v>63</v>
      </c>
      <c r="F31" s="21" t="s">
        <v>61</v>
      </c>
    </row>
    <row r="32" spans="1:6" x14ac:dyDescent="0.25">
      <c r="A32" s="21" t="s">
        <v>47</v>
      </c>
      <c r="B32" s="21" t="s">
        <v>48</v>
      </c>
      <c r="C32" s="21">
        <v>111824</v>
      </c>
      <c r="D32" s="21">
        <v>88660</v>
      </c>
      <c r="E32" s="21" t="s">
        <v>63</v>
      </c>
      <c r="F32" s="21" t="s">
        <v>61</v>
      </c>
    </row>
    <row r="33" spans="1:6" x14ac:dyDescent="0.25">
      <c r="A33" s="21" t="s">
        <v>47</v>
      </c>
      <c r="B33" s="21" t="s">
        <v>48</v>
      </c>
      <c r="C33" s="21">
        <v>112398</v>
      </c>
      <c r="D33" s="21">
        <v>88661</v>
      </c>
      <c r="E33" s="21" t="s">
        <v>63</v>
      </c>
      <c r="F33" s="21" t="s">
        <v>61</v>
      </c>
    </row>
    <row r="34" spans="1:6" x14ac:dyDescent="0.25">
      <c r="A34" s="21" t="s">
        <v>47</v>
      </c>
      <c r="B34" s="21" t="s">
        <v>48</v>
      </c>
      <c r="C34" s="21">
        <v>110684</v>
      </c>
      <c r="D34" s="21">
        <v>87480</v>
      </c>
      <c r="E34" s="21" t="s">
        <v>63</v>
      </c>
      <c r="F34" s="21" t="s">
        <v>61</v>
      </c>
    </row>
    <row r="35" spans="1:6" x14ac:dyDescent="0.25">
      <c r="A35" s="21" t="s">
        <v>47</v>
      </c>
      <c r="B35" s="21" t="s">
        <v>48</v>
      </c>
      <c r="C35" s="21">
        <v>112925</v>
      </c>
      <c r="D35" s="21">
        <v>90527</v>
      </c>
      <c r="E35" s="21" t="s">
        <v>63</v>
      </c>
      <c r="F35" s="21" t="s">
        <v>61</v>
      </c>
    </row>
    <row r="36" spans="1:6" x14ac:dyDescent="0.25">
      <c r="A36" s="21" t="s">
        <v>47</v>
      </c>
      <c r="B36" s="21" t="s">
        <v>48</v>
      </c>
      <c r="C36" s="21">
        <v>112961</v>
      </c>
      <c r="D36" s="21">
        <v>89937</v>
      </c>
      <c r="E36" s="21" t="s">
        <v>63</v>
      </c>
      <c r="F36" s="21" t="s">
        <v>61</v>
      </c>
    </row>
    <row r="37" spans="1:6" x14ac:dyDescent="0.25">
      <c r="A37" s="21" t="s">
        <v>47</v>
      </c>
      <c r="B37" s="21" t="s">
        <v>48</v>
      </c>
      <c r="C37" s="21">
        <v>112995</v>
      </c>
      <c r="D37" s="21">
        <v>89346</v>
      </c>
      <c r="E37" s="21" t="s">
        <v>63</v>
      </c>
      <c r="F37" s="21" t="s">
        <v>61</v>
      </c>
    </row>
    <row r="38" spans="1:6" x14ac:dyDescent="0.25">
      <c r="A38" s="21" t="s">
        <v>47</v>
      </c>
      <c r="B38" s="21" t="s">
        <v>48</v>
      </c>
      <c r="C38" s="21">
        <v>113393</v>
      </c>
      <c r="D38" s="21">
        <v>90485</v>
      </c>
      <c r="E38" s="21" t="s">
        <v>63</v>
      </c>
      <c r="F38" s="21" t="s">
        <v>61</v>
      </c>
    </row>
    <row r="39" spans="1:6" x14ac:dyDescent="0.25">
      <c r="A39" s="21" t="s">
        <v>47</v>
      </c>
      <c r="B39" s="21" t="s">
        <v>48</v>
      </c>
      <c r="C39" s="21">
        <v>113696</v>
      </c>
      <c r="D39" s="21">
        <v>89704</v>
      </c>
      <c r="E39" s="21" t="s">
        <v>63</v>
      </c>
      <c r="F39" s="21" t="s">
        <v>61</v>
      </c>
    </row>
    <row r="40" spans="1:6" x14ac:dyDescent="0.25">
      <c r="A40" s="21" t="s">
        <v>47</v>
      </c>
      <c r="B40" s="21" t="s">
        <v>48</v>
      </c>
      <c r="C40" s="21">
        <v>112725</v>
      </c>
      <c r="D40" s="21">
        <v>89458</v>
      </c>
      <c r="E40" s="21" t="s">
        <v>63</v>
      </c>
      <c r="F40" s="21" t="s">
        <v>61</v>
      </c>
    </row>
    <row r="41" spans="1:6" x14ac:dyDescent="0.25">
      <c r="A41" s="21" t="s">
        <v>47</v>
      </c>
      <c r="B41" s="21" t="s">
        <v>48</v>
      </c>
      <c r="C41" s="21">
        <v>112150</v>
      </c>
      <c r="D41" s="21">
        <v>88498</v>
      </c>
      <c r="E41" s="21" t="s">
        <v>63</v>
      </c>
      <c r="F41" s="21" t="s">
        <v>61</v>
      </c>
    </row>
    <row r="42" spans="1:6" x14ac:dyDescent="0.25">
      <c r="A42" s="21" t="s">
        <v>47</v>
      </c>
      <c r="B42" s="21" t="s">
        <v>48</v>
      </c>
      <c r="C42" s="21">
        <v>113931</v>
      </c>
      <c r="D42" s="21">
        <v>89951</v>
      </c>
      <c r="E42" s="21" t="s">
        <v>63</v>
      </c>
      <c r="F42" s="21" t="s">
        <v>61</v>
      </c>
    </row>
    <row r="43" spans="1:6" x14ac:dyDescent="0.25">
      <c r="A43" s="21" t="s">
        <v>47</v>
      </c>
      <c r="B43" s="21" t="s">
        <v>48</v>
      </c>
      <c r="C43" s="21">
        <v>83216</v>
      </c>
      <c r="D43" s="21">
        <v>71115</v>
      </c>
      <c r="E43" s="21" t="s">
        <v>63</v>
      </c>
      <c r="F43" s="21" t="s">
        <v>61</v>
      </c>
    </row>
    <row r="44" spans="1:6" x14ac:dyDescent="0.25">
      <c r="A44" s="21" t="s">
        <v>47</v>
      </c>
      <c r="B44" s="21" t="s">
        <v>48</v>
      </c>
      <c r="C44" s="21">
        <v>114296</v>
      </c>
      <c r="D44" s="21">
        <v>92193</v>
      </c>
      <c r="E44" s="21" t="s">
        <v>63</v>
      </c>
      <c r="F44" s="21" t="s">
        <v>61</v>
      </c>
    </row>
    <row r="45" spans="1:6" x14ac:dyDescent="0.25">
      <c r="A45" s="3" t="s">
        <v>50</v>
      </c>
      <c r="B45" s="3" t="s">
        <v>64</v>
      </c>
      <c r="C45" s="3">
        <v>127634</v>
      </c>
      <c r="D45" s="3">
        <v>99851</v>
      </c>
      <c r="E45" s="3" t="s">
        <v>65</v>
      </c>
      <c r="F45" s="3" t="s">
        <v>61</v>
      </c>
    </row>
    <row r="46" spans="1:6" x14ac:dyDescent="0.25">
      <c r="A46" s="3" t="s">
        <v>50</v>
      </c>
      <c r="B46" s="3" t="s">
        <v>64</v>
      </c>
      <c r="C46" s="3">
        <v>114354</v>
      </c>
      <c r="D46" s="3">
        <v>90453</v>
      </c>
      <c r="E46" s="3" t="s">
        <v>66</v>
      </c>
      <c r="F46" s="3" t="s">
        <v>61</v>
      </c>
    </row>
    <row r="47" spans="1:6" x14ac:dyDescent="0.25">
      <c r="A47" s="3" t="s">
        <v>50</v>
      </c>
      <c r="B47" s="3" t="s">
        <v>64</v>
      </c>
      <c r="C47" s="3">
        <v>114454</v>
      </c>
      <c r="D47" s="3">
        <v>91214</v>
      </c>
      <c r="E47" s="3" t="s">
        <v>66</v>
      </c>
      <c r="F47" s="3" t="s">
        <v>61</v>
      </c>
    </row>
    <row r="48" spans="1:6" x14ac:dyDescent="0.25">
      <c r="A48" s="3" t="s">
        <v>50</v>
      </c>
      <c r="B48" s="3" t="s">
        <v>64</v>
      </c>
      <c r="C48" s="3">
        <v>114592</v>
      </c>
      <c r="D48" s="3">
        <v>90587</v>
      </c>
      <c r="E48" s="3" t="s">
        <v>66</v>
      </c>
      <c r="F48" s="3" t="s">
        <v>61</v>
      </c>
    </row>
    <row r="49" spans="1:6" x14ac:dyDescent="0.25">
      <c r="A49" s="3" t="s">
        <v>50</v>
      </c>
      <c r="B49" s="3" t="s">
        <v>64</v>
      </c>
      <c r="C49" s="3">
        <v>114988</v>
      </c>
      <c r="D49" s="3">
        <v>91096</v>
      </c>
      <c r="E49" s="3" t="s">
        <v>66</v>
      </c>
      <c r="F49" s="3" t="s">
        <v>61</v>
      </c>
    </row>
    <row r="50" spans="1:6" x14ac:dyDescent="0.25">
      <c r="A50" s="3" t="s">
        <v>50</v>
      </c>
      <c r="B50" s="3" t="s">
        <v>64</v>
      </c>
      <c r="C50" s="3">
        <v>115666</v>
      </c>
      <c r="D50" s="3">
        <v>91529</v>
      </c>
      <c r="E50" s="3" t="s">
        <v>66</v>
      </c>
      <c r="F50" s="3" t="s">
        <v>61</v>
      </c>
    </row>
    <row r="51" spans="1:6" x14ac:dyDescent="0.25">
      <c r="A51" s="3" t="s">
        <v>50</v>
      </c>
      <c r="B51" s="3" t="s">
        <v>64</v>
      </c>
      <c r="C51" s="3">
        <v>115747</v>
      </c>
      <c r="D51" s="3">
        <v>91496</v>
      </c>
      <c r="E51" s="3" t="s">
        <v>67</v>
      </c>
      <c r="F51" s="3" t="s">
        <v>61</v>
      </c>
    </row>
    <row r="52" spans="1:6" x14ac:dyDescent="0.25">
      <c r="A52" s="3" t="s">
        <v>50</v>
      </c>
      <c r="B52" s="3" t="s">
        <v>64</v>
      </c>
      <c r="C52" s="3">
        <v>115777</v>
      </c>
      <c r="D52" s="3">
        <v>91967</v>
      </c>
      <c r="E52" s="3" t="s">
        <v>67</v>
      </c>
      <c r="F52" s="3" t="s">
        <v>61</v>
      </c>
    </row>
    <row r="53" spans="1:6" x14ac:dyDescent="0.25">
      <c r="A53" s="3" t="s">
        <v>50</v>
      </c>
      <c r="B53" s="3" t="s">
        <v>64</v>
      </c>
      <c r="C53" s="3">
        <v>115823</v>
      </c>
      <c r="D53" s="3">
        <v>91703</v>
      </c>
      <c r="E53" s="3" t="s">
        <v>67</v>
      </c>
      <c r="F53" s="3" t="s">
        <v>61</v>
      </c>
    </row>
    <row r="54" spans="1:6" x14ac:dyDescent="0.25">
      <c r="A54" s="3" t="s">
        <v>50</v>
      </c>
      <c r="B54" s="3" t="s">
        <v>64</v>
      </c>
      <c r="C54" s="3">
        <v>115973</v>
      </c>
      <c r="D54" s="3">
        <v>91727</v>
      </c>
      <c r="E54" s="3" t="s">
        <v>67</v>
      </c>
      <c r="F54" s="3" t="s">
        <v>61</v>
      </c>
    </row>
    <row r="55" spans="1:6" x14ac:dyDescent="0.25">
      <c r="A55" s="3" t="s">
        <v>50</v>
      </c>
      <c r="B55" s="3" t="s">
        <v>64</v>
      </c>
      <c r="C55" s="3">
        <v>116418</v>
      </c>
      <c r="D55" s="3">
        <v>92033</v>
      </c>
      <c r="E55" s="3" t="s">
        <v>67</v>
      </c>
      <c r="F55" s="3" t="s">
        <v>61</v>
      </c>
    </row>
    <row r="56" spans="1:6" x14ac:dyDescent="0.25">
      <c r="A56" s="3" t="s">
        <v>50</v>
      </c>
      <c r="B56" s="3" t="s">
        <v>64</v>
      </c>
      <c r="C56" s="3">
        <v>116582</v>
      </c>
      <c r="D56" s="3">
        <v>92443</v>
      </c>
      <c r="E56" s="3" t="s">
        <v>67</v>
      </c>
      <c r="F56" s="3" t="s">
        <v>61</v>
      </c>
    </row>
    <row r="57" spans="1:6" x14ac:dyDescent="0.25">
      <c r="A57" s="3" t="s">
        <v>50</v>
      </c>
      <c r="B57" s="3" t="s">
        <v>64</v>
      </c>
      <c r="C57" s="3">
        <v>117034</v>
      </c>
      <c r="D57" s="3">
        <v>93620</v>
      </c>
      <c r="E57" s="3" t="s">
        <v>67</v>
      </c>
      <c r="F57" s="3" t="s">
        <v>61</v>
      </c>
    </row>
    <row r="58" spans="1:6" x14ac:dyDescent="0.25">
      <c r="A58" s="3" t="s">
        <v>50</v>
      </c>
      <c r="B58" s="3" t="s">
        <v>64</v>
      </c>
      <c r="C58" s="3">
        <v>117417</v>
      </c>
      <c r="D58" s="3">
        <v>92855</v>
      </c>
      <c r="E58" s="3" t="s">
        <v>67</v>
      </c>
      <c r="F58" s="3" t="s">
        <v>61</v>
      </c>
    </row>
    <row r="59" spans="1:6" x14ac:dyDescent="0.25">
      <c r="A59" s="3" t="s">
        <v>50</v>
      </c>
      <c r="B59" s="3" t="s">
        <v>64</v>
      </c>
      <c r="C59" s="3">
        <v>108960</v>
      </c>
      <c r="D59" s="3">
        <v>88351</v>
      </c>
      <c r="E59" s="3" t="s">
        <v>67</v>
      </c>
      <c r="F59" s="3" t="s">
        <v>61</v>
      </c>
    </row>
    <row r="60" spans="1:6" x14ac:dyDescent="0.25">
      <c r="A60" s="3" t="s">
        <v>50</v>
      </c>
      <c r="B60" s="3" t="s">
        <v>64</v>
      </c>
      <c r="C60" s="3">
        <v>110583</v>
      </c>
      <c r="D60" s="3">
        <v>87362</v>
      </c>
      <c r="E60" s="3" t="s">
        <v>67</v>
      </c>
      <c r="F60" s="3" t="s">
        <v>61</v>
      </c>
    </row>
    <row r="61" spans="1:6" x14ac:dyDescent="0.25">
      <c r="A61" s="3" t="s">
        <v>50</v>
      </c>
      <c r="B61" s="3" t="s">
        <v>64</v>
      </c>
      <c r="C61" s="3">
        <v>118123</v>
      </c>
      <c r="D61" s="3">
        <v>93357</v>
      </c>
      <c r="E61" s="3" t="s">
        <v>68</v>
      </c>
      <c r="F61" s="3" t="s">
        <v>61</v>
      </c>
    </row>
    <row r="62" spans="1:6" x14ac:dyDescent="0.25">
      <c r="A62" s="3" t="s">
        <v>50</v>
      </c>
      <c r="B62" s="3" t="s">
        <v>64</v>
      </c>
      <c r="C62" s="3">
        <v>112700</v>
      </c>
      <c r="D62" s="3">
        <v>88965</v>
      </c>
      <c r="E62" s="3" t="s">
        <v>68</v>
      </c>
      <c r="F62" s="3" t="s">
        <v>61</v>
      </c>
    </row>
    <row r="63" spans="1:6" x14ac:dyDescent="0.25">
      <c r="A63" s="3" t="s">
        <v>50</v>
      </c>
      <c r="B63" s="3" t="s">
        <v>64</v>
      </c>
      <c r="C63" s="3">
        <v>112747</v>
      </c>
      <c r="D63" s="3">
        <v>90156</v>
      </c>
      <c r="E63" s="3" t="s">
        <v>68</v>
      </c>
      <c r="F63" s="3" t="s">
        <v>61</v>
      </c>
    </row>
    <row r="64" spans="1:6" x14ac:dyDescent="0.25">
      <c r="A64" s="3" t="s">
        <v>50</v>
      </c>
      <c r="B64" s="3" t="s">
        <v>64</v>
      </c>
      <c r="C64" s="3">
        <v>114624</v>
      </c>
      <c r="D64" s="3">
        <v>90654</v>
      </c>
      <c r="E64" s="3" t="s">
        <v>68</v>
      </c>
      <c r="F64" s="3" t="s">
        <v>61</v>
      </c>
    </row>
    <row r="65" spans="1:6" x14ac:dyDescent="0.25">
      <c r="A65" s="3" t="s">
        <v>50</v>
      </c>
      <c r="B65" s="3" t="s">
        <v>64</v>
      </c>
      <c r="C65" s="3">
        <v>114654</v>
      </c>
      <c r="D65" s="3">
        <v>90779</v>
      </c>
      <c r="E65" s="3" t="s">
        <v>68</v>
      </c>
      <c r="F65" s="3" t="s">
        <v>61</v>
      </c>
    </row>
    <row r="66" spans="1:6" x14ac:dyDescent="0.25">
      <c r="A66" s="3" t="s">
        <v>50</v>
      </c>
      <c r="B66" s="3" t="s">
        <v>64</v>
      </c>
      <c r="C66" s="3">
        <v>109273</v>
      </c>
      <c r="D66" s="3">
        <v>86812</v>
      </c>
      <c r="E66" s="3" t="s">
        <v>68</v>
      </c>
      <c r="F66" s="3" t="s">
        <v>61</v>
      </c>
    </row>
    <row r="67" spans="1:6" x14ac:dyDescent="0.25">
      <c r="A67" s="3" t="s">
        <v>50</v>
      </c>
      <c r="B67" s="3" t="s">
        <v>64</v>
      </c>
      <c r="C67" s="3">
        <v>91730</v>
      </c>
      <c r="D67" s="3">
        <v>76002</v>
      </c>
      <c r="E67" s="3" t="s">
        <v>68</v>
      </c>
      <c r="F67" s="3" t="s">
        <v>61</v>
      </c>
    </row>
    <row r="68" spans="1:6" x14ac:dyDescent="0.25">
      <c r="A68" s="3" t="s">
        <v>50</v>
      </c>
      <c r="B68" s="3" t="s">
        <v>64</v>
      </c>
      <c r="C68" s="3">
        <v>111401</v>
      </c>
      <c r="D68" s="3">
        <v>87954</v>
      </c>
      <c r="E68" s="3" t="s">
        <v>68</v>
      </c>
      <c r="F68" s="3" t="s">
        <v>61</v>
      </c>
    </row>
    <row r="69" spans="1:6" x14ac:dyDescent="0.25">
      <c r="A69" s="3" t="s">
        <v>50</v>
      </c>
      <c r="B69" s="3" t="s">
        <v>64</v>
      </c>
      <c r="C69" s="3">
        <v>85027</v>
      </c>
      <c r="D69" s="3">
        <v>72825</v>
      </c>
      <c r="E69" s="3" t="s">
        <v>68</v>
      </c>
      <c r="F69" s="3" t="s">
        <v>61</v>
      </c>
    </row>
    <row r="70" spans="1:6" x14ac:dyDescent="0.25">
      <c r="A70" s="3" t="s">
        <v>50</v>
      </c>
      <c r="B70" s="3" t="s">
        <v>64</v>
      </c>
      <c r="C70" s="3">
        <v>105457</v>
      </c>
      <c r="D70" s="3">
        <v>85440</v>
      </c>
      <c r="E70" s="3" t="s">
        <v>68</v>
      </c>
      <c r="F70" s="3" t="s">
        <v>61</v>
      </c>
    </row>
    <row r="71" spans="1:6" x14ac:dyDescent="0.25">
      <c r="A71" s="3" t="s">
        <v>50</v>
      </c>
      <c r="B71" s="3" t="s">
        <v>64</v>
      </c>
      <c r="C71" s="3">
        <v>73079</v>
      </c>
      <c r="D71" s="3">
        <v>67479</v>
      </c>
      <c r="E71" s="3" t="s">
        <v>68</v>
      </c>
      <c r="F71" s="3" t="s">
        <v>61</v>
      </c>
    </row>
    <row r="72" spans="1:6" x14ac:dyDescent="0.25">
      <c r="A72" s="3" t="s">
        <v>50</v>
      </c>
      <c r="B72" s="3" t="s">
        <v>64</v>
      </c>
      <c r="C72" s="3">
        <v>88597</v>
      </c>
      <c r="D72" s="3">
        <v>74405</v>
      </c>
      <c r="E72" s="3" t="s">
        <v>68</v>
      </c>
      <c r="F72" s="3" t="s">
        <v>61</v>
      </c>
    </row>
    <row r="73" spans="1:6" x14ac:dyDescent="0.25">
      <c r="A73" s="3" t="s">
        <v>50</v>
      </c>
      <c r="B73" s="3" t="s">
        <v>64</v>
      </c>
      <c r="C73" s="3">
        <v>92078</v>
      </c>
      <c r="D73" s="3">
        <v>78248</v>
      </c>
      <c r="E73" s="3" t="s">
        <v>68</v>
      </c>
      <c r="F73" s="3" t="s">
        <v>61</v>
      </c>
    </row>
    <row r="74" spans="1:6" x14ac:dyDescent="0.25">
      <c r="A74" s="3" t="s">
        <v>50</v>
      </c>
      <c r="B74" s="3" t="s">
        <v>64</v>
      </c>
      <c r="C74" s="3">
        <v>77650</v>
      </c>
      <c r="D74" s="3">
        <v>68178</v>
      </c>
      <c r="E74" s="3" t="s">
        <v>68</v>
      </c>
      <c r="F74" s="3" t="s">
        <v>61</v>
      </c>
    </row>
    <row r="75" spans="1:6" x14ac:dyDescent="0.25">
      <c r="A75" s="3" t="s">
        <v>50</v>
      </c>
      <c r="B75" s="3" t="s">
        <v>64</v>
      </c>
      <c r="C75" s="3">
        <v>96587</v>
      </c>
      <c r="D75" s="3">
        <v>81574</v>
      </c>
      <c r="E75" s="3" t="s">
        <v>68</v>
      </c>
      <c r="F75" s="3" t="s">
        <v>61</v>
      </c>
    </row>
    <row r="76" spans="1:6" x14ac:dyDescent="0.25">
      <c r="A76" s="40" t="s">
        <v>69</v>
      </c>
      <c r="B76" s="40"/>
      <c r="C76" s="40"/>
      <c r="D76" s="40"/>
      <c r="E76" s="22"/>
      <c r="F76" s="22"/>
    </row>
  </sheetData>
  <mergeCells count="4">
    <mergeCell ref="A1:F1"/>
    <mergeCell ref="A2:F2"/>
    <mergeCell ref="A5:F5"/>
    <mergeCell ref="A76:D76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392B"/>
  </sheetPr>
  <dimension ref="A1:D25"/>
  <sheetViews>
    <sheetView workbookViewId="0"/>
  </sheetViews>
  <sheetFormatPr defaultRowHeight="15" x14ac:dyDescent="0.25"/>
  <cols>
    <col min="1" max="1" width="55" customWidth="1"/>
    <col min="2" max="3" width="18" customWidth="1"/>
    <col min="4" max="4" width="20" customWidth="1"/>
  </cols>
  <sheetData>
    <row r="1" spans="1:4" ht="32.1" customHeight="1" x14ac:dyDescent="0.25">
      <c r="A1" s="41" t="s">
        <v>70</v>
      </c>
      <c r="B1" s="41"/>
      <c r="C1" s="41"/>
      <c r="D1" s="41"/>
    </row>
    <row r="3" spans="1:4" x14ac:dyDescent="0.25">
      <c r="A3" s="23" t="s">
        <v>42</v>
      </c>
      <c r="B3" s="23" t="s">
        <v>71</v>
      </c>
      <c r="C3" s="23" t="s">
        <v>72</v>
      </c>
      <c r="D3" s="23" t="s">
        <v>73</v>
      </c>
    </row>
    <row r="4" spans="1:4" x14ac:dyDescent="0.25">
      <c r="A4" s="24" t="s">
        <v>74</v>
      </c>
      <c r="B4" s="3">
        <v>119</v>
      </c>
      <c r="C4" s="3">
        <v>193</v>
      </c>
      <c r="D4" s="3" t="s">
        <v>75</v>
      </c>
    </row>
    <row r="5" spans="1:4" x14ac:dyDescent="0.25">
      <c r="A5" s="24" t="s">
        <v>76</v>
      </c>
      <c r="B5" s="3" t="s">
        <v>10</v>
      </c>
      <c r="C5" s="3">
        <v>44</v>
      </c>
      <c r="D5" s="3" t="s">
        <v>10</v>
      </c>
    </row>
    <row r="6" spans="1:4" x14ac:dyDescent="0.25">
      <c r="A6" s="25" t="s">
        <v>77</v>
      </c>
      <c r="B6" s="26">
        <v>119</v>
      </c>
      <c r="C6" s="26">
        <v>149</v>
      </c>
      <c r="D6" s="26" t="s">
        <v>17</v>
      </c>
    </row>
    <row r="7" spans="1:4" x14ac:dyDescent="0.25">
      <c r="A7" s="27" t="s">
        <v>42</v>
      </c>
      <c r="B7" s="28" t="s">
        <v>42</v>
      </c>
      <c r="C7" s="28" t="s">
        <v>42</v>
      </c>
      <c r="D7" s="28" t="s">
        <v>42</v>
      </c>
    </row>
    <row r="8" spans="1:4" x14ac:dyDescent="0.25">
      <c r="A8" s="25" t="s">
        <v>78</v>
      </c>
      <c r="B8" s="26">
        <v>119</v>
      </c>
      <c r="C8" s="26">
        <v>61</v>
      </c>
      <c r="D8" s="26" t="s">
        <v>79</v>
      </c>
    </row>
    <row r="9" spans="1:4" x14ac:dyDescent="0.25">
      <c r="A9" s="25" t="s">
        <v>80</v>
      </c>
      <c r="B9" s="26" t="s">
        <v>10</v>
      </c>
      <c r="C9" s="26" t="s">
        <v>10</v>
      </c>
      <c r="D9" s="26" t="s">
        <v>21</v>
      </c>
    </row>
    <row r="10" spans="1:4" x14ac:dyDescent="0.25">
      <c r="A10" s="27" t="s">
        <v>42</v>
      </c>
      <c r="B10" s="28" t="s">
        <v>42</v>
      </c>
      <c r="C10" s="28" t="s">
        <v>42</v>
      </c>
      <c r="D10" s="28" t="s">
        <v>42</v>
      </c>
    </row>
    <row r="11" spans="1:4" x14ac:dyDescent="0.25">
      <c r="A11" s="24" t="s">
        <v>81</v>
      </c>
      <c r="B11" s="3" t="s">
        <v>10</v>
      </c>
      <c r="C11" s="3">
        <v>83</v>
      </c>
      <c r="D11" s="3" t="s">
        <v>10</v>
      </c>
    </row>
    <row r="12" spans="1:4" x14ac:dyDescent="0.25">
      <c r="A12" s="27" t="s">
        <v>42</v>
      </c>
      <c r="B12" s="28" t="s">
        <v>42</v>
      </c>
      <c r="C12" s="28" t="s">
        <v>42</v>
      </c>
      <c r="D12" s="28" t="s">
        <v>42</v>
      </c>
    </row>
    <row r="13" spans="1:4" x14ac:dyDescent="0.25">
      <c r="A13" s="24" t="s">
        <v>82</v>
      </c>
      <c r="B13" s="3" t="s">
        <v>10</v>
      </c>
      <c r="C13" s="3">
        <v>88</v>
      </c>
      <c r="D13" s="3" t="s">
        <v>83</v>
      </c>
    </row>
    <row r="14" spans="1:4" x14ac:dyDescent="0.25">
      <c r="A14" s="25" t="s">
        <v>84</v>
      </c>
      <c r="B14" s="26" t="s">
        <v>10</v>
      </c>
      <c r="C14" s="26">
        <v>5</v>
      </c>
      <c r="D14" s="26" t="s">
        <v>85</v>
      </c>
    </row>
    <row r="15" spans="1:4" x14ac:dyDescent="0.25">
      <c r="A15" s="27" t="s">
        <v>42</v>
      </c>
      <c r="B15" s="28" t="s">
        <v>42</v>
      </c>
      <c r="C15" s="28" t="s">
        <v>42</v>
      </c>
      <c r="D15" s="28" t="s">
        <v>42</v>
      </c>
    </row>
    <row r="16" spans="1:4" x14ac:dyDescent="0.25">
      <c r="A16" s="24" t="s">
        <v>32</v>
      </c>
      <c r="B16" s="3">
        <v>301</v>
      </c>
      <c r="C16" s="3">
        <v>307</v>
      </c>
      <c r="D16" s="3">
        <v>6</v>
      </c>
    </row>
    <row r="19" spans="1:1" x14ac:dyDescent="0.25">
      <c r="A19" s="29" t="s">
        <v>86</v>
      </c>
    </row>
    <row r="20" spans="1:1" x14ac:dyDescent="0.25">
      <c r="A20" s="30" t="s">
        <v>87</v>
      </c>
    </row>
    <row r="21" spans="1:1" x14ac:dyDescent="0.25">
      <c r="A21" s="30" t="s">
        <v>88</v>
      </c>
    </row>
    <row r="22" spans="1:1" x14ac:dyDescent="0.25">
      <c r="A22" s="30" t="s">
        <v>89</v>
      </c>
    </row>
    <row r="23" spans="1:1" x14ac:dyDescent="0.25">
      <c r="A23" s="30" t="s">
        <v>90</v>
      </c>
    </row>
    <row r="24" spans="1:1" x14ac:dyDescent="0.25">
      <c r="A24" s="30" t="s">
        <v>91</v>
      </c>
    </row>
    <row r="25" spans="1:1" x14ac:dyDescent="0.25">
      <c r="A25" s="30" t="s">
        <v>92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Consolidado Q1</vt:lpstr>
      <vt:lpstr>Descartes Mot.26</vt:lpstr>
      <vt:lpstr>Overview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2026-03-23T17:15:30Z</dcterms:created>
  <dcterms:modified xsi:type="dcterms:W3CDTF">2026-03-23T19:30:24Z</dcterms:modified>
  <cp:category/>
</cp:coreProperties>
</file>