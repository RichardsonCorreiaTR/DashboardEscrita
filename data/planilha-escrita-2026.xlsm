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namedSheetViews/namedSheetView1.xml" ContentType="application/vnd.ms-excel.namedsheetviews+xml"/>
  <Override PartName="/xl/drawings/drawing4.xml" ContentType="application/vnd.openxmlformats-officedocument.drawing+xml"/>
  <Override PartName="/xl/comments2.xml" ContentType="application/vnd.openxmlformats-officedocument.spreadsheetml.comments+xml"/>
  <Override PartName="/xl/namedSheetViews/namedSheetView2.xml" ContentType="application/vnd.ms-excel.namedsheetview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namedSheetViews/namedSheetView3.xml" ContentType="application/vnd.ms-excel.namedsheetview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3" codeName="{00000000-0000-0000-0000-000000000000}"/>
  <workbookPr codeName="EstaPastaDeTrabalho" defaultThemeVersion="166925"/>
  <mc:AlternateContent xmlns:mc="http://schemas.openxmlformats.org/markup-compatibility/2006">
    <mc:Choice Requires="x15">
      <x15ac:absPath xmlns:x15ac="http://schemas.microsoft.com/office/spreadsheetml/2010/11/ac" url="https://trten-my.sharepoint.com/personal/richardson_correia_thomsonreuters_com/Documents/"/>
    </mc:Choice>
  </mc:AlternateContent>
  <xr:revisionPtr revIDLastSave="0" documentId="8_{1717C4F4-0B9F-440D-A2D9-C9CD5C59EB3F}" xr6:coauthVersionLast="47" xr6:coauthVersionMax="47" xr10:uidLastSave="{00000000-0000-0000-0000-000000000000}"/>
  <bookViews>
    <workbookView xWindow="-120" yWindow="-120" windowWidth="29040" windowHeight="15720" firstSheet="6" activeTab="6" xr2:uid="{00000000-000D-0000-FFFF-FFFF00000000}"/>
  </bookViews>
  <sheets>
    <sheet name="Tabela" sheetId="20" r:id="rId1"/>
    <sheet name="Cadastros" sheetId="2" r:id="rId2"/>
    <sheet name="Janeiro" sheetId="6" r:id="rId3"/>
    <sheet name="Fevereiro" sheetId="7" r:id="rId4"/>
    <sheet name="Março" sheetId="8" r:id="rId5"/>
    <sheet name="Abril" sheetId="9" r:id="rId6"/>
    <sheet name="Maio" sheetId="10" r:id="rId7"/>
    <sheet name="Junho" sheetId="11" r:id="rId8"/>
    <sheet name="Julho" sheetId="12" r:id="rId9"/>
    <sheet name="Agosto" sheetId="13" r:id="rId10"/>
    <sheet name="Setembro" sheetId="14" r:id="rId11"/>
    <sheet name="Outubro" sheetId="15" r:id="rId12"/>
    <sheet name="Novembro" sheetId="16" r:id="rId13"/>
    <sheet name="Dezembro" sheetId="17" r:id="rId14"/>
    <sheet name="Graficos Totais" sheetId="19" r:id="rId15"/>
    <sheet name="Acompanhamento 2025" sheetId="18" r:id="rId16"/>
  </sheets>
  <definedNames>
    <definedName name="_xlnm._FilterDatabase" localSheetId="5" hidden="1">Abril!$A$39:$R$242</definedName>
    <definedName name="_xlnm._FilterDatabase" localSheetId="9" hidden="1">Agosto!$A$39:$R$155</definedName>
    <definedName name="_xlnm._FilterDatabase" localSheetId="13" hidden="1">Dezembro!$A$39:$R$154</definedName>
    <definedName name="_xlnm._FilterDatabase" localSheetId="3" hidden="1">Fevereiro!$A$39:$R$293</definedName>
    <definedName name="_xlnm._FilterDatabase" localSheetId="2" hidden="1">Janeiro!$A$39:$R$396</definedName>
    <definedName name="_xlnm._FilterDatabase" localSheetId="8" hidden="1">Julho!$A$39:$R$175</definedName>
    <definedName name="_xlnm._FilterDatabase" localSheetId="7" hidden="1">Junho!$A$39:$R$141</definedName>
    <definedName name="_xlnm._FilterDatabase" localSheetId="6" hidden="1">Maio!$A$39:$R$147</definedName>
    <definedName name="_xlnm._FilterDatabase" localSheetId="4" hidden="1">Março!$A$39:$R$261</definedName>
    <definedName name="_xlnm._FilterDatabase" localSheetId="12" hidden="1">Novembro!$A$39:$R$135</definedName>
    <definedName name="_xlnm._FilterDatabase" localSheetId="11" hidden="1">Outubro!$A$39:$R$164</definedName>
    <definedName name="_xlnm._FilterDatabase" localSheetId="10" hidden="1">Setembro!$A$39:$R$169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1" i="10" l="1"/>
  <c r="J43" i="10"/>
  <c r="J60" i="9"/>
  <c r="J62" i="9"/>
  <c r="J79" i="9" l="1"/>
  <c r="J80" i="9"/>
  <c r="J81" i="9"/>
  <c r="J83" i="9"/>
  <c r="J121" i="9"/>
  <c r="J125" i="9"/>
  <c r="J130" i="9"/>
  <c r="J133" i="9"/>
  <c r="J140" i="9" l="1"/>
  <c r="J57" i="8"/>
  <c r="J58" i="8"/>
  <c r="J70" i="8"/>
  <c r="J72" i="8"/>
  <c r="J80" i="8"/>
  <c r="J82" i="8"/>
  <c r="J84" i="8"/>
  <c r="J87" i="8"/>
  <c r="J104" i="8"/>
  <c r="J107" i="8"/>
  <c r="J108" i="8"/>
  <c r="J112" i="8"/>
  <c r="J114" i="8"/>
  <c r="J138" i="8"/>
  <c r="J56" i="7"/>
  <c r="J62" i="7"/>
  <c r="J80" i="7" l="1"/>
  <c r="J96" i="7"/>
  <c r="J97" i="7"/>
  <c r="J108" i="7"/>
  <c r="J112" i="7"/>
  <c r="J115" i="7"/>
  <c r="J117" i="7"/>
  <c r="J120" i="7"/>
  <c r="J121" i="7"/>
  <c r="J124" i="7"/>
  <c r="J137" i="7"/>
  <c r="J143" i="7"/>
  <c r="J156" i="7"/>
  <c r="J68" i="6"/>
  <c r="J69" i="6"/>
  <c r="J74" i="6"/>
  <c r="J81" i="6"/>
  <c r="J87" i="6"/>
  <c r="J92" i="6"/>
  <c r="J93" i="6"/>
  <c r="J94" i="6"/>
  <c r="J103" i="6"/>
  <c r="J105" i="6"/>
  <c r="J106" i="6"/>
  <c r="J107" i="6"/>
  <c r="J111" i="6"/>
  <c r="J113" i="6"/>
  <c r="J115" i="6"/>
  <c r="J116" i="6"/>
  <c r="J122" i="6"/>
  <c r="J130" i="6"/>
  <c r="J133" i="6"/>
  <c r="J135" i="6"/>
  <c r="J136" i="6"/>
  <c r="J141" i="6"/>
  <c r="J56" i="11"/>
  <c r="J62" i="11"/>
  <c r="J66" i="11"/>
  <c r="J67" i="11"/>
  <c r="J68" i="11"/>
  <c r="J79" i="11"/>
  <c r="J96" i="11"/>
  <c r="J97" i="11"/>
  <c r="J98" i="11"/>
  <c r="J104" i="11"/>
  <c r="J111" i="11"/>
  <c r="J112" i="11"/>
  <c r="J121" i="11"/>
  <c r="B19" i="10" l="1"/>
  <c r="C19" i="10"/>
  <c r="Y1" i="8"/>
  <c r="U29" i="17"/>
  <c r="AO29" i="17" s="1"/>
  <c r="AR29" i="17" s="1"/>
  <c r="U28" i="17"/>
  <c r="AA28" i="17" s="1"/>
  <c r="U27" i="17"/>
  <c r="AH27" i="17" s="1"/>
  <c r="U26" i="17"/>
  <c r="AH26" i="17" s="1"/>
  <c r="AL26" i="17" s="1"/>
  <c r="U25" i="17"/>
  <c r="AO25" i="17" s="1"/>
  <c r="U24" i="17"/>
  <c r="AH24" i="17" s="1"/>
  <c r="AI24" i="17" s="1"/>
  <c r="U23" i="17"/>
  <c r="AA23" i="17" s="1"/>
  <c r="U22" i="17"/>
  <c r="AA22" i="17" s="1"/>
  <c r="U21" i="17"/>
  <c r="AO21" i="17" s="1"/>
  <c r="AS21" i="17" s="1"/>
  <c r="U20" i="17"/>
  <c r="U19" i="17"/>
  <c r="AH19" i="17" s="1"/>
  <c r="U18" i="17"/>
  <c r="U17" i="17"/>
  <c r="U16" i="17"/>
  <c r="U15" i="17"/>
  <c r="AH15" i="17" s="1"/>
  <c r="AL15" i="17" s="1"/>
  <c r="U14" i="17"/>
  <c r="AH14" i="17" s="1"/>
  <c r="U13" i="17"/>
  <c r="AO13" i="17" s="1"/>
  <c r="U12" i="17"/>
  <c r="AH12" i="17" s="1"/>
  <c r="U11" i="17"/>
  <c r="AA11" i="17" s="1"/>
  <c r="AE11" i="17" s="1"/>
  <c r="U10" i="17"/>
  <c r="AH10" i="17" s="1"/>
  <c r="U9" i="17"/>
  <c r="AA9" i="17" s="1"/>
  <c r="AD9" i="17" s="1"/>
  <c r="U8" i="17"/>
  <c r="U7" i="17"/>
  <c r="AO7" i="17" s="1"/>
  <c r="U6" i="17"/>
  <c r="AA6" i="17" s="1"/>
  <c r="AD6" i="17" s="1"/>
  <c r="U5" i="17"/>
  <c r="AO5" i="17" s="1"/>
  <c r="AS5" i="17" s="1"/>
  <c r="Y1" i="17"/>
  <c r="U29" i="16"/>
  <c r="AO29" i="16" s="1"/>
  <c r="U28" i="16"/>
  <c r="AH28" i="16" s="1"/>
  <c r="AI28" i="16" s="1"/>
  <c r="U27" i="16"/>
  <c r="AA27" i="16" s="1"/>
  <c r="U26" i="16"/>
  <c r="AO26" i="16" s="1"/>
  <c r="U25" i="16"/>
  <c r="AH25" i="16" s="1"/>
  <c r="AJ25" i="16" s="1"/>
  <c r="U24" i="16"/>
  <c r="AO24" i="16" s="1"/>
  <c r="AS24" i="16" s="1"/>
  <c r="U23" i="16"/>
  <c r="U22" i="16"/>
  <c r="AH22" i="16" s="1"/>
  <c r="U21" i="16"/>
  <c r="AO21" i="16" s="1"/>
  <c r="U20" i="16"/>
  <c r="AA20" i="16" s="1"/>
  <c r="U19" i="16"/>
  <c r="AO19" i="16" s="1"/>
  <c r="AS19" i="16" s="1"/>
  <c r="U18" i="16"/>
  <c r="AA18" i="16" s="1"/>
  <c r="AB18" i="16" s="1"/>
  <c r="U17" i="16"/>
  <c r="AO17" i="16" s="1"/>
  <c r="U16" i="16"/>
  <c r="AH16" i="16" s="1"/>
  <c r="U15" i="16"/>
  <c r="AO15" i="16" s="1"/>
  <c r="AQ15" i="16" s="1"/>
  <c r="U14" i="16"/>
  <c r="U13" i="16"/>
  <c r="AO13" i="16" s="1"/>
  <c r="AP13" i="16" s="1"/>
  <c r="U12" i="16"/>
  <c r="AH12" i="16" s="1"/>
  <c r="AJ12" i="16" s="1"/>
  <c r="U11" i="16"/>
  <c r="U10" i="16"/>
  <c r="U9" i="16"/>
  <c r="AA9" i="16" s="1"/>
  <c r="AD9" i="16" s="1"/>
  <c r="U8" i="16"/>
  <c r="AH8" i="16" s="1"/>
  <c r="AI8" i="16" s="1"/>
  <c r="U7" i="16"/>
  <c r="AO7" i="16" s="1"/>
  <c r="U6" i="16"/>
  <c r="AA6" i="16" s="1"/>
  <c r="AE6" i="16" s="1"/>
  <c r="U5" i="16"/>
  <c r="AO5" i="16" s="1"/>
  <c r="Y1" i="16"/>
  <c r="U29" i="15"/>
  <c r="AH29" i="15" s="1"/>
  <c r="U28" i="15"/>
  <c r="AH28" i="15" s="1"/>
  <c r="U27" i="15"/>
  <c r="U26" i="15"/>
  <c r="AA26" i="15" s="1"/>
  <c r="U25" i="15"/>
  <c r="AA25" i="15" s="1"/>
  <c r="AD25" i="15" s="1"/>
  <c r="U24" i="15"/>
  <c r="U23" i="15"/>
  <c r="AO23" i="15" s="1"/>
  <c r="U22" i="15"/>
  <c r="U21" i="15"/>
  <c r="AO21" i="15" s="1"/>
  <c r="AR21" i="15" s="1"/>
  <c r="U20" i="15"/>
  <c r="AA20" i="15" s="1"/>
  <c r="U19" i="15"/>
  <c r="U18" i="15"/>
  <c r="AA18" i="15" s="1"/>
  <c r="AD18" i="15" s="1"/>
  <c r="U17" i="15"/>
  <c r="AH17" i="15" s="1"/>
  <c r="AL17" i="15" s="1"/>
  <c r="U16" i="15"/>
  <c r="AH16" i="15" s="1"/>
  <c r="U15" i="15"/>
  <c r="AO15" i="15" s="1"/>
  <c r="U14" i="15"/>
  <c r="AO14" i="15" s="1"/>
  <c r="AP14" i="15" s="1"/>
  <c r="U13" i="15"/>
  <c r="U12" i="15"/>
  <c r="AH12" i="15" s="1"/>
  <c r="U11" i="15"/>
  <c r="AA11" i="15" s="1"/>
  <c r="AD11" i="15" s="1"/>
  <c r="U10" i="15"/>
  <c r="AH10" i="15" s="1"/>
  <c r="U9" i="15"/>
  <c r="AA9" i="15" s="1"/>
  <c r="AD9" i="15" s="1"/>
  <c r="U8" i="15"/>
  <c r="U7" i="15"/>
  <c r="AO7" i="15" s="1"/>
  <c r="U6" i="15"/>
  <c r="AH6" i="15" s="1"/>
  <c r="U5" i="15"/>
  <c r="AO5" i="15" s="1"/>
  <c r="AR5" i="15" s="1"/>
  <c r="Y1" i="15"/>
  <c r="U29" i="14"/>
  <c r="AO29" i="14" s="1"/>
  <c r="U28" i="14"/>
  <c r="AH28" i="14" s="1"/>
  <c r="U27" i="14"/>
  <c r="AA27" i="14" s="1"/>
  <c r="U26" i="14"/>
  <c r="AH26" i="14" s="1"/>
  <c r="AL26" i="14" s="1"/>
  <c r="U25" i="14"/>
  <c r="AA25" i="14" s="1"/>
  <c r="U24" i="14"/>
  <c r="AO24" i="14" s="1"/>
  <c r="AS24" i="14" s="1"/>
  <c r="U23" i="14"/>
  <c r="U22" i="14"/>
  <c r="U21" i="14"/>
  <c r="AO21" i="14" s="1"/>
  <c r="AQ21" i="14" s="1"/>
  <c r="U20" i="14"/>
  <c r="AH20" i="14" s="1"/>
  <c r="AL20" i="14" s="1"/>
  <c r="U19" i="14"/>
  <c r="AH19" i="14" s="1"/>
  <c r="U18" i="14"/>
  <c r="AA18" i="14" s="1"/>
  <c r="AB18" i="14" s="1"/>
  <c r="U17" i="14"/>
  <c r="AH17" i="14" s="1"/>
  <c r="AL17" i="14" s="1"/>
  <c r="U16" i="14"/>
  <c r="AA16" i="14" s="1"/>
  <c r="U15" i="14"/>
  <c r="U14" i="14"/>
  <c r="U13" i="14"/>
  <c r="AO13" i="14" s="1"/>
  <c r="AP13" i="14" s="1"/>
  <c r="U12" i="14"/>
  <c r="AH12" i="14" s="1"/>
  <c r="U11" i="14"/>
  <c r="AH11" i="14" s="1"/>
  <c r="AJ11" i="14" s="1"/>
  <c r="U10" i="14"/>
  <c r="AH10" i="14" s="1"/>
  <c r="AL10" i="14" s="1"/>
  <c r="U9" i="14"/>
  <c r="AO9" i="14" s="1"/>
  <c r="AS9" i="14" s="1"/>
  <c r="U8" i="14"/>
  <c r="AH8" i="14" s="1"/>
  <c r="AI8" i="14" s="1"/>
  <c r="U7" i="14"/>
  <c r="AH7" i="14" s="1"/>
  <c r="U6" i="14"/>
  <c r="AA6" i="14" s="1"/>
  <c r="U5" i="14"/>
  <c r="AO5" i="14" s="1"/>
  <c r="AQ5" i="14" s="1"/>
  <c r="Y1" i="14"/>
  <c r="U29" i="13"/>
  <c r="AO29" i="13" s="1"/>
  <c r="U28" i="13"/>
  <c r="AH28" i="13" s="1"/>
  <c r="AI28" i="13" s="1"/>
  <c r="U27" i="13"/>
  <c r="AH27" i="13" s="1"/>
  <c r="AJ27" i="13" s="1"/>
  <c r="U26" i="13"/>
  <c r="AH26" i="13" s="1"/>
  <c r="AL26" i="13" s="1"/>
  <c r="U25" i="13"/>
  <c r="AA25" i="13" s="1"/>
  <c r="U24" i="13"/>
  <c r="U23" i="13"/>
  <c r="AA23" i="13" s="1"/>
  <c r="AD23" i="13" s="1"/>
  <c r="U22" i="13"/>
  <c r="AA22" i="13" s="1"/>
  <c r="U21" i="13"/>
  <c r="AO21" i="13" s="1"/>
  <c r="AQ21" i="13" s="1"/>
  <c r="U20" i="13"/>
  <c r="AH20" i="13" s="1"/>
  <c r="AI20" i="13" s="1"/>
  <c r="U19" i="13"/>
  <c r="AH19" i="13" s="1"/>
  <c r="U18" i="13"/>
  <c r="U17" i="13"/>
  <c r="AH17" i="13" s="1"/>
  <c r="AL17" i="13" s="1"/>
  <c r="U16" i="13"/>
  <c r="U15" i="13"/>
  <c r="U14" i="13"/>
  <c r="AH14" i="13" s="1"/>
  <c r="AI14" i="13" s="1"/>
  <c r="U13" i="13"/>
  <c r="U12" i="13"/>
  <c r="AO12" i="13" s="1"/>
  <c r="U11" i="13"/>
  <c r="U10" i="13"/>
  <c r="AO10" i="13" s="1"/>
  <c r="U9" i="13"/>
  <c r="AA9" i="13" s="1"/>
  <c r="AD9" i="13" s="1"/>
  <c r="U8" i="13"/>
  <c r="AH8" i="13" s="1"/>
  <c r="AI8" i="13" s="1"/>
  <c r="U7" i="13"/>
  <c r="AA7" i="13" s="1"/>
  <c r="U6" i="13"/>
  <c r="AA6" i="13" s="1"/>
  <c r="U5" i="13"/>
  <c r="AO5" i="13" s="1"/>
  <c r="AS5" i="13" s="1"/>
  <c r="Y1" i="13"/>
  <c r="U29" i="12"/>
  <c r="AO29" i="12" s="1"/>
  <c r="U28" i="12"/>
  <c r="U27" i="12"/>
  <c r="AA27" i="12" s="1"/>
  <c r="U26" i="12"/>
  <c r="AH26" i="12" s="1"/>
  <c r="U25" i="12"/>
  <c r="AA25" i="12" s="1"/>
  <c r="AE25" i="12" s="1"/>
  <c r="U24" i="12"/>
  <c r="U23" i="12"/>
  <c r="U22" i="12"/>
  <c r="AH22" i="12" s="1"/>
  <c r="U21" i="12"/>
  <c r="AO21" i="12" s="1"/>
  <c r="U20" i="12"/>
  <c r="AA20" i="12" s="1"/>
  <c r="U19" i="12"/>
  <c r="AH19" i="12" s="1"/>
  <c r="U18" i="12"/>
  <c r="AA18" i="12" s="1"/>
  <c r="U17" i="12"/>
  <c r="AO17" i="12" s="1"/>
  <c r="AS17" i="12" s="1"/>
  <c r="U16" i="12"/>
  <c r="U15" i="12"/>
  <c r="U14" i="12"/>
  <c r="U13" i="12"/>
  <c r="AH13" i="12" s="1"/>
  <c r="U12" i="12"/>
  <c r="U11" i="12"/>
  <c r="AH11" i="12" s="1"/>
  <c r="U10" i="12"/>
  <c r="U9" i="12"/>
  <c r="AA9" i="12" s="1"/>
  <c r="AE9" i="12" s="1"/>
  <c r="U8" i="12"/>
  <c r="U7" i="12"/>
  <c r="U6" i="12"/>
  <c r="U5" i="12"/>
  <c r="AO5" i="12" s="1"/>
  <c r="AQ5" i="12" s="1"/>
  <c r="Y1" i="12"/>
  <c r="U29" i="11"/>
  <c r="U28" i="11"/>
  <c r="AO28" i="11" s="1"/>
  <c r="U27" i="11"/>
  <c r="U26" i="11"/>
  <c r="U25" i="11"/>
  <c r="U24" i="11"/>
  <c r="U23" i="11"/>
  <c r="U22" i="11"/>
  <c r="AH22" i="11" s="1"/>
  <c r="U21" i="11"/>
  <c r="AO21" i="11" s="1"/>
  <c r="U20" i="11"/>
  <c r="AH20" i="11" s="1"/>
  <c r="AI20" i="11" s="1"/>
  <c r="U19" i="11"/>
  <c r="AH19" i="11" s="1"/>
  <c r="U18" i="11"/>
  <c r="AO18" i="11" s="1"/>
  <c r="U17" i="11"/>
  <c r="AH17" i="11" s="1"/>
  <c r="AL17" i="11" s="1"/>
  <c r="U16" i="11"/>
  <c r="AH16" i="11" s="1"/>
  <c r="AL16" i="11" s="1"/>
  <c r="U15" i="11"/>
  <c r="U14" i="11"/>
  <c r="U13" i="11"/>
  <c r="AO13" i="11" s="1"/>
  <c r="AR13" i="11" s="1"/>
  <c r="U12" i="11"/>
  <c r="U11" i="11"/>
  <c r="U10" i="11"/>
  <c r="U9" i="11"/>
  <c r="AH9" i="11" s="1"/>
  <c r="U8" i="11"/>
  <c r="AH8" i="11" s="1"/>
  <c r="AI8" i="11" s="1"/>
  <c r="U7" i="11"/>
  <c r="AA7" i="11" s="1"/>
  <c r="U6" i="11"/>
  <c r="AO6" i="11" s="1"/>
  <c r="U5" i="11"/>
  <c r="AO5" i="11" s="1"/>
  <c r="AR5" i="11" s="1"/>
  <c r="Y1" i="11"/>
  <c r="U29" i="10"/>
  <c r="AH29" i="10" s="1"/>
  <c r="AL29" i="10" s="1"/>
  <c r="U28" i="10"/>
  <c r="AH28" i="10" s="1"/>
  <c r="U27" i="10"/>
  <c r="AA27" i="10" s="1"/>
  <c r="U26" i="10"/>
  <c r="U25" i="10"/>
  <c r="AA25" i="10" s="1"/>
  <c r="U24" i="10"/>
  <c r="AO24" i="10" s="1"/>
  <c r="U23" i="10"/>
  <c r="AA23" i="10" s="1"/>
  <c r="U22" i="10"/>
  <c r="AH22" i="10" s="1"/>
  <c r="U21" i="10"/>
  <c r="AO21" i="10" s="1"/>
  <c r="AQ21" i="10" s="1"/>
  <c r="U20" i="10"/>
  <c r="U19" i="10"/>
  <c r="AA19" i="10" s="1"/>
  <c r="U18" i="10"/>
  <c r="AA18" i="10" s="1"/>
  <c r="U17" i="10"/>
  <c r="AA17" i="10" s="1"/>
  <c r="U16" i="10"/>
  <c r="U15" i="10"/>
  <c r="U14" i="10"/>
  <c r="AO14" i="10" s="1"/>
  <c r="U13" i="10"/>
  <c r="U12" i="10"/>
  <c r="U11" i="10"/>
  <c r="U10" i="10"/>
  <c r="AA10" i="10" s="1"/>
  <c r="U9" i="10"/>
  <c r="AO9" i="10" s="1"/>
  <c r="U8" i="10"/>
  <c r="AA8" i="10" s="1"/>
  <c r="U7" i="10"/>
  <c r="U6" i="10"/>
  <c r="U5" i="10"/>
  <c r="Y1" i="10"/>
  <c r="U29" i="9"/>
  <c r="U28" i="9"/>
  <c r="AA28" i="9" s="1"/>
  <c r="U27" i="9"/>
  <c r="U26" i="9"/>
  <c r="U25" i="9"/>
  <c r="U24" i="9"/>
  <c r="U23" i="9"/>
  <c r="U22" i="9"/>
  <c r="AA22" i="9" s="1"/>
  <c r="U21" i="9"/>
  <c r="AO21" i="9" s="1"/>
  <c r="U20" i="9"/>
  <c r="U19" i="9"/>
  <c r="AH19" i="9" s="1"/>
  <c r="U18" i="9"/>
  <c r="U17" i="9"/>
  <c r="AH17" i="9" s="1"/>
  <c r="AK17" i="9" s="1"/>
  <c r="U16" i="9"/>
  <c r="AH16" i="9" s="1"/>
  <c r="AL16" i="9" s="1"/>
  <c r="U15" i="9"/>
  <c r="AH15" i="9" s="1"/>
  <c r="AJ15" i="9" s="1"/>
  <c r="U14" i="9"/>
  <c r="AO14" i="9" s="1"/>
  <c r="AP14" i="9" s="1"/>
  <c r="U13" i="9"/>
  <c r="AO13" i="9" s="1"/>
  <c r="AS13" i="9" s="1"/>
  <c r="U12" i="9"/>
  <c r="U11" i="9"/>
  <c r="U10" i="9"/>
  <c r="U9" i="9"/>
  <c r="U8" i="9"/>
  <c r="AH8" i="9" s="1"/>
  <c r="AI8" i="9" s="1"/>
  <c r="U7" i="9"/>
  <c r="U6" i="9"/>
  <c r="AA6" i="9" s="1"/>
  <c r="AB6" i="9" s="1"/>
  <c r="U5" i="9"/>
  <c r="AO5" i="9" s="1"/>
  <c r="AS5" i="9" s="1"/>
  <c r="Y1" i="9"/>
  <c r="U29" i="8"/>
  <c r="AO29" i="8" s="1"/>
  <c r="AR29" i="8" s="1"/>
  <c r="U28" i="8"/>
  <c r="AH28" i="8" s="1"/>
  <c r="AL28" i="8" s="1"/>
  <c r="U27" i="8"/>
  <c r="AA27" i="8" s="1"/>
  <c r="AC27" i="8" s="1"/>
  <c r="U26" i="8"/>
  <c r="U25" i="8"/>
  <c r="AH25" i="8" s="1"/>
  <c r="AI25" i="8" s="1"/>
  <c r="U24" i="8"/>
  <c r="AO24" i="8" s="1"/>
  <c r="AS24" i="8" s="1"/>
  <c r="U23" i="8"/>
  <c r="AH23" i="8" s="1"/>
  <c r="AI23" i="8" s="1"/>
  <c r="U22" i="8"/>
  <c r="AH22" i="8" s="1"/>
  <c r="AI22" i="8" s="1"/>
  <c r="U21" i="8"/>
  <c r="AO21" i="8" s="1"/>
  <c r="AQ21" i="8" s="1"/>
  <c r="U20" i="8"/>
  <c r="AA20" i="8" s="1"/>
  <c r="AD20" i="8" s="1"/>
  <c r="U19" i="8"/>
  <c r="AH19" i="8" s="1"/>
  <c r="AK19" i="8" s="1"/>
  <c r="U18" i="8"/>
  <c r="AA18" i="8" s="1"/>
  <c r="AB18" i="8" s="1"/>
  <c r="U17" i="8"/>
  <c r="U16" i="8"/>
  <c r="AH16" i="8" s="1"/>
  <c r="AJ16" i="8" s="1"/>
  <c r="U15" i="8"/>
  <c r="U14" i="8"/>
  <c r="AH14" i="8" s="1"/>
  <c r="AI14" i="8" s="1"/>
  <c r="U13" i="8"/>
  <c r="AO13" i="8" s="1"/>
  <c r="AR13" i="8" s="1"/>
  <c r="U12" i="8"/>
  <c r="AH12" i="8" s="1"/>
  <c r="AL12" i="8" s="1"/>
  <c r="U11" i="8"/>
  <c r="AA11" i="8" s="1"/>
  <c r="AC11" i="8" s="1"/>
  <c r="U10" i="8"/>
  <c r="U9" i="8"/>
  <c r="AH9" i="8" s="1"/>
  <c r="AI9" i="8" s="1"/>
  <c r="U8" i="8"/>
  <c r="AO8" i="8" s="1"/>
  <c r="AS8" i="8" s="1"/>
  <c r="U7" i="8"/>
  <c r="AA7" i="8" s="1"/>
  <c r="AD7" i="8" s="1"/>
  <c r="U6" i="8"/>
  <c r="U5" i="8"/>
  <c r="AO5" i="8" s="1"/>
  <c r="AR5" i="8" s="1"/>
  <c r="U29" i="7"/>
  <c r="AO29" i="7" s="1"/>
  <c r="U28" i="7"/>
  <c r="AO28" i="7" s="1"/>
  <c r="AQ28" i="7" s="1"/>
  <c r="U27" i="7"/>
  <c r="U26" i="7"/>
  <c r="AH26" i="7" s="1"/>
  <c r="U25" i="7"/>
  <c r="AA25" i="7" s="1"/>
  <c r="AD25" i="7" s="1"/>
  <c r="U24" i="7"/>
  <c r="AA24" i="7" s="1"/>
  <c r="AE24" i="7" s="1"/>
  <c r="U23" i="7"/>
  <c r="AH23" i="7" s="1"/>
  <c r="U22" i="7"/>
  <c r="U21" i="7"/>
  <c r="AA21" i="7" s="1"/>
  <c r="AB21" i="7" s="1"/>
  <c r="U20" i="7"/>
  <c r="U19" i="7"/>
  <c r="U18" i="7"/>
  <c r="U17" i="7"/>
  <c r="U16" i="7"/>
  <c r="AO16" i="7" s="1"/>
  <c r="U15" i="7"/>
  <c r="U14" i="7"/>
  <c r="U13" i="7"/>
  <c r="AH13" i="7" s="1"/>
  <c r="AK13" i="7" s="1"/>
  <c r="U12" i="7"/>
  <c r="AH12" i="7" s="1"/>
  <c r="AI12" i="7" s="1"/>
  <c r="U11" i="7"/>
  <c r="U10" i="7"/>
  <c r="AH10" i="7" s="1"/>
  <c r="U9" i="7"/>
  <c r="AO9" i="7" s="1"/>
  <c r="AS9" i="7" s="1"/>
  <c r="U8" i="7"/>
  <c r="U7" i="7"/>
  <c r="AH7" i="7" s="1"/>
  <c r="U6" i="7"/>
  <c r="AA6" i="7" s="1"/>
  <c r="AB6" i="7" s="1"/>
  <c r="U5" i="7"/>
  <c r="Y1" i="7"/>
  <c r="U6" i="6"/>
  <c r="U7" i="6"/>
  <c r="U8" i="6"/>
  <c r="U9" i="6"/>
  <c r="U10" i="6"/>
  <c r="U11" i="6"/>
  <c r="U12" i="6"/>
  <c r="U13" i="6"/>
  <c r="U14" i="6"/>
  <c r="U15" i="6"/>
  <c r="U16" i="6"/>
  <c r="U17" i="6"/>
  <c r="U18" i="6"/>
  <c r="U19" i="6"/>
  <c r="U20" i="6"/>
  <c r="U21" i="6"/>
  <c r="U22" i="6"/>
  <c r="U23" i="6"/>
  <c r="U24" i="6"/>
  <c r="U25" i="6"/>
  <c r="U26" i="6"/>
  <c r="U27" i="6"/>
  <c r="U28" i="6"/>
  <c r="U29" i="6"/>
  <c r="U5" i="6"/>
  <c r="G47" i="20"/>
  <c r="G46" i="20"/>
  <c r="G45" i="20"/>
  <c r="G44" i="20"/>
  <c r="G43" i="20"/>
  <c r="G42" i="20"/>
  <c r="G41" i="20"/>
  <c r="G40" i="20"/>
  <c r="G39" i="20"/>
  <c r="G38" i="20"/>
  <c r="G37" i="20"/>
  <c r="G35" i="20"/>
  <c r="G34" i="20"/>
  <c r="G33" i="20"/>
  <c r="G32" i="20"/>
  <c r="G31" i="20"/>
  <c r="G30" i="20"/>
  <c r="G29" i="20"/>
  <c r="G28" i="20"/>
  <c r="G27" i="20"/>
  <c r="G26" i="20"/>
  <c r="G25" i="20"/>
  <c r="G23" i="20"/>
  <c r="G22" i="20"/>
  <c r="G21" i="20"/>
  <c r="G20" i="20"/>
  <c r="G19" i="20"/>
  <c r="G18" i="20"/>
  <c r="G17" i="20"/>
  <c r="G16" i="20"/>
  <c r="G15" i="20"/>
  <c r="G13" i="20"/>
  <c r="G12" i="20"/>
  <c r="G11" i="20"/>
  <c r="G10" i="20"/>
  <c r="G9" i="20"/>
  <c r="G8" i="20"/>
  <c r="G7" i="20"/>
  <c r="G6" i="20"/>
  <c r="G5" i="20"/>
  <c r="G4" i="20"/>
  <c r="G3" i="20"/>
  <c r="G2" i="20"/>
  <c r="AH13" i="17" l="1"/>
  <c r="AL13" i="17" s="1"/>
  <c r="AH6" i="17"/>
  <c r="AK6" i="17" s="1"/>
  <c r="AO23" i="17"/>
  <c r="AQ23" i="17" s="1"/>
  <c r="AA12" i="17"/>
  <c r="AE12" i="17" s="1"/>
  <c r="AO12" i="17"/>
  <c r="AP12" i="17" s="1"/>
  <c r="AK12" i="17"/>
  <c r="AI12" i="17"/>
  <c r="AH23" i="17"/>
  <c r="AL23" i="17" s="1"/>
  <c r="AO9" i="17"/>
  <c r="AQ9" i="17" s="1"/>
  <c r="AI15" i="17"/>
  <c r="AA10" i="17"/>
  <c r="AD10" i="17" s="1"/>
  <c r="AK15" i="17"/>
  <c r="AA26" i="17"/>
  <c r="AB26" i="17" s="1"/>
  <c r="AJ15" i="17"/>
  <c r="AO26" i="17"/>
  <c r="AS26" i="17" s="1"/>
  <c r="AS5" i="16"/>
  <c r="AA25" i="16"/>
  <c r="AE25" i="16" s="1"/>
  <c r="AO25" i="16"/>
  <c r="AQ25" i="16" s="1"/>
  <c r="AA7" i="16"/>
  <c r="AB7" i="16" s="1"/>
  <c r="AH7" i="16"/>
  <c r="AL7" i="16" s="1"/>
  <c r="AO16" i="16"/>
  <c r="AQ16" i="16" s="1"/>
  <c r="AA26" i="16"/>
  <c r="AB26" i="16" s="1"/>
  <c r="AH26" i="16"/>
  <c r="AK26" i="16" s="1"/>
  <c r="AH21" i="16"/>
  <c r="AI21" i="16" s="1"/>
  <c r="AH5" i="16"/>
  <c r="AI5" i="16" s="1"/>
  <c r="AO12" i="16"/>
  <c r="AS12" i="16" s="1"/>
  <c r="AL8" i="16"/>
  <c r="AA21" i="16"/>
  <c r="AC21" i="16" s="1"/>
  <c r="AA12" i="16"/>
  <c r="AC12" i="16" s="1"/>
  <c r="AP5" i="16"/>
  <c r="AK8" i="16"/>
  <c r="AK12" i="16"/>
  <c r="AA16" i="15"/>
  <c r="AC16" i="15" s="1"/>
  <c r="AS5" i="15"/>
  <c r="AH20" i="15"/>
  <c r="AJ20" i="15" s="1"/>
  <c r="AH5" i="15"/>
  <c r="AL5" i="15" s="1"/>
  <c r="AP5" i="15"/>
  <c r="AH23" i="15"/>
  <c r="AL23" i="15" s="1"/>
  <c r="AO6" i="15"/>
  <c r="AQ6" i="15" s="1"/>
  <c r="AA7" i="15"/>
  <c r="AE7" i="15" s="1"/>
  <c r="AC25" i="15"/>
  <c r="AH7" i="15"/>
  <c r="AI7" i="15" s="1"/>
  <c r="AH25" i="15"/>
  <c r="AI25" i="15" s="1"/>
  <c r="AO25" i="15"/>
  <c r="AS25" i="15" s="1"/>
  <c r="AO12" i="15"/>
  <c r="AS12" i="15" s="1"/>
  <c r="AO20" i="15"/>
  <c r="AS20" i="15" s="1"/>
  <c r="AQ5" i="15"/>
  <c r="AH14" i="15"/>
  <c r="AL14" i="15" s="1"/>
  <c r="AH21" i="15"/>
  <c r="AL21" i="15" s="1"/>
  <c r="AH16" i="14"/>
  <c r="AI16" i="14" s="1"/>
  <c r="AA9" i="14"/>
  <c r="AD9" i="14" s="1"/>
  <c r="AH25" i="14"/>
  <c r="AJ25" i="14" s="1"/>
  <c r="AO25" i="14"/>
  <c r="AS25" i="14" s="1"/>
  <c r="AH9" i="14"/>
  <c r="AL9" i="14" s="1"/>
  <c r="AA21" i="14"/>
  <c r="AE21" i="14" s="1"/>
  <c r="AA5" i="14"/>
  <c r="AE5" i="14" s="1"/>
  <c r="AH5" i="14"/>
  <c r="AL5" i="14" s="1"/>
  <c r="AH21" i="14"/>
  <c r="AL21" i="14" s="1"/>
  <c r="AA12" i="14"/>
  <c r="AC12" i="14" s="1"/>
  <c r="AP5" i="14"/>
  <c r="AO12" i="14"/>
  <c r="AQ12" i="14" s="1"/>
  <c r="AR21" i="14"/>
  <c r="AR5" i="14"/>
  <c r="AS21" i="14"/>
  <c r="AS5" i="14"/>
  <c r="AB23" i="17"/>
  <c r="AE23" i="17"/>
  <c r="AD23" i="17"/>
  <c r="AC23" i="17"/>
  <c r="AQ23" i="15"/>
  <c r="AS23" i="15"/>
  <c r="AR23" i="15"/>
  <c r="AE16" i="14"/>
  <c r="AD16" i="14"/>
  <c r="AC16" i="14"/>
  <c r="AB16" i="14"/>
  <c r="AE25" i="14"/>
  <c r="AD25" i="14"/>
  <c r="AC25" i="14"/>
  <c r="AB25" i="14"/>
  <c r="AQ7" i="15"/>
  <c r="AS7" i="15"/>
  <c r="AR7" i="15"/>
  <c r="AP7" i="15"/>
  <c r="AJ12" i="15"/>
  <c r="AL12" i="15"/>
  <c r="AK12" i="15"/>
  <c r="AI12" i="15"/>
  <c r="AA10" i="14"/>
  <c r="AC10" i="14" s="1"/>
  <c r="AP21" i="15"/>
  <c r="AH22" i="17"/>
  <c r="AJ22" i="17" s="1"/>
  <c r="AQ14" i="15"/>
  <c r="AS21" i="15"/>
  <c r="AB6" i="16"/>
  <c r="AO8" i="16"/>
  <c r="AQ8" i="16" s="1"/>
  <c r="AH19" i="16"/>
  <c r="AL19" i="16" s="1"/>
  <c r="AQ5" i="17"/>
  <c r="AA24" i="17"/>
  <c r="AB24" i="17" s="1"/>
  <c r="AA19" i="16"/>
  <c r="AE19" i="16" s="1"/>
  <c r="AP5" i="17"/>
  <c r="AA7" i="14"/>
  <c r="AE7" i="14" s="1"/>
  <c r="AO10" i="14"/>
  <c r="AP10" i="14" s="1"/>
  <c r="AB25" i="15"/>
  <c r="AC6" i="16"/>
  <c r="AR5" i="17"/>
  <c r="AA19" i="17"/>
  <c r="AE19" i="17" s="1"/>
  <c r="AO22" i="17"/>
  <c r="AQ22" i="17" s="1"/>
  <c r="AD6" i="16"/>
  <c r="AP21" i="14"/>
  <c r="AA5" i="15"/>
  <c r="AB5" i="15" s="1"/>
  <c r="AA12" i="15"/>
  <c r="AD12" i="15" s="1"/>
  <c r="AE25" i="15"/>
  <c r="AA5" i="16"/>
  <c r="AH6" i="16"/>
  <c r="AJ6" i="16" s="1"/>
  <c r="AE9" i="16"/>
  <c r="AO19" i="17"/>
  <c r="AS19" i="17" s="1"/>
  <c r="AJ24" i="17"/>
  <c r="AA23" i="15"/>
  <c r="AO6" i="16"/>
  <c r="AP6" i="16" s="1"/>
  <c r="AH9" i="16"/>
  <c r="AL9" i="16" s="1"/>
  <c r="AA15" i="17"/>
  <c r="AB15" i="17" s="1"/>
  <c r="AK24" i="17"/>
  <c r="AH29" i="17"/>
  <c r="AL29" i="17" s="1"/>
  <c r="AO9" i="16"/>
  <c r="AR9" i="16" s="1"/>
  <c r="AL24" i="17"/>
  <c r="AO24" i="17"/>
  <c r="AS24" i="17" s="1"/>
  <c r="AA23" i="14"/>
  <c r="AE23" i="14" s="1"/>
  <c r="AE9" i="15"/>
  <c r="AA17" i="16"/>
  <c r="AB17" i="16" s="1"/>
  <c r="AA5" i="17"/>
  <c r="AB5" i="17" s="1"/>
  <c r="AH25" i="17"/>
  <c r="AI25" i="17" s="1"/>
  <c r="AO17" i="14"/>
  <c r="AS17" i="14" s="1"/>
  <c r="AH23" i="14"/>
  <c r="AK23" i="14" s="1"/>
  <c r="AH9" i="15"/>
  <c r="AI9" i="15" s="1"/>
  <c r="AA8" i="16"/>
  <c r="AB8" i="16" s="1"/>
  <c r="AH17" i="16"/>
  <c r="AL17" i="16" s="1"/>
  <c r="AA21" i="17"/>
  <c r="AD21" i="17" s="1"/>
  <c r="AA21" i="15"/>
  <c r="AD21" i="15" s="1"/>
  <c r="AH5" i="17"/>
  <c r="AE9" i="17"/>
  <c r="AO9" i="15"/>
  <c r="AS9" i="15" s="1"/>
  <c r="AO17" i="15"/>
  <c r="AS17" i="15" s="1"/>
  <c r="AQ5" i="16"/>
  <c r="AJ8" i="16"/>
  <c r="AH21" i="17"/>
  <c r="AL21" i="17" s="1"/>
  <c r="AO6" i="14"/>
  <c r="AP6" i="14" s="1"/>
  <c r="AH11" i="15"/>
  <c r="AL14" i="17"/>
  <c r="AJ14" i="17"/>
  <c r="AA14" i="15"/>
  <c r="AH14" i="14"/>
  <c r="AK14" i="14" s="1"/>
  <c r="AR14" i="15"/>
  <c r="AA14" i="14"/>
  <c r="AE14" i="14" s="1"/>
  <c r="AS14" i="15"/>
  <c r="AO20" i="13"/>
  <c r="AP20" i="13" s="1"/>
  <c r="AH7" i="13"/>
  <c r="AL7" i="13" s="1"/>
  <c r="AH23" i="13"/>
  <c r="AK23" i="13" s="1"/>
  <c r="AA5" i="13"/>
  <c r="AE5" i="13" s="1"/>
  <c r="AA19" i="13"/>
  <c r="AC19" i="13" s="1"/>
  <c r="AD7" i="13"/>
  <c r="AE7" i="13"/>
  <c r="AH12" i="13"/>
  <c r="AJ12" i="13" s="1"/>
  <c r="AP5" i="13"/>
  <c r="AO14" i="13"/>
  <c r="AP14" i="13" s="1"/>
  <c r="AL8" i="13"/>
  <c r="AA21" i="13"/>
  <c r="AB21" i="13" s="1"/>
  <c r="AP21" i="13"/>
  <c r="AR21" i="13"/>
  <c r="AS21" i="13"/>
  <c r="AH5" i="13"/>
  <c r="AJ5" i="13" s="1"/>
  <c r="AQ5" i="13"/>
  <c r="AP12" i="13"/>
  <c r="AS12" i="13"/>
  <c r="AR12" i="13"/>
  <c r="AQ12" i="13"/>
  <c r="AA17" i="13"/>
  <c r="AC17" i="13" s="1"/>
  <c r="AK17" i="13"/>
  <c r="AK8" i="13"/>
  <c r="AA12" i="13"/>
  <c r="AE12" i="13" s="1"/>
  <c r="AO17" i="13"/>
  <c r="AR17" i="13" s="1"/>
  <c r="AH21" i="13"/>
  <c r="AJ21" i="13" s="1"/>
  <c r="AA26" i="13"/>
  <c r="AE26" i="13" s="1"/>
  <c r="AO8" i="13"/>
  <c r="AP8" i="13" s="1"/>
  <c r="AO26" i="13"/>
  <c r="AS26" i="13" s="1"/>
  <c r="AH9" i="13"/>
  <c r="AR5" i="13"/>
  <c r="AA16" i="13"/>
  <c r="AE16" i="13" s="1"/>
  <c r="AO19" i="13"/>
  <c r="AP19" i="13" s="1"/>
  <c r="AO22" i="13"/>
  <c r="AP22" i="13" s="1"/>
  <c r="AH16" i="13"/>
  <c r="AL16" i="13" s="1"/>
  <c r="AH6" i="13"/>
  <c r="AL6" i="13" s="1"/>
  <c r="AO6" i="13"/>
  <c r="AS6" i="13" s="1"/>
  <c r="AA14" i="13"/>
  <c r="AD14" i="13" s="1"/>
  <c r="AH25" i="13"/>
  <c r="AL25" i="13" s="1"/>
  <c r="AA5" i="12"/>
  <c r="AE5" i="12" s="1"/>
  <c r="AH5" i="12"/>
  <c r="AL5" i="12" s="1"/>
  <c r="AA21" i="12"/>
  <c r="AE21" i="12" s="1"/>
  <c r="AH9" i="12"/>
  <c r="AJ9" i="12" s="1"/>
  <c r="AH21" i="12"/>
  <c r="AL21" i="12" s="1"/>
  <c r="AO13" i="12"/>
  <c r="AQ13" i="12" s="1"/>
  <c r="AL13" i="12"/>
  <c r="AK13" i="12"/>
  <c r="AJ13" i="12"/>
  <c r="AI13" i="12"/>
  <c r="AA23" i="12"/>
  <c r="AB23" i="12" s="1"/>
  <c r="AH14" i="12"/>
  <c r="AL14" i="12" s="1"/>
  <c r="AH23" i="12"/>
  <c r="AL23" i="12" s="1"/>
  <c r="AA7" i="12"/>
  <c r="AD7" i="12" s="1"/>
  <c r="AA12" i="12"/>
  <c r="AE12" i="12" s="1"/>
  <c r="AA19" i="12"/>
  <c r="AB19" i="12" s="1"/>
  <c r="AH12" i="12"/>
  <c r="AL12" i="12" s="1"/>
  <c r="AO19" i="12"/>
  <c r="AP19" i="12" s="1"/>
  <c r="AO12" i="12"/>
  <c r="AR12" i="12" s="1"/>
  <c r="AH25" i="12"/>
  <c r="AI25" i="12" s="1"/>
  <c r="AA16" i="12"/>
  <c r="AH20" i="12"/>
  <c r="AI20" i="12" s="1"/>
  <c r="AO8" i="12"/>
  <c r="AQ8" i="12" s="1"/>
  <c r="AO26" i="12"/>
  <c r="AR26" i="12" s="1"/>
  <c r="AD9" i="12"/>
  <c r="AQ17" i="12"/>
  <c r="AA14" i="12"/>
  <c r="AE14" i="12" s="1"/>
  <c r="AH7" i="12"/>
  <c r="AJ7" i="12" s="1"/>
  <c r="AH16" i="12"/>
  <c r="AK16" i="12" s="1"/>
  <c r="AH29" i="12"/>
  <c r="AL29" i="12" s="1"/>
  <c r="AH21" i="11"/>
  <c r="AI21" i="11" s="1"/>
  <c r="AA6" i="11"/>
  <c r="AB6" i="11" s="1"/>
  <c r="AH6" i="11"/>
  <c r="AL6" i="11" s="1"/>
  <c r="AA19" i="11"/>
  <c r="AE19" i="11" s="1"/>
  <c r="AA8" i="11"/>
  <c r="AC8" i="11" s="1"/>
  <c r="AA21" i="11"/>
  <c r="AE21" i="11" s="1"/>
  <c r="AO22" i="11"/>
  <c r="AS22" i="11" s="1"/>
  <c r="AK17" i="11"/>
  <c r="AA17" i="11"/>
  <c r="AE17" i="11" s="1"/>
  <c r="AA12" i="11"/>
  <c r="AE12" i="11" s="1"/>
  <c r="AO17" i="11"/>
  <c r="AS17" i="11" s="1"/>
  <c r="AA5" i="11"/>
  <c r="AB5" i="11" s="1"/>
  <c r="AH12" i="11"/>
  <c r="AL12" i="11" s="1"/>
  <c r="AO12" i="11"/>
  <c r="AQ12" i="11" s="1"/>
  <c r="AA22" i="11"/>
  <c r="AE22" i="11" s="1"/>
  <c r="AJ8" i="11"/>
  <c r="AA23" i="11"/>
  <c r="AC23" i="11" s="1"/>
  <c r="AH5" i="11"/>
  <c r="AK5" i="11" s="1"/>
  <c r="AP5" i="11"/>
  <c r="AQ5" i="11"/>
  <c r="AK8" i="11"/>
  <c r="AO19" i="11"/>
  <c r="AR19" i="11" s="1"/>
  <c r="AH23" i="11"/>
  <c r="AL8" i="11"/>
  <c r="AA14" i="11"/>
  <c r="AE14" i="11" s="1"/>
  <c r="AS5" i="11"/>
  <c r="AO8" i="11"/>
  <c r="AS8" i="11" s="1"/>
  <c r="AH14" i="11"/>
  <c r="AL14" i="11" s="1"/>
  <c r="AH7" i="11"/>
  <c r="AL7" i="11" s="1"/>
  <c r="AB25" i="10"/>
  <c r="AA21" i="10"/>
  <c r="AE21" i="10" s="1"/>
  <c r="AH21" i="10"/>
  <c r="AL21" i="10" s="1"/>
  <c r="AH9" i="10"/>
  <c r="AL9" i="10" s="1"/>
  <c r="AE23" i="10"/>
  <c r="AB23" i="10"/>
  <c r="AC23" i="10"/>
  <c r="AO5" i="10"/>
  <c r="AS5" i="10" s="1"/>
  <c r="AA9" i="10"/>
  <c r="AE9" i="10" s="1"/>
  <c r="AH25" i="10"/>
  <c r="AK25" i="10" s="1"/>
  <c r="AA14" i="10"/>
  <c r="AE14" i="10" s="1"/>
  <c r="AA7" i="10"/>
  <c r="AE7" i="10" s="1"/>
  <c r="AH14" i="10"/>
  <c r="AL14" i="10" s="1"/>
  <c r="AH7" i="10"/>
  <c r="AI7" i="10" s="1"/>
  <c r="AO25" i="10"/>
  <c r="AP25" i="10" s="1"/>
  <c r="AD23" i="10"/>
  <c r="AA5" i="10"/>
  <c r="AE5" i="10" s="1"/>
  <c r="AH5" i="10"/>
  <c r="AI5" i="10" s="1"/>
  <c r="AH23" i="10"/>
  <c r="AJ23" i="10" s="1"/>
  <c r="AH29" i="14"/>
  <c r="AL29" i="14" s="1"/>
  <c r="AH29" i="16"/>
  <c r="AJ29" i="16" s="1"/>
  <c r="AO29" i="10"/>
  <c r="AR29" i="10" s="1"/>
  <c r="AA17" i="9"/>
  <c r="AD17" i="9" s="1"/>
  <c r="AO17" i="9"/>
  <c r="AS17" i="9" s="1"/>
  <c r="AL17" i="9"/>
  <c r="AO6" i="9"/>
  <c r="AQ6" i="9" s="1"/>
  <c r="AH21" i="9"/>
  <c r="AI21" i="9" s="1"/>
  <c r="AA5" i="9"/>
  <c r="AB5" i="9" s="1"/>
  <c r="AQ14" i="9"/>
  <c r="AA7" i="9"/>
  <c r="AE7" i="9" s="1"/>
  <c r="AH7" i="9"/>
  <c r="AJ7" i="9" s="1"/>
  <c r="AR14" i="9"/>
  <c r="AA12" i="9"/>
  <c r="AD12" i="9" s="1"/>
  <c r="AH12" i="9"/>
  <c r="AI12" i="9" s="1"/>
  <c r="AA15" i="9"/>
  <c r="AC15" i="9" s="1"/>
  <c r="AA23" i="9"/>
  <c r="AC23" i="9" s="1"/>
  <c r="AH23" i="9"/>
  <c r="AL23" i="9" s="1"/>
  <c r="AO19" i="9"/>
  <c r="AQ19" i="9" s="1"/>
  <c r="AO12" i="9"/>
  <c r="AS12" i="9" s="1"/>
  <c r="AP5" i="9"/>
  <c r="AK15" i="9"/>
  <c r="AK8" i="9"/>
  <c r="AL15" i="9"/>
  <c r="AR5" i="9"/>
  <c r="AO15" i="9"/>
  <c r="AS15" i="9" s="1"/>
  <c r="AO8" i="9"/>
  <c r="AP8" i="9" s="1"/>
  <c r="AA14" i="9"/>
  <c r="AC14" i="9" s="1"/>
  <c r="AS14" i="9"/>
  <c r="AI15" i="9"/>
  <c r="AH5" i="9"/>
  <c r="AK5" i="9" s="1"/>
  <c r="AA8" i="9"/>
  <c r="AE8" i="9" s="1"/>
  <c r="AJ8" i="9"/>
  <c r="AA19" i="9"/>
  <c r="AE19" i="9" s="1"/>
  <c r="AQ5" i="9"/>
  <c r="AL8" i="9"/>
  <c r="AH6" i="9"/>
  <c r="AL6" i="9" s="1"/>
  <c r="AH14" i="9"/>
  <c r="AJ14" i="9" s="1"/>
  <c r="AA21" i="9"/>
  <c r="AD21" i="9" s="1"/>
  <c r="AD11" i="8"/>
  <c r="AE20" i="8"/>
  <c r="AE18" i="8"/>
  <c r="AI28" i="8"/>
  <c r="AI12" i="8"/>
  <c r="AJ22" i="8"/>
  <c r="AJ19" i="8"/>
  <c r="AJ14" i="8"/>
  <c r="AL16" i="8"/>
  <c r="AL14" i="8"/>
  <c r="AK25" i="8"/>
  <c r="AK22" i="8"/>
  <c r="AK9" i="8"/>
  <c r="AC18" i="8"/>
  <c r="AP5" i="8"/>
  <c r="AD27" i="8"/>
  <c r="AS29" i="8"/>
  <c r="AD18" i="8"/>
  <c r="AL25" i="8"/>
  <c r="AL9" i="8"/>
  <c r="AS21" i="8"/>
  <c r="AI19" i="8"/>
  <c r="AJ28" i="8"/>
  <c r="AJ12" i="8"/>
  <c r="AL23" i="8"/>
  <c r="AK16" i="8"/>
  <c r="AP24" i="8"/>
  <c r="AP8" i="8"/>
  <c r="AC7" i="8"/>
  <c r="AL22" i="8"/>
  <c r="AE11" i="8"/>
  <c r="AK14" i="8"/>
  <c r="AR24" i="8"/>
  <c r="AR8" i="8"/>
  <c r="AQ24" i="8"/>
  <c r="AE7" i="8"/>
  <c r="AI16" i="8"/>
  <c r="AJ25" i="8"/>
  <c r="AJ9" i="8"/>
  <c r="AP21" i="8"/>
  <c r="AQ5" i="8"/>
  <c r="AQ8" i="8"/>
  <c r="AE27" i="8"/>
  <c r="AB27" i="8"/>
  <c r="AB11" i="8"/>
  <c r="AC20" i="8"/>
  <c r="AL19" i="8"/>
  <c r="AK28" i="8"/>
  <c r="AK12" i="8"/>
  <c r="AQ29" i="8"/>
  <c r="AQ13" i="8"/>
  <c r="AJ23" i="8"/>
  <c r="AR21" i="8"/>
  <c r="AS5" i="8"/>
  <c r="AS13" i="8"/>
  <c r="AB7" i="8"/>
  <c r="AK23" i="8"/>
  <c r="AB20" i="8"/>
  <c r="AP29" i="8"/>
  <c r="AP13" i="8"/>
  <c r="AH7" i="8"/>
  <c r="AO7" i="8"/>
  <c r="AO17" i="8"/>
  <c r="AH11" i="8"/>
  <c r="AA19" i="8"/>
  <c r="AO19" i="8"/>
  <c r="AA12" i="8"/>
  <c r="AO12" i="8"/>
  <c r="AH21" i="8"/>
  <c r="AO16" i="8"/>
  <c r="AA23" i="8"/>
  <c r="AO23" i="8"/>
  <c r="AA16" i="8"/>
  <c r="AA9" i="8"/>
  <c r="AH20" i="8"/>
  <c r="AA5" i="8"/>
  <c r="AH29" i="8"/>
  <c r="AH13" i="8"/>
  <c r="AA14" i="8"/>
  <c r="AA21" i="8"/>
  <c r="AA25" i="8"/>
  <c r="AO28" i="13"/>
  <c r="AS28" i="13" s="1"/>
  <c r="AH28" i="12"/>
  <c r="AL28" i="12" s="1"/>
  <c r="AA28" i="12"/>
  <c r="AE28" i="12" s="1"/>
  <c r="AO28" i="12"/>
  <c r="AS28" i="12" s="1"/>
  <c r="AH6" i="7"/>
  <c r="AL6" i="7" s="1"/>
  <c r="AD6" i="7"/>
  <c r="AE6" i="7"/>
  <c r="AC6" i="7"/>
  <c r="AO6" i="7"/>
  <c r="AQ6" i="7" s="1"/>
  <c r="AH14" i="7"/>
  <c r="AK14" i="7" s="1"/>
  <c r="AO14" i="7"/>
  <c r="AP14" i="7" s="1"/>
  <c r="AP9" i="7"/>
  <c r="AQ9" i="7"/>
  <c r="AA12" i="7"/>
  <c r="AE12" i="7" s="1"/>
  <c r="AO13" i="7"/>
  <c r="AR13" i="7" s="1"/>
  <c r="AH24" i="7"/>
  <c r="AI24" i="7" s="1"/>
  <c r="AA9" i="7"/>
  <c r="AO24" i="7"/>
  <c r="AS24" i="7" s="1"/>
  <c r="AH9" i="7"/>
  <c r="AL9" i="7" s="1"/>
  <c r="AR16" i="7"/>
  <c r="AS16" i="7"/>
  <c r="AP16" i="7"/>
  <c r="AE25" i="7"/>
  <c r="AO15" i="7"/>
  <c r="AS15" i="7" s="1"/>
  <c r="AC25" i="7"/>
  <c r="AJ12" i="7"/>
  <c r="AA7" i="7"/>
  <c r="AC7" i="7" s="1"/>
  <c r="AH25" i="7"/>
  <c r="AJ25" i="7" s="1"/>
  <c r="AO26" i="7"/>
  <c r="AR26" i="7" s="1"/>
  <c r="AH22" i="7"/>
  <c r="AL22" i="7" s="1"/>
  <c r="AL12" i="7"/>
  <c r="AA5" i="7"/>
  <c r="AE5" i="7" s="1"/>
  <c r="AO7" i="7"/>
  <c r="AS7" i="7" s="1"/>
  <c r="AO12" i="7"/>
  <c r="AQ12" i="7" s="1"/>
  <c r="AO22" i="7"/>
  <c r="AP22" i="7" s="1"/>
  <c r="AK12" i="7"/>
  <c r="AA16" i="7"/>
  <c r="AC16" i="7" s="1"/>
  <c r="AH16" i="7"/>
  <c r="AJ16" i="7" s="1"/>
  <c r="AO10" i="7"/>
  <c r="AS10" i="7" s="1"/>
  <c r="AC18" i="15"/>
  <c r="AH18" i="10"/>
  <c r="AK18" i="10" s="1"/>
  <c r="AH18" i="15"/>
  <c r="AJ18" i="15" s="1"/>
  <c r="AC18" i="16"/>
  <c r="AD18" i="16"/>
  <c r="AE18" i="16"/>
  <c r="AH18" i="16"/>
  <c r="AI18" i="16" s="1"/>
  <c r="AH18" i="12"/>
  <c r="AI18" i="12" s="1"/>
  <c r="AH18" i="8"/>
  <c r="AH18" i="14"/>
  <c r="AA18" i="7"/>
  <c r="AB18" i="7" s="1"/>
  <c r="AH18" i="11"/>
  <c r="AL18" i="11" s="1"/>
  <c r="AH18" i="7"/>
  <c r="AL18" i="7" s="1"/>
  <c r="AA27" i="7"/>
  <c r="AC27" i="7" s="1"/>
  <c r="AH27" i="7"/>
  <c r="AL27" i="7" s="1"/>
  <c r="AO27" i="9"/>
  <c r="AS27" i="9" s="1"/>
  <c r="AA27" i="15"/>
  <c r="AC27" i="15" s="1"/>
  <c r="AH27" i="15"/>
  <c r="AJ27" i="15" s="1"/>
  <c r="AD27" i="16"/>
  <c r="AE27" i="16"/>
  <c r="AJ27" i="17"/>
  <c r="AI27" i="17"/>
  <c r="AH27" i="8"/>
  <c r="AH27" i="10"/>
  <c r="AL27" i="10" s="1"/>
  <c r="AH27" i="14"/>
  <c r="AL27" i="14" s="1"/>
  <c r="AH27" i="12"/>
  <c r="AI27" i="12" s="1"/>
  <c r="AH27" i="16"/>
  <c r="AJ27" i="16" s="1"/>
  <c r="AQ28" i="11"/>
  <c r="AP28" i="11"/>
  <c r="AS28" i="11"/>
  <c r="AR28" i="11"/>
  <c r="AB28" i="17"/>
  <c r="AE28" i="17"/>
  <c r="AD28" i="17"/>
  <c r="AC28" i="17"/>
  <c r="AA28" i="7"/>
  <c r="AH28" i="17"/>
  <c r="AK28" i="17" s="1"/>
  <c r="AJ28" i="16"/>
  <c r="AA28" i="8"/>
  <c r="AA28" i="13"/>
  <c r="AO28" i="16"/>
  <c r="AS28" i="16" s="1"/>
  <c r="AO28" i="8"/>
  <c r="AH28" i="9"/>
  <c r="AL28" i="9" s="1"/>
  <c r="AA28" i="11"/>
  <c r="AD28" i="11" s="1"/>
  <c r="AA28" i="16"/>
  <c r="AA28" i="14"/>
  <c r="AE28" i="14" s="1"/>
  <c r="AO28" i="14"/>
  <c r="AP28" i="14" s="1"/>
  <c r="AO28" i="17"/>
  <c r="AS28" i="17" s="1"/>
  <c r="AO28" i="9"/>
  <c r="AA28" i="10"/>
  <c r="AB28" i="10" s="1"/>
  <c r="AH28" i="11"/>
  <c r="AK28" i="11" s="1"/>
  <c r="AA28" i="15"/>
  <c r="AB28" i="15" s="1"/>
  <c r="AO28" i="15"/>
  <c r="AP28" i="15" s="1"/>
  <c r="AH28" i="7"/>
  <c r="AI28" i="7" s="1"/>
  <c r="AO28" i="10"/>
  <c r="AR28" i="10" s="1"/>
  <c r="AQ7" i="17"/>
  <c r="AP7" i="17"/>
  <c r="AS7" i="17"/>
  <c r="AR7" i="17"/>
  <c r="AH17" i="17"/>
  <c r="AO17" i="17"/>
  <c r="AA7" i="17"/>
  <c r="AR13" i="17"/>
  <c r="AS13" i="17"/>
  <c r="AA17" i="17"/>
  <c r="AK10" i="17"/>
  <c r="AJ10" i="17"/>
  <c r="AL10" i="17"/>
  <c r="AQ13" i="17"/>
  <c r="AI10" i="17"/>
  <c r="AH11" i="17"/>
  <c r="AA18" i="17"/>
  <c r="AH18" i="17"/>
  <c r="AP21" i="17"/>
  <c r="AO16" i="17"/>
  <c r="AA16" i="17"/>
  <c r="AH16" i="17"/>
  <c r="AA20" i="17"/>
  <c r="AO20" i="17"/>
  <c r="AH20" i="17"/>
  <c r="AQ21" i="17"/>
  <c r="AE6" i="17"/>
  <c r="AC6" i="17"/>
  <c r="AB6" i="17"/>
  <c r="AH8" i="17"/>
  <c r="AO8" i="17"/>
  <c r="AI14" i="17"/>
  <c r="AR21" i="17"/>
  <c r="AH7" i="17"/>
  <c r="AP13" i="17"/>
  <c r="AD11" i="17"/>
  <c r="AK14" i="17"/>
  <c r="AE22" i="17"/>
  <c r="AD22" i="17"/>
  <c r="AC22" i="17"/>
  <c r="AB22" i="17"/>
  <c r="AO11" i="17"/>
  <c r="AA13" i="17"/>
  <c r="AO18" i="17"/>
  <c r="AK27" i="17"/>
  <c r="AL27" i="17"/>
  <c r="AC11" i="17"/>
  <c r="AB11" i="17"/>
  <c r="AS25" i="17"/>
  <c r="AQ25" i="17"/>
  <c r="AR25" i="17"/>
  <c r="AP25" i="17"/>
  <c r="AA8" i="17"/>
  <c r="AL19" i="17"/>
  <c r="AK19" i="17"/>
  <c r="AJ19" i="17"/>
  <c r="AI19" i="17"/>
  <c r="AP29" i="17"/>
  <c r="AO6" i="17"/>
  <c r="AO10" i="17"/>
  <c r="AO14" i="17"/>
  <c r="AO15" i="17"/>
  <c r="AS29" i="17"/>
  <c r="AQ29" i="17"/>
  <c r="AB9" i="17"/>
  <c r="AC9" i="17"/>
  <c r="AA14" i="17"/>
  <c r="AA29" i="17"/>
  <c r="AL12" i="17"/>
  <c r="AJ12" i="17"/>
  <c r="AK26" i="17"/>
  <c r="AJ26" i="17"/>
  <c r="AI26" i="17"/>
  <c r="AA25" i="17"/>
  <c r="AA27" i="17"/>
  <c r="AO27" i="17"/>
  <c r="AH9" i="17"/>
  <c r="AD20" i="16"/>
  <c r="AC20" i="16"/>
  <c r="AE20" i="16"/>
  <c r="AB20" i="16"/>
  <c r="AL16" i="16"/>
  <c r="AK16" i="16"/>
  <c r="AI16" i="16"/>
  <c r="AI25" i="16"/>
  <c r="AO11" i="16"/>
  <c r="AH11" i="16"/>
  <c r="AJ16" i="16"/>
  <c r="AO10" i="16"/>
  <c r="AH10" i="16"/>
  <c r="AO14" i="16"/>
  <c r="AA14" i="16"/>
  <c r="AP15" i="16"/>
  <c r="AA10" i="16"/>
  <c r="AH13" i="16"/>
  <c r="AA13" i="16"/>
  <c r="AR29" i="16"/>
  <c r="AQ29" i="16"/>
  <c r="AP29" i="16"/>
  <c r="AR21" i="16"/>
  <c r="AP21" i="16"/>
  <c r="AQ21" i="16"/>
  <c r="AL25" i="16"/>
  <c r="AK25" i="16"/>
  <c r="AR13" i="16"/>
  <c r="AQ13" i="16"/>
  <c r="AS13" i="16"/>
  <c r="AL22" i="16"/>
  <c r="AJ22" i="16"/>
  <c r="AK22" i="16"/>
  <c r="AI22" i="16"/>
  <c r="AA11" i="16"/>
  <c r="AO23" i="16"/>
  <c r="AA23" i="16"/>
  <c r="AH14" i="16"/>
  <c r="AB9" i="16"/>
  <c r="AS29" i="16"/>
  <c r="AS17" i="16"/>
  <c r="AR17" i="16"/>
  <c r="AQ17" i="16"/>
  <c r="AP17" i="16"/>
  <c r="AO20" i="16"/>
  <c r="AS15" i="16"/>
  <c r="AR15" i="16"/>
  <c r="AC9" i="16"/>
  <c r="AL12" i="16"/>
  <c r="AI12" i="16"/>
  <c r="AS21" i="16"/>
  <c r="AS26" i="16"/>
  <c r="AR26" i="16"/>
  <c r="AQ26" i="16"/>
  <c r="AH20" i="16"/>
  <c r="AH23" i="16"/>
  <c r="AP26" i="16"/>
  <c r="AA22" i="16"/>
  <c r="AO22" i="16"/>
  <c r="AH15" i="16"/>
  <c r="AA15" i="16"/>
  <c r="AQ7" i="16"/>
  <c r="AP7" i="16"/>
  <c r="AR7" i="16"/>
  <c r="AS7" i="16"/>
  <c r="AA16" i="16"/>
  <c r="AR19" i="16"/>
  <c r="AH24" i="16"/>
  <c r="AA24" i="16"/>
  <c r="AR5" i="16"/>
  <c r="AP24" i="16"/>
  <c r="AL28" i="16"/>
  <c r="AK28" i="16"/>
  <c r="AQ24" i="16"/>
  <c r="AP19" i="16"/>
  <c r="AR24" i="16"/>
  <c r="AQ19" i="16"/>
  <c r="AC27" i="16"/>
  <c r="AB27" i="16"/>
  <c r="AA29" i="16"/>
  <c r="AO27" i="16"/>
  <c r="AO18" i="16"/>
  <c r="AL6" i="15"/>
  <c r="AK6" i="15"/>
  <c r="AJ6" i="15"/>
  <c r="AI6" i="15"/>
  <c r="AI29" i="15"/>
  <c r="AL29" i="15"/>
  <c r="AK29" i="15"/>
  <c r="AJ29" i="15"/>
  <c r="AH8" i="15"/>
  <c r="AA8" i="15"/>
  <c r="AD20" i="15"/>
  <c r="AC20" i="15"/>
  <c r="AB20" i="15"/>
  <c r="AJ16" i="15"/>
  <c r="AL16" i="15"/>
  <c r="AK16" i="15"/>
  <c r="AI16" i="15"/>
  <c r="AH15" i="15"/>
  <c r="AA15" i="15"/>
  <c r="AE20" i="15"/>
  <c r="AQ21" i="15"/>
  <c r="AO22" i="15"/>
  <c r="AA22" i="15"/>
  <c r="AK10" i="15"/>
  <c r="AJ10" i="15"/>
  <c r="AI10" i="15"/>
  <c r="AH19" i="15"/>
  <c r="AH22" i="15"/>
  <c r="AA24" i="15"/>
  <c r="AH24" i="15"/>
  <c r="AH26" i="15"/>
  <c r="AO26" i="15"/>
  <c r="AA29" i="15"/>
  <c r="AO29" i="15"/>
  <c r="AL28" i="15"/>
  <c r="AK28" i="15"/>
  <c r="AJ28" i="15"/>
  <c r="AI28" i="15"/>
  <c r="AS15" i="15"/>
  <c r="AR15" i="15"/>
  <c r="AQ15" i="15"/>
  <c r="AA10" i="15"/>
  <c r="AC26" i="15"/>
  <c r="AE26" i="15"/>
  <c r="AD26" i="15"/>
  <c r="AB26" i="15"/>
  <c r="AL10" i="15"/>
  <c r="AO19" i="15"/>
  <c r="AB9" i="15"/>
  <c r="AA13" i="15"/>
  <c r="AO13" i="15"/>
  <c r="AO24" i="15"/>
  <c r="AC9" i="15"/>
  <c r="AO10" i="15"/>
  <c r="AC11" i="15"/>
  <c r="AB11" i="15"/>
  <c r="AJ17" i="15"/>
  <c r="AI17" i="15"/>
  <c r="AE11" i="15"/>
  <c r="AA6" i="15"/>
  <c r="AO8" i="15"/>
  <c r="AK17" i="15"/>
  <c r="AP15" i="15"/>
  <c r="AA19" i="15"/>
  <c r="AH13" i="15"/>
  <c r="AB18" i="15"/>
  <c r="AE18" i="15"/>
  <c r="AA17" i="15"/>
  <c r="AO11" i="15"/>
  <c r="AO27" i="15"/>
  <c r="AO18" i="15"/>
  <c r="AO16" i="15"/>
  <c r="AP23" i="15"/>
  <c r="AI11" i="14"/>
  <c r="AL11" i="14"/>
  <c r="AA19" i="14"/>
  <c r="AA8" i="14"/>
  <c r="AC27" i="14"/>
  <c r="AB27" i="14"/>
  <c r="AD27" i="14"/>
  <c r="AE27" i="14"/>
  <c r="AR24" i="14"/>
  <c r="AH13" i="14"/>
  <c r="AS13" i="14"/>
  <c r="AR13" i="14"/>
  <c r="AQ13" i="14"/>
  <c r="AI20" i="14"/>
  <c r="AJ20" i="14"/>
  <c r="AK20" i="14"/>
  <c r="AC18" i="14"/>
  <c r="AL8" i="14"/>
  <c r="AD18" i="14"/>
  <c r="AO19" i="14"/>
  <c r="AH6" i="14"/>
  <c r="AL7" i="14"/>
  <c r="AK7" i="14"/>
  <c r="AJ7" i="14"/>
  <c r="AA26" i="14"/>
  <c r="AA22" i="14"/>
  <c r="AP24" i="14"/>
  <c r="AQ24" i="14"/>
  <c r="AO8" i="14"/>
  <c r="AI7" i="14"/>
  <c r="AK10" i="14"/>
  <c r="AJ10" i="14"/>
  <c r="AI10" i="14"/>
  <c r="AA11" i="14"/>
  <c r="AO11" i="14"/>
  <c r="AA17" i="14"/>
  <c r="AH15" i="14"/>
  <c r="AA15" i="14"/>
  <c r="AK11" i="14"/>
  <c r="AH24" i="14"/>
  <c r="AA24" i="14"/>
  <c r="AE6" i="14"/>
  <c r="AD6" i="14"/>
  <c r="AC6" i="14"/>
  <c r="AB6" i="14"/>
  <c r="AJ8" i="14"/>
  <c r="AL12" i="14"/>
  <c r="AK12" i="14"/>
  <c r="AJ12" i="14"/>
  <c r="AI12" i="14"/>
  <c r="AA13" i="14"/>
  <c r="AK26" i="14"/>
  <c r="AJ26" i="14"/>
  <c r="AI26" i="14"/>
  <c r="AK8" i="14"/>
  <c r="AJ17" i="14"/>
  <c r="AI17" i="14"/>
  <c r="AP29" i="14"/>
  <c r="AS29" i="14"/>
  <c r="AR29" i="14"/>
  <c r="AQ29" i="14"/>
  <c r="AO15" i="14"/>
  <c r="AE18" i="14"/>
  <c r="AH22" i="14"/>
  <c r="AK17" i="14"/>
  <c r="AA20" i="14"/>
  <c r="AO20" i="14"/>
  <c r="AA29" i="14"/>
  <c r="AL19" i="14"/>
  <c r="AK19" i="14"/>
  <c r="AJ19" i="14"/>
  <c r="AI19" i="14"/>
  <c r="AO22" i="14"/>
  <c r="AO26" i="14"/>
  <c r="AL28" i="14"/>
  <c r="AK28" i="14"/>
  <c r="AJ28" i="14"/>
  <c r="AI28" i="14"/>
  <c r="AO27" i="14"/>
  <c r="AO18" i="14"/>
  <c r="AP9" i="14"/>
  <c r="AO16" i="14"/>
  <c r="AO7" i="14"/>
  <c r="AQ9" i="14"/>
  <c r="AO23" i="14"/>
  <c r="AR9" i="14"/>
  <c r="AO14" i="14"/>
  <c r="AS10" i="13"/>
  <c r="AQ10" i="13"/>
  <c r="AP10" i="13"/>
  <c r="AR10" i="13"/>
  <c r="AO18" i="13"/>
  <c r="AA18" i="13"/>
  <c r="AH24" i="13"/>
  <c r="AO24" i="13"/>
  <c r="AA24" i="13"/>
  <c r="AJ20" i="13"/>
  <c r="AK20" i="13"/>
  <c r="AL20" i="13"/>
  <c r="AE25" i="13"/>
  <c r="AC25" i="13"/>
  <c r="AD25" i="13"/>
  <c r="AI27" i="13"/>
  <c r="AA11" i="13"/>
  <c r="AH11" i="13"/>
  <c r="AO11" i="13"/>
  <c r="AH10" i="13"/>
  <c r="AA10" i="13"/>
  <c r="AH18" i="13"/>
  <c r="AL27" i="13"/>
  <c r="AK27" i="13"/>
  <c r="AB25" i="13"/>
  <c r="AS29" i="13"/>
  <c r="AR29" i="13"/>
  <c r="AQ29" i="13"/>
  <c r="AA13" i="13"/>
  <c r="AO13" i="13"/>
  <c r="AH13" i="13"/>
  <c r="AH15" i="13"/>
  <c r="AO15" i="13"/>
  <c r="AA15" i="13"/>
  <c r="AP29" i="13"/>
  <c r="AA29" i="13"/>
  <c r="AB23" i="13"/>
  <c r="AC23" i="13"/>
  <c r="AB7" i="13"/>
  <c r="AA8" i="13"/>
  <c r="AE9" i="13"/>
  <c r="AC7" i="13"/>
  <c r="AH22" i="13"/>
  <c r="AE23" i="13"/>
  <c r="AH29" i="13"/>
  <c r="AB22" i="13"/>
  <c r="AE22" i="13"/>
  <c r="AC22" i="13"/>
  <c r="AD22" i="13"/>
  <c r="AB9" i="13"/>
  <c r="AC6" i="13"/>
  <c r="AE6" i="13"/>
  <c r="AD6" i="13"/>
  <c r="AB6" i="13"/>
  <c r="AC9" i="13"/>
  <c r="AL14" i="13"/>
  <c r="AJ14" i="13"/>
  <c r="AK14" i="13"/>
  <c r="AL19" i="13"/>
  <c r="AK19" i="13"/>
  <c r="AJ19" i="13"/>
  <c r="AI19" i="13"/>
  <c r="AA20" i="13"/>
  <c r="AJ8" i="13"/>
  <c r="AJ17" i="13"/>
  <c r="AI17" i="13"/>
  <c r="AK26" i="13"/>
  <c r="AJ26" i="13"/>
  <c r="AI26" i="13"/>
  <c r="AO27" i="13"/>
  <c r="AA27" i="13"/>
  <c r="AO16" i="13"/>
  <c r="AJ28" i="13"/>
  <c r="AO7" i="13"/>
  <c r="AO23" i="13"/>
  <c r="AK28" i="13"/>
  <c r="AO9" i="13"/>
  <c r="AL28" i="13"/>
  <c r="AO25" i="13"/>
  <c r="AL22" i="12"/>
  <c r="AK22" i="12"/>
  <c r="AJ22" i="12"/>
  <c r="AI22" i="12"/>
  <c r="AB18" i="12"/>
  <c r="AE18" i="12"/>
  <c r="AC18" i="12"/>
  <c r="AC27" i="12"/>
  <c r="AB27" i="12"/>
  <c r="AE27" i="12"/>
  <c r="AL11" i="12"/>
  <c r="AK11" i="12"/>
  <c r="AJ11" i="12"/>
  <c r="AI11" i="12"/>
  <c r="AS21" i="12"/>
  <c r="AR21" i="12"/>
  <c r="AQ21" i="12"/>
  <c r="AP21" i="12"/>
  <c r="AP5" i="12"/>
  <c r="AR5" i="12"/>
  <c r="AS5" i="12"/>
  <c r="AB25" i="12"/>
  <c r="AC25" i="12"/>
  <c r="AA6" i="12"/>
  <c r="AO6" i="12"/>
  <c r="AH6" i="12"/>
  <c r="AD25" i="12"/>
  <c r="AH24" i="12"/>
  <c r="AA24" i="12"/>
  <c r="AO24" i="12"/>
  <c r="AA22" i="12"/>
  <c r="AO22" i="12"/>
  <c r="AP17" i="12"/>
  <c r="AD18" i="12"/>
  <c r="AH10" i="12"/>
  <c r="AO10" i="12"/>
  <c r="AA10" i="12"/>
  <c r="AD27" i="12"/>
  <c r="AH15" i="12"/>
  <c r="AA15" i="12"/>
  <c r="AO15" i="12"/>
  <c r="AR17" i="12"/>
  <c r="AH17" i="12"/>
  <c r="AA17" i="12"/>
  <c r="AP29" i="12"/>
  <c r="AQ29" i="12"/>
  <c r="AS29" i="12"/>
  <c r="AR29" i="12"/>
  <c r="AK26" i="12"/>
  <c r="AJ26" i="12"/>
  <c r="AI26" i="12"/>
  <c r="AD20" i="12"/>
  <c r="AC20" i="12"/>
  <c r="AB20" i="12"/>
  <c r="AB9" i="12"/>
  <c r="AE20" i="12"/>
  <c r="AC9" i="12"/>
  <c r="AA13" i="12"/>
  <c r="AL19" i="12"/>
  <c r="AK19" i="12"/>
  <c r="AJ19" i="12"/>
  <c r="AI19" i="12"/>
  <c r="AA26" i="12"/>
  <c r="AH8" i="12"/>
  <c r="AA8" i="12"/>
  <c r="AL26" i="12"/>
  <c r="AA29" i="12"/>
  <c r="AO20" i="12"/>
  <c r="AO27" i="12"/>
  <c r="AO18" i="12"/>
  <c r="AO9" i="12"/>
  <c r="AO25" i="12"/>
  <c r="AO11" i="12"/>
  <c r="AO16" i="12"/>
  <c r="AO7" i="12"/>
  <c r="AA11" i="12"/>
  <c r="AO23" i="12"/>
  <c r="AO14" i="12"/>
  <c r="AH15" i="11"/>
  <c r="AA15" i="11"/>
  <c r="AO15" i="11"/>
  <c r="AQ6" i="11"/>
  <c r="AS6" i="11"/>
  <c r="AR6" i="11"/>
  <c r="AQ21" i="11"/>
  <c r="AP21" i="11"/>
  <c r="AS21" i="11"/>
  <c r="AR21" i="11"/>
  <c r="AP6" i="11"/>
  <c r="AI16" i="11"/>
  <c r="AP13" i="11"/>
  <c r="AQ13" i="11"/>
  <c r="AK16" i="11"/>
  <c r="AS13" i="11"/>
  <c r="AA27" i="11"/>
  <c r="AH27" i="11"/>
  <c r="AO27" i="11"/>
  <c r="AL20" i="11"/>
  <c r="AK20" i="11"/>
  <c r="AJ20" i="11"/>
  <c r="AD7" i="11"/>
  <c r="AB7" i="11"/>
  <c r="AE7" i="11"/>
  <c r="AC7" i="11"/>
  <c r="AJ9" i="11"/>
  <c r="AL9" i="11"/>
  <c r="AK9" i="11"/>
  <c r="AI9" i="11"/>
  <c r="AH10" i="11"/>
  <c r="AO10" i="11"/>
  <c r="AA10" i="11"/>
  <c r="AJ16" i="11"/>
  <c r="AA25" i="11"/>
  <c r="AH25" i="11"/>
  <c r="AO25" i="11"/>
  <c r="AA11" i="11"/>
  <c r="AH11" i="11"/>
  <c r="AO11" i="11"/>
  <c r="AH24" i="11"/>
  <c r="AA24" i="11"/>
  <c r="AA29" i="11"/>
  <c r="AO29" i="11"/>
  <c r="AH29" i="11"/>
  <c r="AA20" i="11"/>
  <c r="AO20" i="11"/>
  <c r="AA9" i="11"/>
  <c r="AO9" i="11"/>
  <c r="AO24" i="11"/>
  <c r="AL19" i="11"/>
  <c r="AI19" i="11"/>
  <c r="AK19" i="11"/>
  <c r="AJ19" i="11"/>
  <c r="AH13" i="11"/>
  <c r="AA13" i="11"/>
  <c r="AH26" i="11"/>
  <c r="AA26" i="11"/>
  <c r="AO26" i="11"/>
  <c r="AL22" i="11"/>
  <c r="AK22" i="11"/>
  <c r="AI22" i="11"/>
  <c r="AJ22" i="11"/>
  <c r="AR18" i="11"/>
  <c r="AS18" i="11"/>
  <c r="AQ18" i="11"/>
  <c r="AO16" i="11"/>
  <c r="AP18" i="11"/>
  <c r="AA16" i="11"/>
  <c r="AA18" i="11"/>
  <c r="AJ17" i="11"/>
  <c r="AI17" i="11"/>
  <c r="AO23" i="11"/>
  <c r="AO14" i="11"/>
  <c r="AO7" i="11"/>
  <c r="AL22" i="10"/>
  <c r="AK22" i="10"/>
  <c r="AJ22" i="10"/>
  <c r="AI22" i="10"/>
  <c r="AE8" i="10"/>
  <c r="AC8" i="10"/>
  <c r="AB8" i="10"/>
  <c r="AD8" i="10"/>
  <c r="AE10" i="10"/>
  <c r="AD10" i="10"/>
  <c r="AC10" i="10"/>
  <c r="AB10" i="10"/>
  <c r="AA6" i="10"/>
  <c r="AO6" i="10"/>
  <c r="AD17" i="10"/>
  <c r="AC17" i="10"/>
  <c r="AE17" i="10"/>
  <c r="AB17" i="10"/>
  <c r="AH12" i="10"/>
  <c r="AO12" i="10"/>
  <c r="AR14" i="10"/>
  <c r="AP14" i="10"/>
  <c r="AQ14" i="10"/>
  <c r="AA20" i="10"/>
  <c r="AO20" i="10"/>
  <c r="AH20" i="10"/>
  <c r="AH26" i="10"/>
  <c r="AO26" i="10"/>
  <c r="AA26" i="10"/>
  <c r="AO16" i="10"/>
  <c r="AH16" i="10"/>
  <c r="AE18" i="10"/>
  <c r="AD18" i="10"/>
  <c r="AH6" i="10"/>
  <c r="AA16" i="10"/>
  <c r="AB18" i="10"/>
  <c r="AC18" i="10"/>
  <c r="AS24" i="10"/>
  <c r="AR24" i="10"/>
  <c r="AO19" i="10"/>
  <c r="AH19" i="10"/>
  <c r="AQ24" i="10"/>
  <c r="AI29" i="10"/>
  <c r="AE19" i="10"/>
  <c r="AD19" i="10"/>
  <c r="AC19" i="10"/>
  <c r="AB19" i="10"/>
  <c r="AH8" i="10"/>
  <c r="AO8" i="10"/>
  <c r="AH10" i="10"/>
  <c r="AO10" i="10"/>
  <c r="AA22" i="10"/>
  <c r="AO22" i="10"/>
  <c r="AA12" i="10"/>
  <c r="AP24" i="10"/>
  <c r="AS14" i="10"/>
  <c r="AB27" i="10"/>
  <c r="AE27" i="10"/>
  <c r="AH13" i="10"/>
  <c r="AO13" i="10"/>
  <c r="AH17" i="10"/>
  <c r="AO17" i="10"/>
  <c r="AC27" i="10"/>
  <c r="AJ29" i="10"/>
  <c r="AA11" i="10"/>
  <c r="AO11" i="10"/>
  <c r="AH11" i="10"/>
  <c r="AA15" i="10"/>
  <c r="AH15" i="10"/>
  <c r="AO15" i="10"/>
  <c r="AD27" i="10"/>
  <c r="AK29" i="10"/>
  <c r="AA13" i="10"/>
  <c r="AR21" i="10"/>
  <c r="AP21" i="10"/>
  <c r="AC25" i="10"/>
  <c r="AD25" i="10"/>
  <c r="AE25" i="10"/>
  <c r="AR9" i="10"/>
  <c r="AQ9" i="10"/>
  <c r="AP9" i="10"/>
  <c r="AS21" i="10"/>
  <c r="AA29" i="10"/>
  <c r="AH24" i="10"/>
  <c r="AA24" i="10"/>
  <c r="AS9" i="10"/>
  <c r="AL28" i="10"/>
  <c r="AK28" i="10"/>
  <c r="AJ28" i="10"/>
  <c r="AI28" i="10"/>
  <c r="AO27" i="10"/>
  <c r="AO18" i="10"/>
  <c r="AO23" i="10"/>
  <c r="AO7" i="10"/>
  <c r="AH24" i="9"/>
  <c r="AO24" i="9"/>
  <c r="AA29" i="9"/>
  <c r="AH29" i="9"/>
  <c r="AH26" i="9"/>
  <c r="AO26" i="9"/>
  <c r="AP13" i="9"/>
  <c r="AA18" i="9"/>
  <c r="AO18" i="9"/>
  <c r="AQ21" i="9"/>
  <c r="AP21" i="9"/>
  <c r="AE22" i="9"/>
  <c r="AD22" i="9"/>
  <c r="AC22" i="9"/>
  <c r="AB22" i="9"/>
  <c r="AQ13" i="9"/>
  <c r="AA11" i="9"/>
  <c r="AH11" i="9"/>
  <c r="AR13" i="9"/>
  <c r="AJ16" i="9"/>
  <c r="AA24" i="9"/>
  <c r="AK16" i="9"/>
  <c r="AA26" i="9"/>
  <c r="AH10" i="9"/>
  <c r="AO10" i="9"/>
  <c r="AE28" i="9"/>
  <c r="AD28" i="9"/>
  <c r="AC28" i="9"/>
  <c r="AH18" i="9"/>
  <c r="AA20" i="9"/>
  <c r="AO20" i="9"/>
  <c r="AH20" i="9"/>
  <c r="AB28" i="9"/>
  <c r="AO11" i="9"/>
  <c r="AA25" i="9"/>
  <c r="AO25" i="9"/>
  <c r="AH25" i="9"/>
  <c r="AO29" i="9"/>
  <c r="AA9" i="9"/>
  <c r="AO9" i="9"/>
  <c r="AH9" i="9"/>
  <c r="AI16" i="9"/>
  <c r="AR21" i="9"/>
  <c r="AH13" i="9"/>
  <c r="AA13" i="9"/>
  <c r="AS21" i="9"/>
  <c r="AA27" i="9"/>
  <c r="AH27" i="9"/>
  <c r="AE6" i="9"/>
  <c r="AD6" i="9"/>
  <c r="AC6" i="9"/>
  <c r="AA10" i="9"/>
  <c r="AO22" i="9"/>
  <c r="AH22" i="9"/>
  <c r="AL19" i="9"/>
  <c r="AK19" i="9"/>
  <c r="AJ19" i="9"/>
  <c r="AI19" i="9"/>
  <c r="AJ17" i="9"/>
  <c r="AI17" i="9"/>
  <c r="AO16" i="9"/>
  <c r="AA16" i="9"/>
  <c r="AO7" i="9"/>
  <c r="AO23" i="9"/>
  <c r="AH10" i="8"/>
  <c r="AA10" i="8"/>
  <c r="AA26" i="8"/>
  <c r="AH26" i="8"/>
  <c r="AH8" i="8"/>
  <c r="AA8" i="8"/>
  <c r="AO10" i="8"/>
  <c r="AO26" i="8"/>
  <c r="AH24" i="8"/>
  <c r="AA24" i="8"/>
  <c r="AH15" i="8"/>
  <c r="AA15" i="8"/>
  <c r="AO6" i="8"/>
  <c r="AA6" i="8"/>
  <c r="AO15" i="8"/>
  <c r="AA17" i="8"/>
  <c r="AH17" i="8"/>
  <c r="AH6" i="8"/>
  <c r="AO22" i="8"/>
  <c r="AA22" i="8"/>
  <c r="AO18" i="8"/>
  <c r="AH5" i="8"/>
  <c r="AO11" i="8"/>
  <c r="AO9" i="8"/>
  <c r="AA13" i="8"/>
  <c r="AO25" i="8"/>
  <c r="AA29" i="8"/>
  <c r="AO20" i="8"/>
  <c r="AO27" i="8"/>
  <c r="AO14" i="8"/>
  <c r="AK10" i="7"/>
  <c r="AJ10" i="7"/>
  <c r="AI10" i="7"/>
  <c r="AL10" i="7"/>
  <c r="AO8" i="7"/>
  <c r="AA8" i="7"/>
  <c r="AH8" i="7"/>
  <c r="AK26" i="7"/>
  <c r="AI26" i="7"/>
  <c r="AL26" i="7"/>
  <c r="AJ26" i="7"/>
  <c r="AO17" i="7"/>
  <c r="AH17" i="7"/>
  <c r="AA17" i="7"/>
  <c r="AH19" i="7"/>
  <c r="AO19" i="7"/>
  <c r="AA19" i="7"/>
  <c r="AR9" i="7"/>
  <c r="AI13" i="7"/>
  <c r="AO20" i="7"/>
  <c r="AS29" i="7"/>
  <c r="AR29" i="7"/>
  <c r="AP29" i="7"/>
  <c r="AQ29" i="7"/>
  <c r="AA20" i="7"/>
  <c r="AC21" i="7"/>
  <c r="AL13" i="7"/>
  <c r="AD21" i="7"/>
  <c r="AS28" i="7"/>
  <c r="AE21" i="7"/>
  <c r="AA13" i="7"/>
  <c r="AD24" i="7"/>
  <c r="AC24" i="7"/>
  <c r="AB24" i="7"/>
  <c r="AP28" i="7"/>
  <c r="AJ13" i="7"/>
  <c r="AL23" i="7"/>
  <c r="AK23" i="7"/>
  <c r="AI23" i="7"/>
  <c r="AJ23" i="7"/>
  <c r="AR28" i="7"/>
  <c r="AO11" i="7"/>
  <c r="AH20" i="7"/>
  <c r="AA29" i="7"/>
  <c r="AL7" i="7"/>
  <c r="AK7" i="7"/>
  <c r="AJ7" i="7"/>
  <c r="AI7" i="7"/>
  <c r="AA11" i="7"/>
  <c r="AO23" i="7"/>
  <c r="AA10" i="7"/>
  <c r="AO5" i="7"/>
  <c r="AH5" i="7"/>
  <c r="AH15" i="7"/>
  <c r="AA15" i="7"/>
  <c r="AQ16" i="7"/>
  <c r="AB25" i="7"/>
  <c r="AA26" i="7"/>
  <c r="AH29" i="7"/>
  <c r="AH11" i="7"/>
  <c r="AA14" i="7"/>
  <c r="AO21" i="7"/>
  <c r="AH21" i="7"/>
  <c r="AA22" i="7"/>
  <c r="AA23" i="7"/>
  <c r="AO27" i="7"/>
  <c r="AO18" i="7"/>
  <c r="AO25" i="7"/>
  <c r="Q15" i="2"/>
  <c r="F98" i="18" s="1"/>
  <c r="Q14" i="2"/>
  <c r="Q13" i="2"/>
  <c r="Q12" i="2"/>
  <c r="C19" i="17"/>
  <c r="B19" i="17"/>
  <c r="C19" i="16"/>
  <c r="B19" i="16"/>
  <c r="C19" i="15"/>
  <c r="B19" i="15"/>
  <c r="C19" i="14"/>
  <c r="B19" i="14"/>
  <c r="C19" i="13"/>
  <c r="B19" i="13"/>
  <c r="B19" i="12"/>
  <c r="C19" i="12"/>
  <c r="C19" i="11"/>
  <c r="B19" i="11"/>
  <c r="C19" i="9"/>
  <c r="B19" i="9"/>
  <c r="AH13" i="6"/>
  <c r="AO14" i="6"/>
  <c r="AH15" i="6"/>
  <c r="AO16" i="6"/>
  <c r="AO18" i="6"/>
  <c r="AO19" i="6"/>
  <c r="AO20" i="6"/>
  <c r="AA21" i="6"/>
  <c r="AO22" i="6"/>
  <c r="AO23" i="6"/>
  <c r="AA24" i="6"/>
  <c r="AH25" i="6"/>
  <c r="AH26" i="6"/>
  <c r="AO27" i="6"/>
  <c r="AO28" i="6"/>
  <c r="AA29" i="6"/>
  <c r="AA12" i="6"/>
  <c r="AO11" i="6"/>
  <c r="AA10" i="6"/>
  <c r="AO9" i="6"/>
  <c r="AH8" i="6"/>
  <c r="AL8" i="6" s="1"/>
  <c r="AH7" i="6"/>
  <c r="AA5" i="6"/>
  <c r="Y1" i="6"/>
  <c r="F110" i="18"/>
  <c r="E110" i="18"/>
  <c r="D110" i="18"/>
  <c r="F109" i="18"/>
  <c r="E109" i="18"/>
  <c r="D109" i="18"/>
  <c r="F108" i="18"/>
  <c r="E108" i="18"/>
  <c r="D108" i="18"/>
  <c r="F107" i="18"/>
  <c r="E107" i="18"/>
  <c r="D107" i="18"/>
  <c r="F106" i="18"/>
  <c r="E106" i="18"/>
  <c r="D106" i="18"/>
  <c r="F105" i="18"/>
  <c r="E105" i="18"/>
  <c r="D105" i="18"/>
  <c r="F104" i="18"/>
  <c r="E104" i="18"/>
  <c r="D104" i="18"/>
  <c r="F103" i="18"/>
  <c r="E103" i="18"/>
  <c r="D103" i="18"/>
  <c r="C103" i="18"/>
  <c r="G103" i="18" s="1"/>
  <c r="F102" i="18"/>
  <c r="E102" i="18"/>
  <c r="D102" i="18"/>
  <c r="C102" i="18"/>
  <c r="G102" i="18" s="1"/>
  <c r="F101" i="18"/>
  <c r="E101" i="18"/>
  <c r="D101" i="18"/>
  <c r="C101" i="18"/>
  <c r="G101" i="18" s="1"/>
  <c r="F100" i="18"/>
  <c r="E100" i="18"/>
  <c r="D100" i="18"/>
  <c r="C100" i="18"/>
  <c r="G100" i="18" s="1"/>
  <c r="F99" i="18"/>
  <c r="F111" i="18" s="1"/>
  <c r="E99" i="18"/>
  <c r="E111" i="18" s="1"/>
  <c r="D99" i="18"/>
  <c r="D111" i="18" s="1"/>
  <c r="C99" i="18"/>
  <c r="C111" i="18" s="1"/>
  <c r="AR23" i="17" l="1"/>
  <c r="AQ12" i="17"/>
  <c r="AS9" i="17"/>
  <c r="AI6" i="17"/>
  <c r="AP23" i="17"/>
  <c r="AC5" i="17"/>
  <c r="AJ13" i="17"/>
  <c r="AS23" i="17"/>
  <c r="AP28" i="17"/>
  <c r="AC10" i="17"/>
  <c r="AK13" i="17"/>
  <c r="AJ23" i="17"/>
  <c r="AE10" i="17"/>
  <c r="AB10" i="17"/>
  <c r="AI13" i="17"/>
  <c r="AJ6" i="17"/>
  <c r="AL6" i="17"/>
  <c r="AJ21" i="17"/>
  <c r="AL25" i="17"/>
  <c r="AC19" i="17"/>
  <c r="AP22" i="17"/>
  <c r="AD19" i="17"/>
  <c r="AB19" i="17"/>
  <c r="AK29" i="17"/>
  <c r="AS22" i="17"/>
  <c r="AJ29" i="17"/>
  <c r="AR22" i="17"/>
  <c r="AI29" i="17"/>
  <c r="AR26" i="17"/>
  <c r="AS12" i="17"/>
  <c r="AP26" i="17"/>
  <c r="AI21" i="17"/>
  <c r="AK21" i="17"/>
  <c r="AR12" i="17"/>
  <c r="AP9" i="17"/>
  <c r="AR9" i="17"/>
  <c r="AC12" i="17"/>
  <c r="AB12" i="17"/>
  <c r="AE26" i="17"/>
  <c r="AK25" i="17"/>
  <c r="AJ25" i="17"/>
  <c r="AI23" i="17"/>
  <c r="AD26" i="17"/>
  <c r="AK23" i="17"/>
  <c r="AD12" i="17"/>
  <c r="AT5" i="17"/>
  <c r="AP19" i="17"/>
  <c r="AM26" i="17"/>
  <c r="AQ19" i="17"/>
  <c r="AM15" i="17"/>
  <c r="AP24" i="17"/>
  <c r="AR19" i="17"/>
  <c r="AT25" i="17"/>
  <c r="AM24" i="17"/>
  <c r="AQ28" i="17"/>
  <c r="AR28" i="17"/>
  <c r="AQ26" i="17"/>
  <c r="AC26" i="17"/>
  <c r="AJ7" i="16"/>
  <c r="AD26" i="16"/>
  <c r="AS25" i="16"/>
  <c r="AR25" i="16"/>
  <c r="AI7" i="16"/>
  <c r="AK7" i="16"/>
  <c r="AI6" i="16"/>
  <c r="AD7" i="16"/>
  <c r="AP8" i="16"/>
  <c r="AP25" i="16"/>
  <c r="AE7" i="16"/>
  <c r="AD25" i="16"/>
  <c r="AC25" i="16"/>
  <c r="AC7" i="16"/>
  <c r="AC19" i="16"/>
  <c r="AC26" i="16"/>
  <c r="AK17" i="16"/>
  <c r="AR12" i="16"/>
  <c r="AL29" i="16"/>
  <c r="AK5" i="16"/>
  <c r="AS9" i="16"/>
  <c r="AB25" i="16"/>
  <c r="AJ17" i="16"/>
  <c r="AI17" i="16"/>
  <c r="AQ12" i="16"/>
  <c r="AK29" i="16"/>
  <c r="AI29" i="16"/>
  <c r="AE21" i="16"/>
  <c r="AK21" i="16"/>
  <c r="AB19" i="16"/>
  <c r="AL26" i="16"/>
  <c r="AT5" i="16"/>
  <c r="AD21" i="16"/>
  <c r="AK9" i="16"/>
  <c r="AL6" i="16"/>
  <c r="AI26" i="16"/>
  <c r="AF27" i="16"/>
  <c r="AP16" i="16"/>
  <c r="AE17" i="16"/>
  <c r="AD12" i="16"/>
  <c r="AR16" i="16"/>
  <c r="AM12" i="16"/>
  <c r="AC17" i="16"/>
  <c r="AD17" i="16"/>
  <c r="AI19" i="16"/>
  <c r="AM22" i="16"/>
  <c r="AF9" i="16"/>
  <c r="AJ19" i="16"/>
  <c r="AR6" i="16"/>
  <c r="AK19" i="16"/>
  <c r="AS6" i="16"/>
  <c r="AF6" i="16"/>
  <c r="AM8" i="16"/>
  <c r="AJ9" i="16"/>
  <c r="AP12" i="16"/>
  <c r="AQ6" i="16"/>
  <c r="AB12" i="16"/>
  <c r="AC8" i="16"/>
  <c r="AB21" i="16"/>
  <c r="AL5" i="16"/>
  <c r="AJ26" i="16"/>
  <c r="AJ5" i="16"/>
  <c r="AI9" i="16"/>
  <c r="AE12" i="16"/>
  <c r="AT17" i="16"/>
  <c r="AS16" i="16"/>
  <c r="AD19" i="16"/>
  <c r="AL21" i="16"/>
  <c r="AJ21" i="16"/>
  <c r="AE26" i="16"/>
  <c r="AK6" i="16"/>
  <c r="AK27" i="15"/>
  <c r="AC7" i="15"/>
  <c r="AL27" i="15"/>
  <c r="AK21" i="15"/>
  <c r="AK14" i="15"/>
  <c r="AJ14" i="15"/>
  <c r="AI14" i="15"/>
  <c r="AI21" i="15"/>
  <c r="AL20" i="15"/>
  <c r="AK20" i="15"/>
  <c r="AE12" i="15"/>
  <c r="AJ21" i="15"/>
  <c r="AP6" i="15"/>
  <c r="AR6" i="15"/>
  <c r="AS6" i="15"/>
  <c r="AP25" i="15"/>
  <c r="AL25" i="15"/>
  <c r="AD7" i="15"/>
  <c r="AL7" i="15"/>
  <c r="AK7" i="15"/>
  <c r="AB7" i="15"/>
  <c r="AQ17" i="15"/>
  <c r="AI27" i="15"/>
  <c r="AJ7" i="15"/>
  <c r="AQ25" i="15"/>
  <c r="AP17" i="15"/>
  <c r="AR17" i="15"/>
  <c r="AI20" i="15"/>
  <c r="AK23" i="15"/>
  <c r="AJ23" i="15"/>
  <c r="AC12" i="15"/>
  <c r="AB12" i="15"/>
  <c r="AK25" i="15"/>
  <c r="AM12" i="15"/>
  <c r="AQ9" i="15"/>
  <c r="AP20" i="15"/>
  <c r="AR20" i="15"/>
  <c r="AT21" i="15"/>
  <c r="AD16" i="15"/>
  <c r="AE16" i="15"/>
  <c r="AJ9" i="15"/>
  <c r="AQ20" i="15"/>
  <c r="AR25" i="15"/>
  <c r="AT23" i="15"/>
  <c r="AB16" i="15"/>
  <c r="AT5" i="15"/>
  <c r="AI5" i="15"/>
  <c r="AK18" i="15"/>
  <c r="AE21" i="15"/>
  <c r="AP9" i="15"/>
  <c r="AK9" i="15"/>
  <c r="AK5" i="15"/>
  <c r="AI18" i="15"/>
  <c r="AL9" i="15"/>
  <c r="AR12" i="15"/>
  <c r="AJ5" i="15"/>
  <c r="AI23" i="15"/>
  <c r="AJ25" i="15"/>
  <c r="AR9" i="15"/>
  <c r="AQ12" i="15"/>
  <c r="AM6" i="15"/>
  <c r="AP12" i="15"/>
  <c r="AP25" i="14"/>
  <c r="AL16" i="14"/>
  <c r="AR25" i="14"/>
  <c r="AI21" i="14"/>
  <c r="AJ21" i="14"/>
  <c r="AC5" i="14"/>
  <c r="AB12" i="14"/>
  <c r="AJ9" i="14"/>
  <c r="AJ29" i="14"/>
  <c r="AI5" i="14"/>
  <c r="AR10" i="14"/>
  <c r="AK21" i="14"/>
  <c r="AI9" i="14"/>
  <c r="AR6" i="14"/>
  <c r="AK5" i="14"/>
  <c r="AC21" i="14"/>
  <c r="AL23" i="14"/>
  <c r="AJ23" i="14"/>
  <c r="AI23" i="14"/>
  <c r="AQ10" i="14"/>
  <c r="AD5" i="14"/>
  <c r="AD10" i="14"/>
  <c r="AS10" i="14"/>
  <c r="AB5" i="14"/>
  <c r="AP12" i="14"/>
  <c r="AD7" i="14"/>
  <c r="AC7" i="14"/>
  <c r="AQ25" i="14"/>
  <c r="AD21" i="14"/>
  <c r="AB21" i="14"/>
  <c r="AS6" i="14"/>
  <c r="AK25" i="14"/>
  <c r="AC28" i="14"/>
  <c r="AL25" i="14"/>
  <c r="AB28" i="14"/>
  <c r="AT5" i="14"/>
  <c r="AB23" i="14"/>
  <c r="AK9" i="14"/>
  <c r="AI25" i="14"/>
  <c r="AD23" i="14"/>
  <c r="AJ16" i="14"/>
  <c r="AK16" i="14"/>
  <c r="AK29" i="14"/>
  <c r="AI27" i="14"/>
  <c r="AF16" i="14"/>
  <c r="AR12" i="14"/>
  <c r="AJ27" i="14"/>
  <c r="AJ5" i="14"/>
  <c r="AE10" i="14"/>
  <c r="AS12" i="14"/>
  <c r="AB10" i="14"/>
  <c r="AB7" i="14"/>
  <c r="AC23" i="14"/>
  <c r="AC14" i="14"/>
  <c r="AT21" i="14"/>
  <c r="AL14" i="14"/>
  <c r="AR17" i="14"/>
  <c r="AQ17" i="14"/>
  <c r="AD14" i="14"/>
  <c r="AB14" i="14"/>
  <c r="AP17" i="14"/>
  <c r="AT9" i="14"/>
  <c r="AE12" i="14"/>
  <c r="AI29" i="14"/>
  <c r="AI14" i="14"/>
  <c r="AD28" i="14"/>
  <c r="AQ6" i="14"/>
  <c r="AD12" i="14"/>
  <c r="AJ14" i="14"/>
  <c r="AT13" i="14"/>
  <c r="AE9" i="14"/>
  <c r="AB9" i="14"/>
  <c r="AC9" i="14"/>
  <c r="AQ20" i="13"/>
  <c r="W4" i="11"/>
  <c r="W4" i="7"/>
  <c r="W4" i="12"/>
  <c r="W4" i="17"/>
  <c r="W4" i="13"/>
  <c r="W4" i="8"/>
  <c r="W4" i="14"/>
  <c r="W4" i="15"/>
  <c r="W4" i="10"/>
  <c r="W4" i="9"/>
  <c r="W4" i="16"/>
  <c r="AE21" i="17"/>
  <c r="AC21" i="17"/>
  <c r="AB21" i="17"/>
  <c r="AD5" i="17"/>
  <c r="AE5" i="17"/>
  <c r="AE24" i="17"/>
  <c r="AD24" i="17"/>
  <c r="AC24" i="17"/>
  <c r="AM12" i="14"/>
  <c r="AK27" i="16"/>
  <c r="AF25" i="15"/>
  <c r="X4" i="11"/>
  <c r="X4" i="8"/>
  <c r="X4" i="12"/>
  <c r="X4" i="7"/>
  <c r="X4" i="17"/>
  <c r="X4" i="13"/>
  <c r="X4" i="14"/>
  <c r="X4" i="9"/>
  <c r="X4" i="16"/>
  <c r="X4" i="10"/>
  <c r="X4" i="15"/>
  <c r="X4" i="6"/>
  <c r="X27" i="6" s="1"/>
  <c r="AK27" i="14"/>
  <c r="AM10" i="15"/>
  <c r="AJ18" i="16"/>
  <c r="AF9" i="17"/>
  <c r="AE8" i="16"/>
  <c r="AD8" i="16"/>
  <c r="AR24" i="17"/>
  <c r="AQ24" i="17"/>
  <c r="AE5" i="16"/>
  <c r="AD5" i="16"/>
  <c r="AC5" i="16"/>
  <c r="AB5" i="16"/>
  <c r="AT13" i="16"/>
  <c r="AM12" i="17"/>
  <c r="AR8" i="16"/>
  <c r="AS8" i="16"/>
  <c r="AM8" i="14"/>
  <c r="AT29" i="17"/>
  <c r="AQ9" i="16"/>
  <c r="AP9" i="16"/>
  <c r="AF6" i="14"/>
  <c r="AM28" i="15"/>
  <c r="AI5" i="17"/>
  <c r="AL5" i="17"/>
  <c r="AK5" i="17"/>
  <c r="AJ5" i="17"/>
  <c r="AM16" i="15"/>
  <c r="AI27" i="16"/>
  <c r="AE5" i="15"/>
  <c r="AD5" i="15"/>
  <c r="AC5" i="15"/>
  <c r="AT7" i="15"/>
  <c r="AF25" i="14"/>
  <c r="AM20" i="14"/>
  <c r="AC21" i="15"/>
  <c r="AB21" i="15"/>
  <c r="AD15" i="17"/>
  <c r="AE15" i="17"/>
  <c r="AC15" i="17"/>
  <c r="AF23" i="17"/>
  <c r="AK22" i="17"/>
  <c r="AL22" i="17"/>
  <c r="AI22" i="17"/>
  <c r="AM10" i="14"/>
  <c r="AL18" i="15"/>
  <c r="AB27" i="15"/>
  <c r="V4" i="15"/>
  <c r="V4" i="10"/>
  <c r="V4" i="12"/>
  <c r="V4" i="11"/>
  <c r="V4" i="7"/>
  <c r="V4" i="17"/>
  <c r="V4" i="13"/>
  <c r="V4" i="8"/>
  <c r="V4" i="14"/>
  <c r="V4" i="9"/>
  <c r="V4" i="16"/>
  <c r="AL27" i="16"/>
  <c r="AM19" i="17"/>
  <c r="AT7" i="17"/>
  <c r="AT14" i="15"/>
  <c r="AB23" i="15"/>
  <c r="AE23" i="15"/>
  <c r="AD23" i="15"/>
  <c r="AC23" i="15"/>
  <c r="AF11" i="17"/>
  <c r="AL11" i="15"/>
  <c r="AK11" i="15"/>
  <c r="AJ11" i="15"/>
  <c r="AI11" i="15"/>
  <c r="AM14" i="17"/>
  <c r="AE14" i="15"/>
  <c r="AD14" i="15"/>
  <c r="AC14" i="15"/>
  <c r="AB14" i="15"/>
  <c r="AD5" i="13"/>
  <c r="AS20" i="13"/>
  <c r="AK7" i="13"/>
  <c r="AR20" i="13"/>
  <c r="AJ7" i="13"/>
  <c r="AI7" i="13"/>
  <c r="AP17" i="13"/>
  <c r="AC5" i="13"/>
  <c r="AK21" i="13"/>
  <c r="AR28" i="13"/>
  <c r="AJ16" i="13"/>
  <c r="AK16" i="13"/>
  <c r="AB19" i="13"/>
  <c r="AP28" i="13"/>
  <c r="AB5" i="13"/>
  <c r="AI16" i="13"/>
  <c r="AL23" i="13"/>
  <c r="AD19" i="13"/>
  <c r="AK12" i="13"/>
  <c r="AJ6" i="13"/>
  <c r="AB14" i="13"/>
  <c r="AE14" i="13"/>
  <c r="AQ8" i="13"/>
  <c r="AP6" i="13"/>
  <c r="AQ28" i="13"/>
  <c r="AD26" i="13"/>
  <c r="AC14" i="13"/>
  <c r="AL21" i="13"/>
  <c r="AL12" i="13"/>
  <c r="AI12" i="13"/>
  <c r="AI23" i="13"/>
  <c r="AJ23" i="13"/>
  <c r="AQ14" i="13"/>
  <c r="AK6" i="13"/>
  <c r="AI21" i="13"/>
  <c r="AI6" i="13"/>
  <c r="AB12" i="13"/>
  <c r="AK5" i="13"/>
  <c r="AI5" i="13"/>
  <c r="AM8" i="13"/>
  <c r="AL5" i="13"/>
  <c r="AK25" i="13"/>
  <c r="AS14" i="13"/>
  <c r="AC16" i="13"/>
  <c r="AR14" i="13"/>
  <c r="AQ22" i="13"/>
  <c r="AE19" i="13"/>
  <c r="AR22" i="13"/>
  <c r="AT21" i="13"/>
  <c r="AR26" i="13"/>
  <c r="AQ26" i="13"/>
  <c r="AQ6" i="13"/>
  <c r="AP26" i="13"/>
  <c r="AR6" i="13"/>
  <c r="AS19" i="13"/>
  <c r="AC21" i="13"/>
  <c r="AD21" i="13"/>
  <c r="AC12" i="13"/>
  <c r="AQ19" i="13"/>
  <c r="AD16" i="13"/>
  <c r="AS22" i="13"/>
  <c r="AM20" i="13"/>
  <c r="AT5" i="13"/>
  <c r="AB16" i="13"/>
  <c r="AE21" i="13"/>
  <c r="AF9" i="13"/>
  <c r="AM26" i="13"/>
  <c r="AD17" i="13"/>
  <c r="AJ25" i="13"/>
  <c r="AE17" i="13"/>
  <c r="AQ17" i="13"/>
  <c r="AL9" i="13"/>
  <c r="AK9" i="13"/>
  <c r="AJ9" i="13"/>
  <c r="AI9" i="13"/>
  <c r="AB26" i="13"/>
  <c r="AM19" i="13"/>
  <c r="AI25" i="13"/>
  <c r="AC26" i="13"/>
  <c r="AS8" i="13"/>
  <c r="AR8" i="13"/>
  <c r="AD12" i="13"/>
  <c r="AS17" i="13"/>
  <c r="AB17" i="13"/>
  <c r="AM17" i="13"/>
  <c r="AM14" i="13"/>
  <c r="AR19" i="13"/>
  <c r="AT12" i="13"/>
  <c r="AJ5" i="12"/>
  <c r="AJ28" i="12"/>
  <c r="AK5" i="12"/>
  <c r="AP12" i="12"/>
  <c r="AD5" i="12"/>
  <c r="AC5" i="12"/>
  <c r="AL16" i="12"/>
  <c r="AD14" i="12"/>
  <c r="AI5" i="12"/>
  <c r="AS12" i="12"/>
  <c r="AQ12" i="12"/>
  <c r="AL18" i="12"/>
  <c r="AJ16" i="12"/>
  <c r="AB5" i="12"/>
  <c r="AI29" i="12"/>
  <c r="AJ21" i="12"/>
  <c r="AK7" i="12"/>
  <c r="AI7" i="12"/>
  <c r="AK21" i="12"/>
  <c r="AJ18" i="12"/>
  <c r="AI21" i="12"/>
  <c r="AQ19" i="12"/>
  <c r="AR19" i="12"/>
  <c r="AT21" i="12"/>
  <c r="AR13" i="12"/>
  <c r="AP13" i="12"/>
  <c r="AS13" i="12"/>
  <c r="AK9" i="12"/>
  <c r="AI9" i="12"/>
  <c r="AL9" i="12"/>
  <c r="AC7" i="12"/>
  <c r="AK14" i="12"/>
  <c r="AB7" i="12"/>
  <c r="AD23" i="12"/>
  <c r="AI23" i="12"/>
  <c r="AJ27" i="12"/>
  <c r="AJ23" i="12"/>
  <c r="AR28" i="12"/>
  <c r="AK23" i="12"/>
  <c r="AC21" i="12"/>
  <c r="AS19" i="12"/>
  <c r="AJ25" i="12"/>
  <c r="AK25" i="12"/>
  <c r="AQ28" i="12"/>
  <c r="AL25" i="12"/>
  <c r="AI16" i="12"/>
  <c r="AP26" i="12"/>
  <c r="AB21" i="12"/>
  <c r="AD21" i="12"/>
  <c r="AB14" i="12"/>
  <c r="AI28" i="12"/>
  <c r="AJ14" i="12"/>
  <c r="AK18" i="12"/>
  <c r="AC28" i="12"/>
  <c r="AL7" i="12"/>
  <c r="AS26" i="12"/>
  <c r="AC14" i="12"/>
  <c r="AM11" i="12"/>
  <c r="AC12" i="12"/>
  <c r="AI12" i="12"/>
  <c r="AR8" i="12"/>
  <c r="AE19" i="12"/>
  <c r="AE16" i="12"/>
  <c r="AD16" i="12"/>
  <c r="AC16" i="12"/>
  <c r="AB16" i="12"/>
  <c r="AJ12" i="12"/>
  <c r="AF20" i="12"/>
  <c r="AS8" i="12"/>
  <c r="AB28" i="12"/>
  <c r="AM13" i="12"/>
  <c r="AP8" i="12"/>
  <c r="AC19" i="12"/>
  <c r="AF9" i="12"/>
  <c r="AJ20" i="12"/>
  <c r="AL20" i="12"/>
  <c r="AK20" i="12"/>
  <c r="AK28" i="12"/>
  <c r="AQ26" i="12"/>
  <c r="AI14" i="12"/>
  <c r="AJ29" i="12"/>
  <c r="AD12" i="12"/>
  <c r="AB12" i="12"/>
  <c r="AK29" i="12"/>
  <c r="AE7" i="12"/>
  <c r="AK12" i="12"/>
  <c r="AD19" i="12"/>
  <c r="AE23" i="12"/>
  <c r="AC23" i="12"/>
  <c r="AI27" i="10"/>
  <c r="AD6" i="11"/>
  <c r="AC14" i="11"/>
  <c r="AJ12" i="11"/>
  <c r="AK12" i="11"/>
  <c r="AJ21" i="11"/>
  <c r="AP17" i="11"/>
  <c r="AQ17" i="11"/>
  <c r="AD19" i="11"/>
  <c r="AB19" i="11"/>
  <c r="AC6" i="11"/>
  <c r="AI6" i="11"/>
  <c r="AS19" i="11"/>
  <c r="AB8" i="11"/>
  <c r="AD8" i="11"/>
  <c r="AE8" i="11"/>
  <c r="AI12" i="11"/>
  <c r="AE6" i="11"/>
  <c r="AK21" i="11"/>
  <c r="AR17" i="11"/>
  <c r="AL21" i="11"/>
  <c r="AB21" i="11"/>
  <c r="AD23" i="11"/>
  <c r="AE23" i="11"/>
  <c r="AC19" i="11"/>
  <c r="AQ8" i="11"/>
  <c r="AB14" i="11"/>
  <c r="AP22" i="11"/>
  <c r="AP8" i="11"/>
  <c r="AK7" i="11"/>
  <c r="AD22" i="11"/>
  <c r="AJ7" i="11"/>
  <c r="AB23" i="11"/>
  <c r="AI7" i="11"/>
  <c r="AD14" i="11"/>
  <c r="AD21" i="11"/>
  <c r="AR12" i="11"/>
  <c r="AC21" i="11"/>
  <c r="AJ14" i="11"/>
  <c r="AJ6" i="11"/>
  <c r="AI14" i="11"/>
  <c r="AK14" i="11"/>
  <c r="AJ5" i="11"/>
  <c r="AK6" i="11"/>
  <c r="AB22" i="11"/>
  <c r="AR22" i="11"/>
  <c r="AC22" i="11"/>
  <c r="AR8" i="11"/>
  <c r="AQ22" i="11"/>
  <c r="AB12" i="11"/>
  <c r="AB17" i="11"/>
  <c r="AD17" i="11"/>
  <c r="AI5" i="11"/>
  <c r="AL5" i="11"/>
  <c r="AC12" i="11"/>
  <c r="AD12" i="11"/>
  <c r="AC17" i="11"/>
  <c r="AT5" i="11"/>
  <c r="AM8" i="11"/>
  <c r="AC5" i="11"/>
  <c r="AE5" i="11"/>
  <c r="AD5" i="11"/>
  <c r="AQ19" i="11"/>
  <c r="AI18" i="11"/>
  <c r="AP19" i="11"/>
  <c r="AK18" i="11"/>
  <c r="AI23" i="11"/>
  <c r="AL23" i="11"/>
  <c r="AK23" i="11"/>
  <c r="AJ23" i="11"/>
  <c r="AP12" i="11"/>
  <c r="AS12" i="11"/>
  <c r="AM20" i="11"/>
  <c r="AM9" i="11"/>
  <c r="AT6" i="11"/>
  <c r="AM17" i="11"/>
  <c r="AQ5" i="10"/>
  <c r="AR5" i="10"/>
  <c r="AP5" i="10"/>
  <c r="AI18" i="10"/>
  <c r="AQ25" i="10"/>
  <c r="AC21" i="10"/>
  <c r="AI21" i="10"/>
  <c r="AI9" i="10"/>
  <c r="AI14" i="10"/>
  <c r="AL18" i="10"/>
  <c r="AK21" i="10"/>
  <c r="AB21" i="10"/>
  <c r="AD21" i="10"/>
  <c r="AK9" i="10"/>
  <c r="AJ9" i="10"/>
  <c r="AL25" i="10"/>
  <c r="AD9" i="10"/>
  <c r="AB9" i="10"/>
  <c r="AC9" i="10"/>
  <c r="AJ21" i="10"/>
  <c r="AI23" i="10"/>
  <c r="AK23" i="10"/>
  <c r="AB14" i="10"/>
  <c r="AC14" i="10"/>
  <c r="AL23" i="10"/>
  <c r="AD14" i="10"/>
  <c r="AQ28" i="10"/>
  <c r="AC28" i="10"/>
  <c r="AD5" i="10"/>
  <c r="AJ18" i="10"/>
  <c r="AP29" i="10"/>
  <c r="AF23" i="10"/>
  <c r="AQ29" i="10"/>
  <c r="AS29" i="10"/>
  <c r="AL7" i="10"/>
  <c r="AS28" i="10"/>
  <c r="AC5" i="10"/>
  <c r="AC7" i="10"/>
  <c r="AB7" i="10"/>
  <c r="AJ14" i="10"/>
  <c r="AK14" i="10"/>
  <c r="AD7" i="10"/>
  <c r="AJ7" i="10"/>
  <c r="AB5" i="10"/>
  <c r="AK7" i="10"/>
  <c r="AF25" i="10"/>
  <c r="AF17" i="10"/>
  <c r="AR25" i="10"/>
  <c r="AS25" i="10"/>
  <c r="AF10" i="10"/>
  <c r="AK27" i="10"/>
  <c r="AL5" i="10"/>
  <c r="AJ5" i="10"/>
  <c r="AK5" i="10"/>
  <c r="AF19" i="10"/>
  <c r="AJ27" i="10"/>
  <c r="AJ25" i="10"/>
  <c r="AI25" i="10"/>
  <c r="AQ17" i="9"/>
  <c r="AP17" i="9"/>
  <c r="AC17" i="9"/>
  <c r="AB17" i="9"/>
  <c r="AE17" i="9"/>
  <c r="AI23" i="9"/>
  <c r="AP19" i="9"/>
  <c r="AK23" i="9"/>
  <c r="AR17" i="9"/>
  <c r="AD5" i="9"/>
  <c r="AR6" i="9"/>
  <c r="AD19" i="9"/>
  <c r="AP15" i="9"/>
  <c r="AQ15" i="9"/>
  <c r="AR15" i="9"/>
  <c r="AS6" i="9"/>
  <c r="AB14" i="9"/>
  <c r="AQ8" i="9"/>
  <c r="AP6" i="9"/>
  <c r="AI6" i="9"/>
  <c r="AJ21" i="9"/>
  <c r="AL12" i="9"/>
  <c r="AL21" i="9"/>
  <c r="AI14" i="9"/>
  <c r="AJ6" i="9"/>
  <c r="AE5" i="9"/>
  <c r="AE12" i="9"/>
  <c r="AE21" i="9"/>
  <c r="AK12" i="9"/>
  <c r="AK21" i="9"/>
  <c r="AP27" i="9"/>
  <c r="AJ23" i="9"/>
  <c r="AB21" i="9"/>
  <c r="AC7" i="9"/>
  <c r="AB12" i="9"/>
  <c r="AE15" i="9"/>
  <c r="AC21" i="9"/>
  <c r="AD15" i="9"/>
  <c r="AC12" i="9"/>
  <c r="AR27" i="9"/>
  <c r="AJ12" i="9"/>
  <c r="AB15" i="9"/>
  <c r="AB19" i="9"/>
  <c r="AI5" i="9"/>
  <c r="AC19" i="9"/>
  <c r="AD7" i="9"/>
  <c r="AB7" i="9"/>
  <c r="AP12" i="9"/>
  <c r="AL7" i="9"/>
  <c r="AI7" i="9"/>
  <c r="AK7" i="9"/>
  <c r="AD8" i="9"/>
  <c r="AL5" i="9"/>
  <c r="AC8" i="9"/>
  <c r="AB8" i="9"/>
  <c r="AE23" i="9"/>
  <c r="AR12" i="9"/>
  <c r="AT5" i="9"/>
  <c r="AQ12" i="9"/>
  <c r="AQ27" i="9"/>
  <c r="AB23" i="9"/>
  <c r="AM15" i="9"/>
  <c r="AC5" i="9"/>
  <c r="AM8" i="9"/>
  <c r="AT14" i="9"/>
  <c r="AL14" i="9"/>
  <c r="AK14" i="9"/>
  <c r="AJ5" i="9"/>
  <c r="AK6" i="9"/>
  <c r="AR19" i="9"/>
  <c r="AS19" i="9"/>
  <c r="AD14" i="9"/>
  <c r="AE14" i="9"/>
  <c r="AD23" i="9"/>
  <c r="AR8" i="9"/>
  <c r="AS8" i="9"/>
  <c r="AP27" i="8"/>
  <c r="AS27" i="8"/>
  <c r="AQ27" i="8"/>
  <c r="AR27" i="8"/>
  <c r="AQ20" i="8"/>
  <c r="AR20" i="8"/>
  <c r="AP20" i="8"/>
  <c r="AS20" i="8"/>
  <c r="AJ15" i="8"/>
  <c r="AL15" i="8"/>
  <c r="AI15" i="8"/>
  <c r="AK15" i="8"/>
  <c r="AB10" i="8"/>
  <c r="AD10" i="8"/>
  <c r="AE10" i="8"/>
  <c r="AC10" i="8"/>
  <c r="AC28" i="8"/>
  <c r="AD28" i="8"/>
  <c r="AB28" i="8"/>
  <c r="AE28" i="8"/>
  <c r="AC5" i="8"/>
  <c r="AE5" i="8"/>
  <c r="AD5" i="8"/>
  <c r="AB5" i="8"/>
  <c r="AP12" i="8"/>
  <c r="AS12" i="8"/>
  <c r="AQ12" i="8"/>
  <c r="AR12" i="8"/>
  <c r="AJ18" i="8"/>
  <c r="AL18" i="8"/>
  <c r="AI18" i="8"/>
  <c r="AK18" i="8"/>
  <c r="AD9" i="8"/>
  <c r="AB9" i="8"/>
  <c r="AC9" i="8"/>
  <c r="AE9" i="8"/>
  <c r="AJ17" i="8"/>
  <c r="AL17" i="8"/>
  <c r="AI17" i="8"/>
  <c r="AK17" i="8"/>
  <c r="AD24" i="8"/>
  <c r="AE24" i="8"/>
  <c r="AC24" i="8"/>
  <c r="AB24" i="8"/>
  <c r="AR15" i="8"/>
  <c r="AS15" i="8"/>
  <c r="AQ15" i="8"/>
  <c r="AP15" i="8"/>
  <c r="AR14" i="8"/>
  <c r="AP14" i="8"/>
  <c r="AS14" i="8"/>
  <c r="AQ14" i="8"/>
  <c r="AD6" i="8"/>
  <c r="AB6" i="8"/>
  <c r="AE6" i="8"/>
  <c r="AC6" i="8"/>
  <c r="AS26" i="8"/>
  <c r="AQ26" i="8"/>
  <c r="AR26" i="8"/>
  <c r="AP26" i="8"/>
  <c r="AL10" i="8"/>
  <c r="AK10" i="8"/>
  <c r="AI10" i="8"/>
  <c r="AJ10" i="8"/>
  <c r="AS10" i="8"/>
  <c r="AR10" i="8"/>
  <c r="AQ10" i="8"/>
  <c r="AP10" i="8"/>
  <c r="AB25" i="8"/>
  <c r="AE25" i="8"/>
  <c r="AD25" i="8"/>
  <c r="AC25" i="8"/>
  <c r="AE16" i="8"/>
  <c r="AB16" i="8"/>
  <c r="AD16" i="8"/>
  <c r="AC16" i="8"/>
  <c r="AB19" i="8"/>
  <c r="AC19" i="8"/>
  <c r="AE19" i="8"/>
  <c r="AD19" i="8"/>
  <c r="AP28" i="8"/>
  <c r="AS28" i="8"/>
  <c r="AQ28" i="8"/>
  <c r="AR28" i="8"/>
  <c r="AC12" i="8"/>
  <c r="AD12" i="8"/>
  <c r="AE12" i="8"/>
  <c r="AB12" i="8"/>
  <c r="AS25" i="8"/>
  <c r="AR25" i="8"/>
  <c r="AQ25" i="8"/>
  <c r="AP25" i="8"/>
  <c r="AK24" i="8"/>
  <c r="AI24" i="8"/>
  <c r="AJ24" i="8"/>
  <c r="AL24" i="8"/>
  <c r="AL27" i="8"/>
  <c r="AI27" i="8"/>
  <c r="AK27" i="8"/>
  <c r="AJ27" i="8"/>
  <c r="AE13" i="8"/>
  <c r="AC13" i="8"/>
  <c r="AD13" i="8"/>
  <c r="AB13" i="8"/>
  <c r="AS9" i="8"/>
  <c r="AP9" i="8"/>
  <c r="AR9" i="8"/>
  <c r="AQ9" i="8"/>
  <c r="AS6" i="8"/>
  <c r="AQ6" i="8"/>
  <c r="AR6" i="8"/>
  <c r="AP6" i="8"/>
  <c r="AL11" i="8"/>
  <c r="AK11" i="8"/>
  <c r="AI11" i="8"/>
  <c r="AJ11" i="8"/>
  <c r="AB21" i="8"/>
  <c r="AD21" i="8"/>
  <c r="AE21" i="8"/>
  <c r="AC21" i="8"/>
  <c r="AS23" i="8"/>
  <c r="AQ23" i="8"/>
  <c r="AR23" i="8"/>
  <c r="AP23" i="8"/>
  <c r="AC17" i="8"/>
  <c r="AD17" i="8"/>
  <c r="AE17" i="8"/>
  <c r="AB17" i="8"/>
  <c r="AP11" i="8"/>
  <c r="AS11" i="8"/>
  <c r="AQ11" i="8"/>
  <c r="AR11" i="8"/>
  <c r="AD8" i="8"/>
  <c r="AE8" i="8"/>
  <c r="AB8" i="8"/>
  <c r="AC8" i="8"/>
  <c r="AC14" i="8"/>
  <c r="AE14" i="8"/>
  <c r="AD14" i="8"/>
  <c r="AB14" i="8"/>
  <c r="AR17" i="8"/>
  <c r="AP17" i="8"/>
  <c r="AS17" i="8"/>
  <c r="AQ17" i="8"/>
  <c r="AE29" i="8"/>
  <c r="AC29" i="8"/>
  <c r="AD29" i="8"/>
  <c r="AB29" i="8"/>
  <c r="AP19" i="8"/>
  <c r="AR19" i="8"/>
  <c r="AS19" i="8"/>
  <c r="AQ19" i="8"/>
  <c r="AK5" i="8"/>
  <c r="AI5" i="8"/>
  <c r="AL5" i="8"/>
  <c r="AJ5" i="8"/>
  <c r="AD22" i="8"/>
  <c r="AB22" i="8"/>
  <c r="AE22" i="8"/>
  <c r="AC22" i="8"/>
  <c r="AI8" i="8"/>
  <c r="AJ8" i="8"/>
  <c r="AL8" i="8"/>
  <c r="AK8" i="8"/>
  <c r="AD23" i="8"/>
  <c r="AB23" i="8"/>
  <c r="AE23" i="8"/>
  <c r="AC23" i="8"/>
  <c r="AR16" i="8"/>
  <c r="AP16" i="8"/>
  <c r="AS16" i="8"/>
  <c r="AQ16" i="8"/>
  <c r="AQ7" i="8"/>
  <c r="AS7" i="8"/>
  <c r="AR7" i="8"/>
  <c r="AP7" i="8"/>
  <c r="AI6" i="8"/>
  <c r="AJ6" i="8"/>
  <c r="AK6" i="8"/>
  <c r="AL6" i="8"/>
  <c r="AK20" i="8"/>
  <c r="AJ20" i="8"/>
  <c r="AL20" i="8"/>
  <c r="AI20" i="8"/>
  <c r="AL26" i="8"/>
  <c r="AK26" i="8"/>
  <c r="AI26" i="8"/>
  <c r="AJ26" i="8"/>
  <c r="AE15" i="8"/>
  <c r="AC15" i="8"/>
  <c r="AD15" i="8"/>
  <c r="AB15" i="8"/>
  <c r="AB26" i="8"/>
  <c r="AE26" i="8"/>
  <c r="AD26" i="8"/>
  <c r="AC26" i="8"/>
  <c r="AL13" i="8"/>
  <c r="AI13" i="8"/>
  <c r="AK13" i="8"/>
  <c r="AJ13" i="8"/>
  <c r="AI7" i="8"/>
  <c r="AJ7" i="8"/>
  <c r="AK7" i="8"/>
  <c r="AL7" i="8"/>
  <c r="AP18" i="8"/>
  <c r="AQ18" i="8"/>
  <c r="AR18" i="8"/>
  <c r="AS18" i="8"/>
  <c r="AS22" i="8"/>
  <c r="AQ22" i="8"/>
  <c r="AR22" i="8"/>
  <c r="AP22" i="8"/>
  <c r="AL29" i="8"/>
  <c r="AI29" i="8"/>
  <c r="AJ29" i="8"/>
  <c r="AK29" i="8"/>
  <c r="AK21" i="8"/>
  <c r="AJ21" i="8"/>
  <c r="AL21" i="8"/>
  <c r="AI21" i="8"/>
  <c r="AM19" i="9"/>
  <c r="AF22" i="9"/>
  <c r="AM16" i="9"/>
  <c r="AF11" i="8"/>
  <c r="AT24" i="8"/>
  <c r="AF20" i="8"/>
  <c r="AT8" i="8"/>
  <c r="AM12" i="8"/>
  <c r="AM16" i="8"/>
  <c r="AM19" i="8"/>
  <c r="AM22" i="8"/>
  <c r="AM28" i="13"/>
  <c r="AJ28" i="9"/>
  <c r="AD28" i="10"/>
  <c r="AD28" i="12"/>
  <c r="AP28" i="10"/>
  <c r="AF28" i="17"/>
  <c r="AL28" i="11"/>
  <c r="AK28" i="9"/>
  <c r="AE28" i="10"/>
  <c r="AI28" i="11"/>
  <c r="AI28" i="9"/>
  <c r="AP28" i="12"/>
  <c r="AR6" i="7"/>
  <c r="AS6" i="7"/>
  <c r="AB12" i="7"/>
  <c r="AK6" i="7"/>
  <c r="AC12" i="7"/>
  <c r="AJ6" i="7"/>
  <c r="AI6" i="7"/>
  <c r="AE16" i="7"/>
  <c r="AD16" i="7"/>
  <c r="AI27" i="7"/>
  <c r="AS13" i="7"/>
  <c r="AF6" i="7"/>
  <c r="AI25" i="7"/>
  <c r="AJ24" i="7"/>
  <c r="AK16" i="7"/>
  <c r="AP13" i="7"/>
  <c r="AS14" i="7"/>
  <c r="AR14" i="7"/>
  <c r="AI14" i="7"/>
  <c r="AQ13" i="7"/>
  <c r="AM7" i="7"/>
  <c r="AS22" i="7"/>
  <c r="AL14" i="7"/>
  <c r="AQ14" i="7"/>
  <c r="AP7" i="7"/>
  <c r="AP6" i="7"/>
  <c r="AJ14" i="7"/>
  <c r="AP10" i="7"/>
  <c r="AQ10" i="7"/>
  <c r="AT9" i="7"/>
  <c r="AQ15" i="7"/>
  <c r="AR15" i="7"/>
  <c r="AL16" i="7"/>
  <c r="AK27" i="7"/>
  <c r="AF21" i="7"/>
  <c r="AR22" i="7"/>
  <c r="AQ22" i="7"/>
  <c r="AJ27" i="7"/>
  <c r="AP26" i="7"/>
  <c r="AL24" i="7"/>
  <c r="AB7" i="7"/>
  <c r="AD5" i="7"/>
  <c r="AJ9" i="7"/>
  <c r="AK24" i="7"/>
  <c r="AC5" i="7"/>
  <c r="AK9" i="7"/>
  <c r="AC9" i="7"/>
  <c r="AB9" i="7"/>
  <c r="AE9" i="7"/>
  <c r="AD9" i="7"/>
  <c r="AB5" i="7"/>
  <c r="AI22" i="7"/>
  <c r="AR24" i="7"/>
  <c r="AI9" i="7"/>
  <c r="AM12" i="7"/>
  <c r="AP24" i="7"/>
  <c r="AQ24" i="7"/>
  <c r="AR10" i="7"/>
  <c r="AI16" i="7"/>
  <c r="AD12" i="7"/>
  <c r="AT16" i="7"/>
  <c r="AS26" i="7"/>
  <c r="AE27" i="7"/>
  <c r="AK22" i="7"/>
  <c r="AF25" i="7"/>
  <c r="AE7" i="7"/>
  <c r="AS12" i="7"/>
  <c r="AQ7" i="7"/>
  <c r="AR7" i="7"/>
  <c r="AP12" i="7"/>
  <c r="AB27" i="7"/>
  <c r="AQ26" i="7"/>
  <c r="AD7" i="7"/>
  <c r="AD27" i="7"/>
  <c r="AJ22" i="7"/>
  <c r="AL25" i="7"/>
  <c r="AK25" i="7"/>
  <c r="AE18" i="7"/>
  <c r="AI18" i="7"/>
  <c r="AR12" i="7"/>
  <c r="AP15" i="7"/>
  <c r="AB16" i="7"/>
  <c r="AF18" i="14"/>
  <c r="AL18" i="14"/>
  <c r="AK18" i="14"/>
  <c r="AI18" i="14"/>
  <c r="AK18" i="16"/>
  <c r="AF18" i="8"/>
  <c r="AJ18" i="14"/>
  <c r="AJ18" i="7"/>
  <c r="AJ18" i="11"/>
  <c r="AC18" i="7"/>
  <c r="AL18" i="16"/>
  <c r="AF18" i="16"/>
  <c r="AK18" i="7"/>
  <c r="AD18" i="7"/>
  <c r="AE27" i="15"/>
  <c r="AD27" i="15"/>
  <c r="AM27" i="17"/>
  <c r="AM27" i="13"/>
  <c r="AL27" i="12"/>
  <c r="AK27" i="12"/>
  <c r="AF27" i="8"/>
  <c r="AE28" i="7"/>
  <c r="AD28" i="7"/>
  <c r="AB28" i="7"/>
  <c r="AB28" i="11"/>
  <c r="AJ28" i="11"/>
  <c r="AM28" i="14"/>
  <c r="AS28" i="14"/>
  <c r="AC28" i="15"/>
  <c r="AR28" i="16"/>
  <c r="AP28" i="16"/>
  <c r="AJ28" i="17"/>
  <c r="AC28" i="11"/>
  <c r="AM28" i="10"/>
  <c r="AI28" i="17"/>
  <c r="AD28" i="15"/>
  <c r="AQ28" i="16"/>
  <c r="AL28" i="17"/>
  <c r="AP28" i="9"/>
  <c r="AQ28" i="9"/>
  <c r="AS28" i="9"/>
  <c r="AR28" i="9"/>
  <c r="AE28" i="16"/>
  <c r="AB28" i="16"/>
  <c r="AC28" i="16"/>
  <c r="AD28" i="16"/>
  <c r="AQ28" i="15"/>
  <c r="AS28" i="15"/>
  <c r="AR28" i="15"/>
  <c r="AB28" i="13"/>
  <c r="AE28" i="13"/>
  <c r="AD28" i="13"/>
  <c r="AC28" i="13"/>
  <c r="AT28" i="7"/>
  <c r="AQ28" i="14"/>
  <c r="AM28" i="16"/>
  <c r="AK28" i="7"/>
  <c r="AJ28" i="7"/>
  <c r="AL28" i="7"/>
  <c r="AE28" i="15"/>
  <c r="AR28" i="14"/>
  <c r="AT28" i="11"/>
  <c r="AF28" i="9"/>
  <c r="AC28" i="7"/>
  <c r="AM28" i="8"/>
  <c r="AE28" i="11"/>
  <c r="AP23" i="6"/>
  <c r="AS23" i="6"/>
  <c r="AR23" i="6"/>
  <c r="AQ23" i="6"/>
  <c r="AP19" i="6"/>
  <c r="AQ19" i="6"/>
  <c r="AS19" i="6"/>
  <c r="AR19" i="6"/>
  <c r="AP18" i="6"/>
  <c r="AR18" i="6"/>
  <c r="AQ18" i="6"/>
  <c r="AS18" i="6"/>
  <c r="AS11" i="6"/>
  <c r="AR11" i="6"/>
  <c r="AQ11" i="6"/>
  <c r="AP11" i="6"/>
  <c r="AR22" i="6"/>
  <c r="AQ22" i="6"/>
  <c r="AS22" i="6"/>
  <c r="AP22" i="6"/>
  <c r="AP20" i="6"/>
  <c r="AQ20" i="6"/>
  <c r="AR20" i="6"/>
  <c r="AS20" i="6"/>
  <c r="AS9" i="6"/>
  <c r="AQ9" i="6"/>
  <c r="AP9" i="6"/>
  <c r="AR9" i="6"/>
  <c r="AR14" i="6"/>
  <c r="AP14" i="6"/>
  <c r="AQ14" i="6"/>
  <c r="AS14" i="6"/>
  <c r="AS27" i="6"/>
  <c r="AP27" i="6"/>
  <c r="AQ27" i="6"/>
  <c r="AR27" i="6"/>
  <c r="AR16" i="6"/>
  <c r="AQ16" i="6"/>
  <c r="AP16" i="6"/>
  <c r="AS16" i="6"/>
  <c r="AR28" i="6"/>
  <c r="AS28" i="6"/>
  <c r="AP28" i="6"/>
  <c r="AQ28" i="6"/>
  <c r="AS10" i="17"/>
  <c r="AR10" i="17"/>
  <c r="AQ10" i="17"/>
  <c r="AP10" i="17"/>
  <c r="AS6" i="17"/>
  <c r="AR6" i="17"/>
  <c r="AQ6" i="17"/>
  <c r="AP6" i="17"/>
  <c r="AI9" i="17"/>
  <c r="AL9" i="17"/>
  <c r="AK9" i="17"/>
  <c r="AJ9" i="17"/>
  <c r="AE8" i="17"/>
  <c r="AD8" i="17"/>
  <c r="AC8" i="17"/>
  <c r="AB8" i="17"/>
  <c r="AE29" i="17"/>
  <c r="AD29" i="17"/>
  <c r="AC29" i="17"/>
  <c r="AB29" i="17"/>
  <c r="AS27" i="17"/>
  <c r="AR27" i="17"/>
  <c r="AQ27" i="17"/>
  <c r="AP27" i="17"/>
  <c r="AE13" i="17"/>
  <c r="AD13" i="17"/>
  <c r="AB13" i="17"/>
  <c r="AC13" i="17"/>
  <c r="AJ20" i="17"/>
  <c r="AI20" i="17"/>
  <c r="AK20" i="17"/>
  <c r="AL20" i="17"/>
  <c r="AT21" i="17"/>
  <c r="AS17" i="17"/>
  <c r="AP17" i="17"/>
  <c r="AR17" i="17"/>
  <c r="AQ17" i="17"/>
  <c r="AR11" i="17"/>
  <c r="AS11" i="17"/>
  <c r="AQ11" i="17"/>
  <c r="AP11" i="17"/>
  <c r="AS20" i="17"/>
  <c r="AQ20" i="17"/>
  <c r="AR20" i="17"/>
  <c r="AP20" i="17"/>
  <c r="AL18" i="17"/>
  <c r="AK18" i="17"/>
  <c r="AJ18" i="17"/>
  <c r="AI18" i="17"/>
  <c r="AC27" i="17"/>
  <c r="AB27" i="17"/>
  <c r="AD27" i="17"/>
  <c r="AE27" i="17"/>
  <c r="AD20" i="17"/>
  <c r="AC20" i="17"/>
  <c r="AB20" i="17"/>
  <c r="AE20" i="17"/>
  <c r="AB18" i="17"/>
  <c r="AE18" i="17"/>
  <c r="AC18" i="17"/>
  <c r="AD18" i="17"/>
  <c r="AJ17" i="17"/>
  <c r="AI17" i="17"/>
  <c r="AL17" i="17"/>
  <c r="AK17" i="17"/>
  <c r="AL16" i="17"/>
  <c r="AK16" i="17"/>
  <c r="AJ16" i="17"/>
  <c r="AI16" i="17"/>
  <c r="AL11" i="17"/>
  <c r="AK11" i="17"/>
  <c r="AJ11" i="17"/>
  <c r="AI11" i="17"/>
  <c r="AE7" i="17"/>
  <c r="AB7" i="17"/>
  <c r="AD7" i="17"/>
  <c r="AC7" i="17"/>
  <c r="AC25" i="17"/>
  <c r="AB25" i="17"/>
  <c r="AE25" i="17"/>
  <c r="AD25" i="17"/>
  <c r="AE14" i="17"/>
  <c r="AB14" i="17"/>
  <c r="AD14" i="17"/>
  <c r="AC14" i="17"/>
  <c r="AS15" i="17"/>
  <c r="AR15" i="17"/>
  <c r="AQ15" i="17"/>
  <c r="AP15" i="17"/>
  <c r="AT13" i="17"/>
  <c r="AR8" i="17"/>
  <c r="AS8" i="17"/>
  <c r="AQ8" i="17"/>
  <c r="AP8" i="17"/>
  <c r="AD16" i="17"/>
  <c r="AE16" i="17"/>
  <c r="AC16" i="17"/>
  <c r="AB16" i="17"/>
  <c r="AS18" i="17"/>
  <c r="AR18" i="17"/>
  <c r="AQ18" i="17"/>
  <c r="AP18" i="17"/>
  <c r="AP14" i="17"/>
  <c r="AQ14" i="17"/>
  <c r="AS14" i="17"/>
  <c r="AR14" i="17"/>
  <c r="AF22" i="17"/>
  <c r="AL7" i="17"/>
  <c r="AK7" i="17"/>
  <c r="AJ7" i="17"/>
  <c r="AI7" i="17"/>
  <c r="AF6" i="17"/>
  <c r="AR16" i="17"/>
  <c r="AQ16" i="17"/>
  <c r="AP16" i="17"/>
  <c r="AS16" i="17"/>
  <c r="AI8" i="17"/>
  <c r="AJ8" i="17"/>
  <c r="AL8" i="17"/>
  <c r="AK8" i="17"/>
  <c r="AM10" i="17"/>
  <c r="AD17" i="17"/>
  <c r="AE17" i="17"/>
  <c r="AC17" i="17"/>
  <c r="AB17" i="17"/>
  <c r="AQ10" i="16"/>
  <c r="AP10" i="16"/>
  <c r="AS10" i="16"/>
  <c r="AR10" i="16"/>
  <c r="AK13" i="16"/>
  <c r="AJ13" i="16"/>
  <c r="AI13" i="16"/>
  <c r="AL13" i="16"/>
  <c r="AE23" i="16"/>
  <c r="AB23" i="16"/>
  <c r="AD23" i="16"/>
  <c r="AC23" i="16"/>
  <c r="AS27" i="16"/>
  <c r="AP27" i="16"/>
  <c r="AR27" i="16"/>
  <c r="AQ27" i="16"/>
  <c r="AC24" i="16"/>
  <c r="AB24" i="16"/>
  <c r="AE24" i="16"/>
  <c r="AD24" i="16"/>
  <c r="AI24" i="16"/>
  <c r="AK24" i="16"/>
  <c r="AL24" i="16"/>
  <c r="AJ24" i="16"/>
  <c r="AE29" i="16"/>
  <c r="AD29" i="16"/>
  <c r="AC29" i="16"/>
  <c r="AB29" i="16"/>
  <c r="AB16" i="16"/>
  <c r="AE16" i="16"/>
  <c r="AD16" i="16"/>
  <c r="AC16" i="16"/>
  <c r="AT29" i="16"/>
  <c r="AT7" i="16"/>
  <c r="AP11" i="16"/>
  <c r="AS11" i="16"/>
  <c r="AR11" i="16"/>
  <c r="AQ11" i="16"/>
  <c r="AF20" i="16"/>
  <c r="AE22" i="16"/>
  <c r="AD22" i="16"/>
  <c r="AC22" i="16"/>
  <c r="AB22" i="16"/>
  <c r="AS18" i="16"/>
  <c r="AP18" i="16"/>
  <c r="AR18" i="16"/>
  <c r="AQ18" i="16"/>
  <c r="AE10" i="16"/>
  <c r="AD10" i="16"/>
  <c r="AC10" i="16"/>
  <c r="AB10" i="16"/>
  <c r="AK10" i="16"/>
  <c r="AJ10" i="16"/>
  <c r="AL10" i="16"/>
  <c r="AI10" i="16"/>
  <c r="AT21" i="16"/>
  <c r="AK11" i="16"/>
  <c r="AI11" i="16"/>
  <c r="AJ11" i="16"/>
  <c r="AL11" i="16"/>
  <c r="AT24" i="16"/>
  <c r="AB15" i="16"/>
  <c r="AC15" i="16"/>
  <c r="AE15" i="16"/>
  <c r="AD15" i="16"/>
  <c r="AT26" i="16"/>
  <c r="AQ23" i="16"/>
  <c r="AP23" i="16"/>
  <c r="AS23" i="16"/>
  <c r="AR23" i="16"/>
  <c r="AT15" i="16"/>
  <c r="AJ15" i="16"/>
  <c r="AL15" i="16"/>
  <c r="AK15" i="16"/>
  <c r="AI15" i="16"/>
  <c r="AK23" i="16"/>
  <c r="AJ23" i="16"/>
  <c r="AI23" i="16"/>
  <c r="AL23" i="16"/>
  <c r="AJ20" i="16"/>
  <c r="AL20" i="16"/>
  <c r="AK20" i="16"/>
  <c r="AI20" i="16"/>
  <c r="AJ14" i="16"/>
  <c r="AI14" i="16"/>
  <c r="AL14" i="16"/>
  <c r="AK14" i="16"/>
  <c r="AD14" i="16"/>
  <c r="AC14" i="16"/>
  <c r="AB14" i="16"/>
  <c r="AE14" i="16"/>
  <c r="AM25" i="16"/>
  <c r="AT19" i="16"/>
  <c r="AS22" i="16"/>
  <c r="AR22" i="16"/>
  <c r="AQ22" i="16"/>
  <c r="AP22" i="16"/>
  <c r="AC11" i="16"/>
  <c r="AB11" i="16"/>
  <c r="AE11" i="16"/>
  <c r="AD11" i="16"/>
  <c r="AM16" i="16"/>
  <c r="AQ20" i="16"/>
  <c r="AP20" i="16"/>
  <c r="AS20" i="16"/>
  <c r="AR20" i="16"/>
  <c r="AE13" i="16"/>
  <c r="AD13" i="16"/>
  <c r="AC13" i="16"/>
  <c r="AB13" i="16"/>
  <c r="AP14" i="16"/>
  <c r="AS14" i="16"/>
  <c r="AR14" i="16"/>
  <c r="AQ14" i="16"/>
  <c r="AE17" i="15"/>
  <c r="AD17" i="15"/>
  <c r="AC17" i="15"/>
  <c r="AB17" i="15"/>
  <c r="AS18" i="15"/>
  <c r="AR18" i="15"/>
  <c r="AQ18" i="15"/>
  <c r="AP18" i="15"/>
  <c r="AF9" i="15"/>
  <c r="AL19" i="15"/>
  <c r="AK19" i="15"/>
  <c r="AJ19" i="15"/>
  <c r="AI19" i="15"/>
  <c r="AS8" i="15"/>
  <c r="AR8" i="15"/>
  <c r="AQ8" i="15"/>
  <c r="AP8" i="15"/>
  <c r="AP10" i="15"/>
  <c r="AS10" i="15"/>
  <c r="AR10" i="15"/>
  <c r="AQ10" i="15"/>
  <c r="AE10" i="15"/>
  <c r="AD10" i="15"/>
  <c r="AC10" i="15"/>
  <c r="AB10" i="15"/>
  <c r="AE29" i="15"/>
  <c r="AD29" i="15"/>
  <c r="AC29" i="15"/>
  <c r="AB29" i="15"/>
  <c r="AP13" i="15"/>
  <c r="AS13" i="15"/>
  <c r="AR13" i="15"/>
  <c r="AQ13" i="15"/>
  <c r="AR16" i="15"/>
  <c r="AQ16" i="15"/>
  <c r="AP16" i="15"/>
  <c r="AS16" i="15"/>
  <c r="AE13" i="15"/>
  <c r="AD13" i="15"/>
  <c r="AC13" i="15"/>
  <c r="AB13" i="15"/>
  <c r="AP19" i="15"/>
  <c r="AS19" i="15"/>
  <c r="AR19" i="15"/>
  <c r="AQ19" i="15"/>
  <c r="AS22" i="15"/>
  <c r="AR22" i="15"/>
  <c r="AQ22" i="15"/>
  <c r="AP22" i="15"/>
  <c r="AE6" i="15"/>
  <c r="AD6" i="15"/>
  <c r="AC6" i="15"/>
  <c r="AB6" i="15"/>
  <c r="AF20" i="15"/>
  <c r="AM17" i="15"/>
  <c r="AF11" i="15"/>
  <c r="AQ26" i="15"/>
  <c r="AP26" i="15"/>
  <c r="AS26" i="15"/>
  <c r="AR26" i="15"/>
  <c r="AK26" i="15"/>
  <c r="AJ26" i="15"/>
  <c r="AI26" i="15"/>
  <c r="AL26" i="15"/>
  <c r="AE15" i="15"/>
  <c r="AD15" i="15"/>
  <c r="AC15" i="15"/>
  <c r="AB15" i="15"/>
  <c r="AS27" i="15"/>
  <c r="AR27" i="15"/>
  <c r="AQ27" i="15"/>
  <c r="AP27" i="15"/>
  <c r="AS24" i="15"/>
  <c r="AQ24" i="15"/>
  <c r="AR24" i="15"/>
  <c r="AP24" i="15"/>
  <c r="AI24" i="15"/>
  <c r="AL24" i="15"/>
  <c r="AJ24" i="15"/>
  <c r="AK24" i="15"/>
  <c r="AE8" i="15"/>
  <c r="AD8" i="15"/>
  <c r="AC8" i="15"/>
  <c r="AB8" i="15"/>
  <c r="AK15" i="15"/>
  <c r="AI15" i="15"/>
  <c r="AL15" i="15"/>
  <c r="AJ15" i="15"/>
  <c r="AE19" i="15"/>
  <c r="AD19" i="15"/>
  <c r="AB19" i="15"/>
  <c r="AC19" i="15"/>
  <c r="AI8" i="15"/>
  <c r="AK8" i="15"/>
  <c r="AJ8" i="15"/>
  <c r="AL8" i="15"/>
  <c r="AS11" i="15"/>
  <c r="AR11" i="15"/>
  <c r="AQ11" i="15"/>
  <c r="AP11" i="15"/>
  <c r="AJ22" i="15"/>
  <c r="AL22" i="15"/>
  <c r="AK22" i="15"/>
  <c r="AI22" i="15"/>
  <c r="AM29" i="15"/>
  <c r="AF18" i="15"/>
  <c r="AI13" i="15"/>
  <c r="AL13" i="15"/>
  <c r="AK13" i="15"/>
  <c r="AJ13" i="15"/>
  <c r="AF26" i="15"/>
  <c r="AT15" i="15"/>
  <c r="AP29" i="15"/>
  <c r="AS29" i="15"/>
  <c r="AR29" i="15"/>
  <c r="AQ29" i="15"/>
  <c r="AE24" i="15"/>
  <c r="AD24" i="15"/>
  <c r="AC24" i="15"/>
  <c r="AB24" i="15"/>
  <c r="AE22" i="15"/>
  <c r="AD22" i="15"/>
  <c r="AC22" i="15"/>
  <c r="AB22" i="15"/>
  <c r="AS15" i="14"/>
  <c r="AR15" i="14"/>
  <c r="AQ15" i="14"/>
  <c r="AP15" i="14"/>
  <c r="AE29" i="14"/>
  <c r="AD29" i="14"/>
  <c r="AC29" i="14"/>
  <c r="AB29" i="14"/>
  <c r="AK15" i="14"/>
  <c r="AL15" i="14"/>
  <c r="AJ15" i="14"/>
  <c r="AI15" i="14"/>
  <c r="AS8" i="14"/>
  <c r="AR8" i="14"/>
  <c r="AQ8" i="14"/>
  <c r="AP8" i="14"/>
  <c r="AT24" i="14"/>
  <c r="AP19" i="14"/>
  <c r="AS19" i="14"/>
  <c r="AR19" i="14"/>
  <c r="AQ19" i="14"/>
  <c r="AQ23" i="14"/>
  <c r="AP23" i="14"/>
  <c r="AS23" i="14"/>
  <c r="AR23" i="14"/>
  <c r="AE17" i="14"/>
  <c r="AD17" i="14"/>
  <c r="AC17" i="14"/>
  <c r="AB17" i="14"/>
  <c r="AE22" i="14"/>
  <c r="AD22" i="14"/>
  <c r="AC22" i="14"/>
  <c r="AB22" i="14"/>
  <c r="AS22" i="14"/>
  <c r="AR22" i="14"/>
  <c r="AQ22" i="14"/>
  <c r="AP22" i="14"/>
  <c r="AE15" i="14"/>
  <c r="AD15" i="14"/>
  <c r="AC15" i="14"/>
  <c r="AB15" i="14"/>
  <c r="AM19" i="14"/>
  <c r="AD8" i="14"/>
  <c r="AE8" i="14"/>
  <c r="AC8" i="14"/>
  <c r="AB8" i="14"/>
  <c r="AL22" i="14"/>
  <c r="AK22" i="14"/>
  <c r="AJ22" i="14"/>
  <c r="AI22" i="14"/>
  <c r="AS11" i="14"/>
  <c r="AR11" i="14"/>
  <c r="AQ11" i="14"/>
  <c r="AP11" i="14"/>
  <c r="AE26" i="14"/>
  <c r="AD26" i="14"/>
  <c r="AC26" i="14"/>
  <c r="AB26" i="14"/>
  <c r="AE24" i="14"/>
  <c r="AD24" i="14"/>
  <c r="AC24" i="14"/>
  <c r="AB24" i="14"/>
  <c r="AR16" i="14"/>
  <c r="AQ16" i="14"/>
  <c r="AP16" i="14"/>
  <c r="AS16" i="14"/>
  <c r="AQ26" i="14"/>
  <c r="AS26" i="14"/>
  <c r="AR26" i="14"/>
  <c r="AP26" i="14"/>
  <c r="AM26" i="14"/>
  <c r="AD19" i="14"/>
  <c r="AE19" i="14"/>
  <c r="AC19" i="14"/>
  <c r="AB19" i="14"/>
  <c r="AS27" i="14"/>
  <c r="AR27" i="14"/>
  <c r="AQ27" i="14"/>
  <c r="AP27" i="14"/>
  <c r="AE13" i="14"/>
  <c r="AD13" i="14"/>
  <c r="AC13" i="14"/>
  <c r="AB13" i="14"/>
  <c r="AR20" i="14"/>
  <c r="AS20" i="14"/>
  <c r="AQ20" i="14"/>
  <c r="AP20" i="14"/>
  <c r="AI24" i="14"/>
  <c r="AJ24" i="14"/>
  <c r="AK24" i="14"/>
  <c r="AL24" i="14"/>
  <c r="AM7" i="14"/>
  <c r="AP14" i="14"/>
  <c r="AS14" i="14"/>
  <c r="AR14" i="14"/>
  <c r="AQ14" i="14"/>
  <c r="AM11" i="14"/>
  <c r="AT29" i="14"/>
  <c r="AL6" i="14"/>
  <c r="AK6" i="14"/>
  <c r="AJ6" i="14"/>
  <c r="AI6" i="14"/>
  <c r="AD20" i="14"/>
  <c r="AC20" i="14"/>
  <c r="AB20" i="14"/>
  <c r="AE20" i="14"/>
  <c r="AM17" i="14"/>
  <c r="AF27" i="14"/>
  <c r="AQ7" i="14"/>
  <c r="AP7" i="14"/>
  <c r="AS7" i="14"/>
  <c r="AR7" i="14"/>
  <c r="AS18" i="14"/>
  <c r="AR18" i="14"/>
  <c r="AQ18" i="14"/>
  <c r="AP18" i="14"/>
  <c r="AC11" i="14"/>
  <c r="AB11" i="14"/>
  <c r="AE11" i="14"/>
  <c r="AD11" i="14"/>
  <c r="AL13" i="14"/>
  <c r="AK13" i="14"/>
  <c r="AJ13" i="14"/>
  <c r="AI13" i="14"/>
  <c r="AE10" i="13"/>
  <c r="AC10" i="13"/>
  <c r="AB10" i="13"/>
  <c r="AD10" i="13"/>
  <c r="AQ15" i="13"/>
  <c r="AP15" i="13"/>
  <c r="AS15" i="13"/>
  <c r="AR15" i="13"/>
  <c r="AK10" i="13"/>
  <c r="AJ10" i="13"/>
  <c r="AI10" i="13"/>
  <c r="AL10" i="13"/>
  <c r="AI15" i="13"/>
  <c r="AL15" i="13"/>
  <c r="AK15" i="13"/>
  <c r="AJ15" i="13"/>
  <c r="AE13" i="13"/>
  <c r="AB13" i="13"/>
  <c r="AD13" i="13"/>
  <c r="AC13" i="13"/>
  <c r="AF22" i="13"/>
  <c r="AR16" i="13"/>
  <c r="AQ16" i="13"/>
  <c r="AP16" i="13"/>
  <c r="AS16" i="13"/>
  <c r="AT10" i="13"/>
  <c r="AC27" i="13"/>
  <c r="AB27" i="13"/>
  <c r="AE27" i="13"/>
  <c r="AD27" i="13"/>
  <c r="AD20" i="13"/>
  <c r="AC20" i="13"/>
  <c r="AB20" i="13"/>
  <c r="AE20" i="13"/>
  <c r="AQ18" i="13"/>
  <c r="AS18" i="13"/>
  <c r="AP18" i="13"/>
  <c r="AR18" i="13"/>
  <c r="AI22" i="13"/>
  <c r="AL22" i="13"/>
  <c r="AK22" i="13"/>
  <c r="AJ22" i="13"/>
  <c r="AL11" i="13"/>
  <c r="AI11" i="13"/>
  <c r="AK11" i="13"/>
  <c r="AJ11" i="13"/>
  <c r="AQ23" i="13"/>
  <c r="AP23" i="13"/>
  <c r="AS23" i="13"/>
  <c r="AR23" i="13"/>
  <c r="AQ27" i="13"/>
  <c r="AS27" i="13"/>
  <c r="AR27" i="13"/>
  <c r="AP27" i="13"/>
  <c r="AT29" i="13"/>
  <c r="AD15" i="13"/>
  <c r="AE15" i="13"/>
  <c r="AC15" i="13"/>
  <c r="AB15" i="13"/>
  <c r="AC11" i="13"/>
  <c r="AB11" i="13"/>
  <c r="AD11" i="13"/>
  <c r="AE11" i="13"/>
  <c r="AF23" i="13"/>
  <c r="AQ7" i="13"/>
  <c r="AP7" i="13"/>
  <c r="AS7" i="13"/>
  <c r="AR7" i="13"/>
  <c r="AL13" i="13"/>
  <c r="AK13" i="13"/>
  <c r="AJ13" i="13"/>
  <c r="AI13" i="13"/>
  <c r="AS25" i="13"/>
  <c r="AR25" i="13"/>
  <c r="AQ25" i="13"/>
  <c r="AP25" i="13"/>
  <c r="AE8" i="13"/>
  <c r="AD8" i="13"/>
  <c r="AC8" i="13"/>
  <c r="AB8" i="13"/>
  <c r="AE29" i="13"/>
  <c r="AB29" i="13"/>
  <c r="AD29" i="13"/>
  <c r="AC29" i="13"/>
  <c r="AS13" i="13"/>
  <c r="AR13" i="13"/>
  <c r="AQ13" i="13"/>
  <c r="AP13" i="13"/>
  <c r="AF7" i="13"/>
  <c r="AF25" i="13"/>
  <c r="AD24" i="13"/>
  <c r="AB24" i="13"/>
  <c r="AE24" i="13"/>
  <c r="AC24" i="13"/>
  <c r="AP24" i="13"/>
  <c r="AS24" i="13"/>
  <c r="AR24" i="13"/>
  <c r="AQ24" i="13"/>
  <c r="AI24" i="13"/>
  <c r="AL24" i="13"/>
  <c r="AK24" i="13"/>
  <c r="AJ24" i="13"/>
  <c r="AL18" i="13"/>
  <c r="AK18" i="13"/>
  <c r="AJ18" i="13"/>
  <c r="AI18" i="13"/>
  <c r="AR11" i="13"/>
  <c r="AQ11" i="13"/>
  <c r="AS11" i="13"/>
  <c r="AP11" i="13"/>
  <c r="AF6" i="13"/>
  <c r="AS9" i="13"/>
  <c r="AP9" i="13"/>
  <c r="AR9" i="13"/>
  <c r="AQ9" i="13"/>
  <c r="AI29" i="13"/>
  <c r="AL29" i="13"/>
  <c r="AK29" i="13"/>
  <c r="AJ29" i="13"/>
  <c r="AB18" i="13"/>
  <c r="AD18" i="13"/>
  <c r="AE18" i="13"/>
  <c r="AC18" i="13"/>
  <c r="AR16" i="12"/>
  <c r="AQ16" i="12"/>
  <c r="AP16" i="12"/>
  <c r="AS16" i="12"/>
  <c r="AS9" i="12"/>
  <c r="AR9" i="12"/>
  <c r="AQ9" i="12"/>
  <c r="AP9" i="12"/>
  <c r="AE29" i="12"/>
  <c r="AD29" i="12"/>
  <c r="AC29" i="12"/>
  <c r="AB29" i="12"/>
  <c r="AR22" i="12"/>
  <c r="AS22" i="12"/>
  <c r="AQ22" i="12"/>
  <c r="AP22" i="12"/>
  <c r="AL6" i="12"/>
  <c r="AK6" i="12"/>
  <c r="AJ6" i="12"/>
  <c r="AI6" i="12"/>
  <c r="AS6" i="12"/>
  <c r="AR6" i="12"/>
  <c r="AQ6" i="12"/>
  <c r="AP6" i="12"/>
  <c r="AE22" i="12"/>
  <c r="AD22" i="12"/>
  <c r="AC22" i="12"/>
  <c r="AB22" i="12"/>
  <c r="AB8" i="12"/>
  <c r="AE8" i="12"/>
  <c r="AD8" i="12"/>
  <c r="AC8" i="12"/>
  <c r="AT5" i="12"/>
  <c r="AS11" i="12"/>
  <c r="AR11" i="12"/>
  <c r="AQ11" i="12"/>
  <c r="AP11" i="12"/>
  <c r="AI8" i="12"/>
  <c r="AL8" i="12"/>
  <c r="AK8" i="12"/>
  <c r="AJ8" i="12"/>
  <c r="AE13" i="12"/>
  <c r="AD13" i="12"/>
  <c r="AC13" i="12"/>
  <c r="AB13" i="12"/>
  <c r="AS24" i="12"/>
  <c r="AR24" i="12"/>
  <c r="AQ24" i="12"/>
  <c r="AP24" i="12"/>
  <c r="AS18" i="12"/>
  <c r="AR18" i="12"/>
  <c r="AQ18" i="12"/>
  <c r="AP18" i="12"/>
  <c r="AT29" i="12"/>
  <c r="AE17" i="12"/>
  <c r="AD17" i="12"/>
  <c r="AC17" i="12"/>
  <c r="AB17" i="12"/>
  <c r="AI24" i="12"/>
  <c r="AL24" i="12"/>
  <c r="AK24" i="12"/>
  <c r="AJ24" i="12"/>
  <c r="AS25" i="12"/>
  <c r="AR25" i="12"/>
  <c r="AQ25" i="12"/>
  <c r="AP25" i="12"/>
  <c r="AJ17" i="12"/>
  <c r="AI17" i="12"/>
  <c r="AL17" i="12"/>
  <c r="AK17" i="12"/>
  <c r="AF25" i="12"/>
  <c r="AF18" i="12"/>
  <c r="AQ7" i="12"/>
  <c r="AP7" i="12"/>
  <c r="AS7" i="12"/>
  <c r="AR7" i="12"/>
  <c r="AQ10" i="12"/>
  <c r="AP10" i="12"/>
  <c r="AS10" i="12"/>
  <c r="AR10" i="12"/>
  <c r="AK10" i="12"/>
  <c r="AJ10" i="12"/>
  <c r="AI10" i="12"/>
  <c r="AL10" i="12"/>
  <c r="AE15" i="12"/>
  <c r="AD15" i="12"/>
  <c r="AC15" i="12"/>
  <c r="AB15" i="12"/>
  <c r="AJ15" i="12"/>
  <c r="AL15" i="12"/>
  <c r="AK15" i="12"/>
  <c r="AI15" i="12"/>
  <c r="AE6" i="12"/>
  <c r="AD6" i="12"/>
  <c r="AC6" i="12"/>
  <c r="AB6" i="12"/>
  <c r="AQ23" i="12"/>
  <c r="AP23" i="12"/>
  <c r="AR23" i="12"/>
  <c r="AS23" i="12"/>
  <c r="AE26" i="12"/>
  <c r="AD26" i="12"/>
  <c r="AC26" i="12"/>
  <c r="AB26" i="12"/>
  <c r="AE24" i="12"/>
  <c r="AD24" i="12"/>
  <c r="AC24" i="12"/>
  <c r="AB24" i="12"/>
  <c r="AC11" i="12"/>
  <c r="AB11" i="12"/>
  <c r="AE11" i="12"/>
  <c r="AD11" i="12"/>
  <c r="AM26" i="12"/>
  <c r="AE10" i="12"/>
  <c r="AC10" i="12"/>
  <c r="AD10" i="12"/>
  <c r="AB10" i="12"/>
  <c r="AS27" i="12"/>
  <c r="AR27" i="12"/>
  <c r="AQ27" i="12"/>
  <c r="AP27" i="12"/>
  <c r="AT17" i="12"/>
  <c r="AM22" i="12"/>
  <c r="AS20" i="12"/>
  <c r="AR20" i="12"/>
  <c r="AQ20" i="12"/>
  <c r="AP20" i="12"/>
  <c r="AF27" i="12"/>
  <c r="AP14" i="12"/>
  <c r="AS14" i="12"/>
  <c r="AR14" i="12"/>
  <c r="AQ14" i="12"/>
  <c r="AM19" i="12"/>
  <c r="AS15" i="12"/>
  <c r="AR15" i="12"/>
  <c r="AQ15" i="12"/>
  <c r="AP15" i="12"/>
  <c r="AQ10" i="11"/>
  <c r="AP10" i="11"/>
  <c r="AS10" i="11"/>
  <c r="AR10" i="11"/>
  <c r="AK29" i="11"/>
  <c r="AJ29" i="11"/>
  <c r="AI29" i="11"/>
  <c r="AL29" i="11"/>
  <c r="AK11" i="11"/>
  <c r="F12" i="18" s="1"/>
  <c r="AL11" i="11"/>
  <c r="AJ11" i="11"/>
  <c r="E12" i="18" s="1"/>
  <c r="AI11" i="11"/>
  <c r="AT13" i="11"/>
  <c r="AS29" i="11"/>
  <c r="AR29" i="11"/>
  <c r="AQ29" i="11"/>
  <c r="AP29" i="11"/>
  <c r="AK15" i="11"/>
  <c r="AL15" i="11"/>
  <c r="AJ15" i="11"/>
  <c r="AI15" i="11"/>
  <c r="AM16" i="11"/>
  <c r="AB26" i="11"/>
  <c r="AE26" i="11"/>
  <c r="AD26" i="11"/>
  <c r="AC26" i="11"/>
  <c r="AD20" i="11"/>
  <c r="AC20" i="11"/>
  <c r="AB20" i="11"/>
  <c r="AE20" i="11"/>
  <c r="AE24" i="11"/>
  <c r="AC24" i="11"/>
  <c r="AD24" i="11"/>
  <c r="AB24" i="11"/>
  <c r="AJ25" i="11"/>
  <c r="AL25" i="11"/>
  <c r="AK25" i="11"/>
  <c r="AI25" i="11"/>
  <c r="AC27" i="11"/>
  <c r="AB27" i="11"/>
  <c r="AD27" i="11"/>
  <c r="AE27" i="11"/>
  <c r="AK26" i="11"/>
  <c r="AI26" i="11"/>
  <c r="AJ26" i="11"/>
  <c r="AL26" i="11"/>
  <c r="AI24" i="11"/>
  <c r="AJ24" i="11"/>
  <c r="AL24" i="11"/>
  <c r="AK24" i="11"/>
  <c r="AF7" i="11"/>
  <c r="AT21" i="11"/>
  <c r="AR16" i="11"/>
  <c r="AQ16" i="11"/>
  <c r="AP16" i="11"/>
  <c r="AS16" i="11"/>
  <c r="AD9" i="11"/>
  <c r="AC9" i="11"/>
  <c r="AB9" i="11"/>
  <c r="AE9" i="11"/>
  <c r="AR26" i="11"/>
  <c r="AQ26" i="11"/>
  <c r="AP26" i="11"/>
  <c r="AS26" i="11"/>
  <c r="AS15" i="11"/>
  <c r="AR15" i="11"/>
  <c r="AQ15" i="11"/>
  <c r="AP15" i="11"/>
  <c r="AS11" i="11"/>
  <c r="AR11" i="11"/>
  <c r="AP11" i="11"/>
  <c r="AQ11" i="11"/>
  <c r="AK10" i="11"/>
  <c r="AJ10" i="11"/>
  <c r="AI10" i="11"/>
  <c r="AL10" i="11"/>
  <c r="AB18" i="11"/>
  <c r="AD18" i="11"/>
  <c r="AE18" i="11"/>
  <c r="AC18" i="11"/>
  <c r="AE13" i="11"/>
  <c r="AC13" i="11"/>
  <c r="AB13" i="11"/>
  <c r="AD13" i="11"/>
  <c r="AJ13" i="11"/>
  <c r="AI13" i="11"/>
  <c r="AL13" i="11"/>
  <c r="AK13" i="11"/>
  <c r="AC11" i="11"/>
  <c r="AB11" i="11"/>
  <c r="AD11" i="11"/>
  <c r="AE11" i="11"/>
  <c r="AS27" i="11"/>
  <c r="AR27" i="11"/>
  <c r="AQ27" i="11"/>
  <c r="AP27" i="11"/>
  <c r="AE15" i="11"/>
  <c r="AD15" i="11"/>
  <c r="AB15" i="11"/>
  <c r="AC15" i="11"/>
  <c r="AE29" i="11"/>
  <c r="AC29" i="11"/>
  <c r="AB29" i="11"/>
  <c r="AD29" i="11"/>
  <c r="AS25" i="11"/>
  <c r="AP25" i="11"/>
  <c r="AR25" i="11"/>
  <c r="AQ25" i="11"/>
  <c r="AL27" i="11"/>
  <c r="AI27" i="11"/>
  <c r="AK27" i="11"/>
  <c r="AJ27" i="11"/>
  <c r="AC16" i="11"/>
  <c r="AB16" i="11"/>
  <c r="AE16" i="11"/>
  <c r="AD16" i="11"/>
  <c r="AR24" i="11"/>
  <c r="AS24" i="11"/>
  <c r="AQ24" i="11"/>
  <c r="AP24" i="11"/>
  <c r="AS20" i="11"/>
  <c r="AQ20" i="11"/>
  <c r="AP20" i="11"/>
  <c r="AR20" i="11"/>
  <c r="AQ7" i="11"/>
  <c r="AP7" i="11"/>
  <c r="AS7" i="11"/>
  <c r="AR7" i="11"/>
  <c r="AM19" i="11"/>
  <c r="AP14" i="11"/>
  <c r="AS14" i="11"/>
  <c r="AR14" i="11"/>
  <c r="AQ14" i="11"/>
  <c r="AC25" i="11"/>
  <c r="AB25" i="11"/>
  <c r="AE25" i="11"/>
  <c r="AD25" i="11"/>
  <c r="AM22" i="11"/>
  <c r="AS9" i="11"/>
  <c r="AQ9" i="11"/>
  <c r="AP9" i="11"/>
  <c r="AR9" i="11"/>
  <c r="AT18" i="11"/>
  <c r="AQ23" i="11"/>
  <c r="AP23" i="11"/>
  <c r="AS23" i="11"/>
  <c r="AR23" i="11"/>
  <c r="AE10" i="11"/>
  <c r="AD10" i="11"/>
  <c r="AC10" i="11"/>
  <c r="AB10" i="11"/>
  <c r="AE6" i="10"/>
  <c r="AD6" i="10"/>
  <c r="AC6" i="10"/>
  <c r="AB6" i="10"/>
  <c r="AD13" i="10"/>
  <c r="AC13" i="10"/>
  <c r="AB13" i="10"/>
  <c r="AE13" i="10"/>
  <c r="AR13" i="10"/>
  <c r="AQ13" i="10"/>
  <c r="AP13" i="10"/>
  <c r="AS13" i="10"/>
  <c r="AL15" i="10"/>
  <c r="AK15" i="10"/>
  <c r="AJ15" i="10"/>
  <c r="AI15" i="10"/>
  <c r="AE15" i="10"/>
  <c r="AD15" i="10"/>
  <c r="AB15" i="10"/>
  <c r="AC15" i="10"/>
  <c r="AJ26" i="10"/>
  <c r="AI26" i="10"/>
  <c r="AK26" i="10"/>
  <c r="AL26" i="10"/>
  <c r="AP23" i="10"/>
  <c r="AR23" i="10"/>
  <c r="AS23" i="10"/>
  <c r="AQ23" i="10"/>
  <c r="AS6" i="10"/>
  <c r="AR6" i="10"/>
  <c r="AQ6" i="10"/>
  <c r="AP6" i="10"/>
  <c r="AQ16" i="10"/>
  <c r="AP16" i="10"/>
  <c r="AS16" i="10"/>
  <c r="AR16" i="10"/>
  <c r="AS18" i="10"/>
  <c r="AR18" i="10"/>
  <c r="AQ18" i="10"/>
  <c r="AP18" i="10"/>
  <c r="AT21" i="10"/>
  <c r="AT9" i="10"/>
  <c r="AS15" i="10"/>
  <c r="AP15" i="10"/>
  <c r="AR15" i="10"/>
  <c r="AQ15" i="10"/>
  <c r="AS22" i="10"/>
  <c r="AR22" i="10"/>
  <c r="AQ22" i="10"/>
  <c r="AP22" i="10"/>
  <c r="AR12" i="10"/>
  <c r="AP12" i="10"/>
  <c r="AQ12" i="10"/>
  <c r="AS12" i="10"/>
  <c r="AE22" i="10"/>
  <c r="AD22" i="10"/>
  <c r="AC22" i="10"/>
  <c r="AB22" i="10"/>
  <c r="AF8" i="10"/>
  <c r="AL11" i="10"/>
  <c r="AK11" i="10"/>
  <c r="AJ11" i="10"/>
  <c r="AI11" i="10"/>
  <c r="AE24" i="10"/>
  <c r="AD24" i="10"/>
  <c r="AC24" i="10"/>
  <c r="AB24" i="10"/>
  <c r="AJ10" i="10"/>
  <c r="AI10" i="10"/>
  <c r="AL10" i="10"/>
  <c r="AK10" i="10"/>
  <c r="AM29" i="10"/>
  <c r="AI24" i="10"/>
  <c r="AK24" i="10"/>
  <c r="AL24" i="10"/>
  <c r="AJ24" i="10"/>
  <c r="AS11" i="10"/>
  <c r="AR11" i="10"/>
  <c r="AP11" i="10"/>
  <c r="AQ11" i="10"/>
  <c r="AT24" i="10"/>
  <c r="AL20" i="10"/>
  <c r="AJ20" i="10"/>
  <c r="AI20" i="10"/>
  <c r="AK20" i="10"/>
  <c r="AM22" i="10"/>
  <c r="AQ17" i="10"/>
  <c r="AP17" i="10"/>
  <c r="AS17" i="10"/>
  <c r="AR17" i="10"/>
  <c r="AF18" i="10"/>
  <c r="AE16" i="10"/>
  <c r="AD16" i="10"/>
  <c r="AC16" i="10"/>
  <c r="AB16" i="10"/>
  <c r="AL13" i="10"/>
  <c r="AK13" i="10"/>
  <c r="AJ13" i="10"/>
  <c r="AI13" i="10"/>
  <c r="AF27" i="10"/>
  <c r="AK19" i="10"/>
  <c r="AJ19" i="10"/>
  <c r="AI19" i="10"/>
  <c r="AL19" i="10"/>
  <c r="AL6" i="10"/>
  <c r="AJ6" i="10"/>
  <c r="AI6" i="10"/>
  <c r="AK6" i="10"/>
  <c r="AB11" i="10"/>
  <c r="AC11" i="10"/>
  <c r="AE11" i="10"/>
  <c r="AD11" i="10"/>
  <c r="AE12" i="10"/>
  <c r="AD12" i="10"/>
  <c r="AB12" i="10"/>
  <c r="AC12" i="10"/>
  <c r="AR19" i="10"/>
  <c r="AP19" i="10"/>
  <c r="AQ19" i="10"/>
  <c r="AS19" i="10"/>
  <c r="AS20" i="10"/>
  <c r="AQ20" i="10"/>
  <c r="AP20" i="10"/>
  <c r="AR20" i="10"/>
  <c r="AQ8" i="10"/>
  <c r="AP8" i="10"/>
  <c r="AS8" i="10"/>
  <c r="AR8" i="10"/>
  <c r="AC20" i="10"/>
  <c r="AB20" i="10"/>
  <c r="AE20" i="10"/>
  <c r="AD20" i="10"/>
  <c r="AJ8" i="10"/>
  <c r="AI8" i="10"/>
  <c r="AL8" i="10"/>
  <c r="AK8" i="10"/>
  <c r="AE29" i="10"/>
  <c r="AD29" i="10"/>
  <c r="AC29" i="10"/>
  <c r="AB29" i="10"/>
  <c r="AT14" i="10"/>
  <c r="AI17" i="10"/>
  <c r="AL17" i="10"/>
  <c r="AJ17" i="10"/>
  <c r="AK17" i="10"/>
  <c r="AE26" i="10"/>
  <c r="AD26" i="10"/>
  <c r="AC26" i="10"/>
  <c r="AB26" i="10"/>
  <c r="AP7" i="10"/>
  <c r="AS7" i="10"/>
  <c r="AQ7" i="10"/>
  <c r="AR7" i="10"/>
  <c r="AS27" i="10"/>
  <c r="AR27" i="10"/>
  <c r="AQ27" i="10"/>
  <c r="AP27" i="10"/>
  <c r="AS26" i="10"/>
  <c r="AR26" i="10"/>
  <c r="AQ26" i="10"/>
  <c r="AP26" i="10"/>
  <c r="AL12" i="10"/>
  <c r="AK12" i="10"/>
  <c r="AJ12" i="10"/>
  <c r="AI12" i="10"/>
  <c r="AQ10" i="10"/>
  <c r="AP10" i="10"/>
  <c r="AS10" i="10"/>
  <c r="AR10" i="10"/>
  <c r="AL16" i="10"/>
  <c r="AK16" i="10"/>
  <c r="AJ16" i="10"/>
  <c r="AI16" i="10"/>
  <c r="AE26" i="9"/>
  <c r="AD26" i="9"/>
  <c r="AC26" i="9"/>
  <c r="AB26" i="9"/>
  <c r="AE13" i="9"/>
  <c r="AD13" i="9"/>
  <c r="AC13" i="9"/>
  <c r="AB13" i="9"/>
  <c r="AK26" i="9"/>
  <c r="AJ26" i="9"/>
  <c r="AI26" i="9"/>
  <c r="AL26" i="9"/>
  <c r="AC27" i="9"/>
  <c r="AB27" i="9"/>
  <c r="AE27" i="9"/>
  <c r="AD27" i="9"/>
  <c r="AJ18" i="9"/>
  <c r="AL18" i="9"/>
  <c r="AK18" i="9"/>
  <c r="AI18" i="9"/>
  <c r="AE24" i="9"/>
  <c r="AD24" i="9"/>
  <c r="AC24" i="9"/>
  <c r="AB24" i="9"/>
  <c r="AL29" i="9"/>
  <c r="AI29" i="9"/>
  <c r="AK29" i="9"/>
  <c r="AJ29" i="9"/>
  <c r="AE29" i="9"/>
  <c r="AD29" i="9"/>
  <c r="AC29" i="9"/>
  <c r="AB29" i="9"/>
  <c r="AT21" i="9"/>
  <c r="AS25" i="9"/>
  <c r="AR25" i="9"/>
  <c r="AQ25" i="9"/>
  <c r="AP25" i="9"/>
  <c r="AK22" i="9"/>
  <c r="AL22" i="9"/>
  <c r="AJ22" i="9"/>
  <c r="AI22" i="9"/>
  <c r="AF6" i="9"/>
  <c r="AS18" i="9"/>
  <c r="AR18" i="9"/>
  <c r="AQ18" i="9"/>
  <c r="AP18" i="9"/>
  <c r="AM17" i="9"/>
  <c r="AE25" i="9"/>
  <c r="AC25" i="9"/>
  <c r="AB25" i="9"/>
  <c r="AD25" i="9"/>
  <c r="AP10" i="9"/>
  <c r="AQ10" i="9"/>
  <c r="AS10" i="9"/>
  <c r="AR10" i="9"/>
  <c r="AL11" i="9"/>
  <c r="AK11" i="9"/>
  <c r="AI11" i="9"/>
  <c r="AJ11" i="9"/>
  <c r="AQ23" i="9"/>
  <c r="AP23" i="9"/>
  <c r="AR23" i="9"/>
  <c r="AS23" i="9"/>
  <c r="AE10" i="9"/>
  <c r="AD10" i="9"/>
  <c r="AC10" i="9"/>
  <c r="AB10" i="9"/>
  <c r="AK9" i="9"/>
  <c r="AI9" i="9"/>
  <c r="AL9" i="9"/>
  <c r="AJ9" i="9"/>
  <c r="AK10" i="9"/>
  <c r="AJ10" i="9"/>
  <c r="AI10" i="9"/>
  <c r="AL10" i="9"/>
  <c r="AC11" i="9"/>
  <c r="AB11" i="9"/>
  <c r="AE11" i="9"/>
  <c r="AD11" i="9"/>
  <c r="AB18" i="9"/>
  <c r="AE18" i="9"/>
  <c r="AD18" i="9"/>
  <c r="AC18" i="9"/>
  <c r="AE16" i="9"/>
  <c r="AD16" i="9"/>
  <c r="AC16" i="9"/>
  <c r="AB16" i="9"/>
  <c r="AE9" i="9"/>
  <c r="AD9" i="9"/>
  <c r="AC9" i="9"/>
  <c r="AB9" i="9"/>
  <c r="AK20" i="9"/>
  <c r="AL20" i="9"/>
  <c r="AJ20" i="9"/>
  <c r="AI20" i="9"/>
  <c r="AL27" i="9"/>
  <c r="AK27" i="9"/>
  <c r="AJ27" i="9"/>
  <c r="AI27" i="9"/>
  <c r="AS20" i="9"/>
  <c r="AR20" i="9"/>
  <c r="AP20" i="9"/>
  <c r="AQ20" i="9"/>
  <c r="AP26" i="9"/>
  <c r="AS26" i="9"/>
  <c r="AR26" i="9"/>
  <c r="AQ26" i="9"/>
  <c r="AI13" i="9"/>
  <c r="AJ13" i="9"/>
  <c r="AL13" i="9"/>
  <c r="AK13" i="9"/>
  <c r="AD20" i="9"/>
  <c r="AC20" i="9"/>
  <c r="AB20" i="9"/>
  <c r="AE20" i="9"/>
  <c r="AS29" i="9"/>
  <c r="AR29" i="9"/>
  <c r="AQ29" i="9"/>
  <c r="AP29" i="9"/>
  <c r="AR16" i="9"/>
  <c r="AQ16" i="9"/>
  <c r="AP16" i="9"/>
  <c r="AS16" i="9"/>
  <c r="AL25" i="9"/>
  <c r="AK25" i="9"/>
  <c r="AJ25" i="9"/>
  <c r="AI25" i="9"/>
  <c r="AS24" i="9"/>
  <c r="AR24" i="9"/>
  <c r="AQ24" i="9"/>
  <c r="AP24" i="9"/>
  <c r="AI24" i="9"/>
  <c r="AL24" i="9"/>
  <c r="AK24" i="9"/>
  <c r="AJ24" i="9"/>
  <c r="AQ7" i="9"/>
  <c r="AP7" i="9"/>
  <c r="AR7" i="9"/>
  <c r="AS7" i="9"/>
  <c r="AS22" i="9"/>
  <c r="AR22" i="9"/>
  <c r="AQ22" i="9"/>
  <c r="AP22" i="9"/>
  <c r="AS9" i="9"/>
  <c r="AR9" i="9"/>
  <c r="AQ9" i="9"/>
  <c r="AP9" i="9"/>
  <c r="AS11" i="9"/>
  <c r="AR11" i="9"/>
  <c r="AQ11" i="9"/>
  <c r="AP11" i="9"/>
  <c r="AT13" i="9"/>
  <c r="AF7" i="8"/>
  <c r="AM25" i="8"/>
  <c r="AM14" i="8"/>
  <c r="AT21" i="8"/>
  <c r="AT29" i="8"/>
  <c r="AT5" i="8"/>
  <c r="AT13" i="8"/>
  <c r="AM23" i="8"/>
  <c r="AM9" i="8"/>
  <c r="AJ29" i="7"/>
  <c r="AI29" i="7"/>
  <c r="AL29" i="7"/>
  <c r="AK29" i="7"/>
  <c r="AJ5" i="7"/>
  <c r="AI5" i="7"/>
  <c r="AL5" i="7"/>
  <c r="AK5" i="7"/>
  <c r="AJ17" i="7"/>
  <c r="AK17" i="7"/>
  <c r="AL17" i="7"/>
  <c r="AI17" i="7"/>
  <c r="AC11" i="7"/>
  <c r="AE11" i="7"/>
  <c r="AD11" i="7"/>
  <c r="AB11" i="7"/>
  <c r="AP8" i="7"/>
  <c r="AS8" i="7"/>
  <c r="AQ8" i="7"/>
  <c r="AR8" i="7"/>
  <c r="AD22" i="7"/>
  <c r="AB22" i="7"/>
  <c r="AE22" i="7"/>
  <c r="AC22" i="7"/>
  <c r="AE26" i="7"/>
  <c r="AC26" i="7"/>
  <c r="AD26" i="7"/>
  <c r="AB26" i="7"/>
  <c r="AL21" i="7"/>
  <c r="AJ21" i="7"/>
  <c r="AI21" i="7"/>
  <c r="AK21" i="7"/>
  <c r="AD20" i="7"/>
  <c r="AB20" i="7"/>
  <c r="AC20" i="7"/>
  <c r="AE20" i="7"/>
  <c r="AM26" i="7"/>
  <c r="AE17" i="7"/>
  <c r="AD17" i="7"/>
  <c r="AC17" i="7"/>
  <c r="AB17" i="7"/>
  <c r="AE23" i="7"/>
  <c r="AD23" i="7"/>
  <c r="AC23" i="7"/>
  <c r="AB23" i="7"/>
  <c r="AQ11" i="7"/>
  <c r="AP11" i="7"/>
  <c r="AS11" i="7"/>
  <c r="AR11" i="7"/>
  <c r="AD8" i="7"/>
  <c r="AC8" i="7"/>
  <c r="AB8" i="7"/>
  <c r="AE8" i="7"/>
  <c r="AE13" i="7"/>
  <c r="AC13" i="7"/>
  <c r="AB13" i="7"/>
  <c r="AD13" i="7"/>
  <c r="AD19" i="7"/>
  <c r="AE19" i="7"/>
  <c r="AB19" i="7"/>
  <c r="AC19" i="7"/>
  <c r="AE14" i="7"/>
  <c r="AD14" i="7"/>
  <c r="AC14" i="7"/>
  <c r="AB14" i="7"/>
  <c r="AT29" i="7"/>
  <c r="AC15" i="7"/>
  <c r="AB15" i="7"/>
  <c r="AE15" i="7"/>
  <c r="AD15" i="7"/>
  <c r="AQ23" i="7"/>
  <c r="AS23" i="7"/>
  <c r="AR23" i="7"/>
  <c r="AP23" i="7"/>
  <c r="AE29" i="7"/>
  <c r="AC29" i="7"/>
  <c r="AB29" i="7"/>
  <c r="AD29" i="7"/>
  <c r="AF24" i="7"/>
  <c r="AM10" i="7"/>
  <c r="AM13" i="7"/>
  <c r="AQ17" i="7"/>
  <c r="AP17" i="7"/>
  <c r="AS17" i="7"/>
  <c r="AR17" i="7"/>
  <c r="AS21" i="7"/>
  <c r="AR21" i="7"/>
  <c r="AQ21" i="7"/>
  <c r="AP21" i="7"/>
  <c r="AQ19" i="7"/>
  <c r="AP19" i="7"/>
  <c r="AS19" i="7"/>
  <c r="AR19" i="7"/>
  <c r="AS25" i="7"/>
  <c r="AQ25" i="7"/>
  <c r="AP25" i="7"/>
  <c r="AR25" i="7"/>
  <c r="AK11" i="7"/>
  <c r="AL11" i="7"/>
  <c r="AJ11" i="7"/>
  <c r="AI11" i="7"/>
  <c r="AL19" i="7"/>
  <c r="AK19" i="7"/>
  <c r="AJ19" i="7"/>
  <c r="AI19" i="7"/>
  <c r="AK15" i="7"/>
  <c r="AL15" i="7"/>
  <c r="AJ15" i="7"/>
  <c r="AI15" i="7"/>
  <c r="AE10" i="7"/>
  <c r="AD10" i="7"/>
  <c r="AC10" i="7"/>
  <c r="AB10" i="7"/>
  <c r="AL20" i="7"/>
  <c r="AJ20" i="7"/>
  <c r="AI20" i="7"/>
  <c r="AK20" i="7"/>
  <c r="AM23" i="7"/>
  <c r="AS5" i="7"/>
  <c r="AR5" i="7"/>
  <c r="AQ5" i="7"/>
  <c r="AP5" i="7"/>
  <c r="AP18" i="7"/>
  <c r="AR18" i="7"/>
  <c r="AQ18" i="7"/>
  <c r="AS18" i="7"/>
  <c r="AS27" i="7"/>
  <c r="AQ27" i="7"/>
  <c r="AP27" i="7"/>
  <c r="AR27" i="7"/>
  <c r="AR20" i="7"/>
  <c r="AQ20" i="7"/>
  <c r="AP20" i="7"/>
  <c r="AS20" i="7"/>
  <c r="AI8" i="7"/>
  <c r="AL8" i="7"/>
  <c r="AJ8" i="7"/>
  <c r="AK8" i="7"/>
  <c r="V4" i="6"/>
  <c r="W4" i="6"/>
  <c r="W10" i="6" s="1"/>
  <c r="C98" i="18"/>
  <c r="D98" i="18"/>
  <c r="E98" i="18"/>
  <c r="AO24" i="6"/>
  <c r="AO29" i="6"/>
  <c r="AO13" i="6"/>
  <c r="AO17" i="6"/>
  <c r="AO12" i="6"/>
  <c r="AO21" i="6"/>
  <c r="AO15" i="6"/>
  <c r="AO26" i="6"/>
  <c r="AO10" i="6"/>
  <c r="AO8" i="6"/>
  <c r="AO25" i="6"/>
  <c r="AA26" i="6"/>
  <c r="AC26" i="6" s="1"/>
  <c r="AH24" i="6"/>
  <c r="AJ24" i="6" s="1"/>
  <c r="AA25" i="6"/>
  <c r="AJ26" i="6"/>
  <c r="AI26" i="6"/>
  <c r="AA20" i="6"/>
  <c r="AH27" i="6"/>
  <c r="AI27" i="6" s="1"/>
  <c r="AA15" i="6"/>
  <c r="AD15" i="6" s="1"/>
  <c r="AA27" i="6"/>
  <c r="AE29" i="6"/>
  <c r="AD29" i="6"/>
  <c r="AB29" i="6"/>
  <c r="AC29" i="6"/>
  <c r="AL13" i="6"/>
  <c r="AJ13" i="6"/>
  <c r="AI13" i="6"/>
  <c r="AK13" i="6"/>
  <c r="AH21" i="6"/>
  <c r="AI21" i="6" s="1"/>
  <c r="AA13" i="6"/>
  <c r="AH23" i="6"/>
  <c r="AA23" i="6"/>
  <c r="AI25" i="6"/>
  <c r="AJ25" i="6"/>
  <c r="AB24" i="6"/>
  <c r="AD24" i="6"/>
  <c r="AE24" i="6"/>
  <c r="AH22" i="6"/>
  <c r="AH17" i="6"/>
  <c r="AB21" i="6"/>
  <c r="AC21" i="6"/>
  <c r="AD21" i="6"/>
  <c r="AE21" i="6"/>
  <c r="AH9" i="6"/>
  <c r="AL9" i="6" s="1"/>
  <c r="AL25" i="6"/>
  <c r="AK25" i="6"/>
  <c r="AH16" i="6"/>
  <c r="AL15" i="6"/>
  <c r="AI15" i="6"/>
  <c r="AJ15" i="6"/>
  <c r="AK15" i="6"/>
  <c r="AH28" i="6"/>
  <c r="AA28" i="6"/>
  <c r="AA14" i="6"/>
  <c r="AA22" i="6"/>
  <c r="AA17" i="6"/>
  <c r="AH20" i="6"/>
  <c r="AH14" i="6"/>
  <c r="AA16" i="6"/>
  <c r="AC16" i="6" s="1"/>
  <c r="AH29" i="6"/>
  <c r="AH18" i="6"/>
  <c r="AA18" i="6"/>
  <c r="AA19" i="6"/>
  <c r="AH19" i="6"/>
  <c r="AK26" i="6"/>
  <c r="AL26" i="6"/>
  <c r="AC24" i="6"/>
  <c r="AH10" i="6"/>
  <c r="AL10" i="6" s="1"/>
  <c r="AA6" i="6"/>
  <c r="AE6" i="6" s="1"/>
  <c r="AH5" i="6"/>
  <c r="AH6" i="6"/>
  <c r="AK6" i="6" s="1"/>
  <c r="AA8" i="6"/>
  <c r="AB8" i="6" s="1"/>
  <c r="AE5" i="6"/>
  <c r="AD5" i="6"/>
  <c r="AC5" i="6"/>
  <c r="AB5" i="6"/>
  <c r="AB10" i="6"/>
  <c r="AE10" i="6"/>
  <c r="AD10" i="6"/>
  <c r="AC10" i="6"/>
  <c r="AL7" i="6"/>
  <c r="AK7" i="6"/>
  <c r="AI7" i="6"/>
  <c r="AH11" i="6"/>
  <c r="AA11" i="6"/>
  <c r="AJ7" i="6"/>
  <c r="AE12" i="6"/>
  <c r="AD12" i="6"/>
  <c r="AC12" i="6"/>
  <c r="AB12" i="6"/>
  <c r="AO5" i="6"/>
  <c r="AI8" i="6"/>
  <c r="AJ8" i="6"/>
  <c r="AA7" i="6"/>
  <c r="AK8" i="6"/>
  <c r="AH12" i="6"/>
  <c r="AO6" i="6"/>
  <c r="AO7" i="6"/>
  <c r="AA9" i="6"/>
  <c r="C109" i="18"/>
  <c r="G109" i="18" s="1"/>
  <c r="C107" i="18"/>
  <c r="G107" i="18" s="1"/>
  <c r="G99" i="18"/>
  <c r="C80" i="18" l="1"/>
  <c r="X23" i="6"/>
  <c r="X28" i="6"/>
  <c r="X17" i="6"/>
  <c r="X13" i="6"/>
  <c r="X7" i="6"/>
  <c r="X20" i="6"/>
  <c r="X21" i="6"/>
  <c r="X6" i="6"/>
  <c r="X5" i="6"/>
  <c r="X22" i="6"/>
  <c r="X24" i="6"/>
  <c r="X29" i="6"/>
  <c r="X16" i="6"/>
  <c r="X18" i="6"/>
  <c r="X8" i="6"/>
  <c r="X25" i="6"/>
  <c r="X14" i="6"/>
  <c r="X15" i="6"/>
  <c r="X9" i="6"/>
  <c r="X12" i="6"/>
  <c r="X11" i="6"/>
  <c r="X19" i="6"/>
  <c r="X26" i="6"/>
  <c r="X10" i="6"/>
  <c r="AT23" i="17"/>
  <c r="AF10" i="17"/>
  <c r="AM13" i="17"/>
  <c r="AT22" i="17"/>
  <c r="AM6" i="17"/>
  <c r="AM29" i="17"/>
  <c r="AM25" i="17"/>
  <c r="AM21" i="17"/>
  <c r="AF5" i="17"/>
  <c r="AF19" i="17"/>
  <c r="AT12" i="17"/>
  <c r="AF12" i="17"/>
  <c r="AT9" i="17"/>
  <c r="AF26" i="17"/>
  <c r="AT26" i="17"/>
  <c r="AT28" i="17"/>
  <c r="AF15" i="17"/>
  <c r="AM23" i="17"/>
  <c r="AF21" i="17"/>
  <c r="AT19" i="17"/>
  <c r="AM5" i="17"/>
  <c r="AT24" i="17"/>
  <c r="AM16" i="17"/>
  <c r="AF24" i="17"/>
  <c r="AM22" i="17"/>
  <c r="AF20" i="17"/>
  <c r="AM7" i="16"/>
  <c r="AT25" i="16"/>
  <c r="AF26" i="16"/>
  <c r="AF7" i="16"/>
  <c r="AF25" i="16"/>
  <c r="AM17" i="16"/>
  <c r="AM29" i="16"/>
  <c r="AT12" i="16"/>
  <c r="AF19" i="16"/>
  <c r="AM5" i="16"/>
  <c r="AM6" i="16"/>
  <c r="AF17" i="16"/>
  <c r="AM26" i="16"/>
  <c r="AF21" i="16"/>
  <c r="AT16" i="16"/>
  <c r="AT6" i="16"/>
  <c r="AT9" i="16"/>
  <c r="AM19" i="16"/>
  <c r="AT8" i="16"/>
  <c r="AM27" i="16"/>
  <c r="AF12" i="16"/>
  <c r="AM9" i="16"/>
  <c r="AF8" i="16"/>
  <c r="AM21" i="16"/>
  <c r="AJ30" i="16"/>
  <c r="AM27" i="15"/>
  <c r="AM21" i="15"/>
  <c r="AM14" i="15"/>
  <c r="AM7" i="15"/>
  <c r="AT6" i="15"/>
  <c r="AM20" i="15"/>
  <c r="AF7" i="15"/>
  <c r="AT25" i="15"/>
  <c r="AT17" i="15"/>
  <c r="AM25" i="15"/>
  <c r="AM23" i="15"/>
  <c r="AT20" i="15"/>
  <c r="AF12" i="15"/>
  <c r="AM5" i="15"/>
  <c r="AF5" i="15"/>
  <c r="AF16" i="15"/>
  <c r="AM18" i="15"/>
  <c r="AT27" i="15"/>
  <c r="AM9" i="15"/>
  <c r="AT9" i="15"/>
  <c r="AT11" i="15"/>
  <c r="AJ30" i="15"/>
  <c r="AF21" i="15"/>
  <c r="AT12" i="15"/>
  <c r="AF17" i="15"/>
  <c r="AI30" i="15"/>
  <c r="AT22" i="15"/>
  <c r="AT25" i="14"/>
  <c r="AM21" i="14"/>
  <c r="AM9" i="14"/>
  <c r="AT10" i="14"/>
  <c r="AM23" i="14"/>
  <c r="AM5" i="14"/>
  <c r="AF21" i="14"/>
  <c r="AF5" i="14"/>
  <c r="AM27" i="14"/>
  <c r="AF28" i="14"/>
  <c r="AM25" i="14"/>
  <c r="AT6" i="14"/>
  <c r="AF7" i="14"/>
  <c r="AF10" i="14"/>
  <c r="AF23" i="14"/>
  <c r="AT12" i="14"/>
  <c r="AF14" i="14"/>
  <c r="AM29" i="14"/>
  <c r="AM16" i="14"/>
  <c r="AF12" i="14"/>
  <c r="AT17" i="14"/>
  <c r="AT15" i="14"/>
  <c r="AM14" i="14"/>
  <c r="AF9" i="14"/>
  <c r="AT20" i="14"/>
  <c r="AF22" i="14"/>
  <c r="AF8" i="14"/>
  <c r="AM13" i="16"/>
  <c r="AF27" i="15"/>
  <c r="X17" i="7"/>
  <c r="X21" i="7"/>
  <c r="X26" i="7"/>
  <c r="X29" i="7"/>
  <c r="X14" i="7"/>
  <c r="X22" i="7"/>
  <c r="X15" i="7"/>
  <c r="X19" i="7"/>
  <c r="X12" i="7"/>
  <c r="X6" i="7"/>
  <c r="X18" i="7"/>
  <c r="X16" i="7"/>
  <c r="X28" i="7"/>
  <c r="X5" i="7"/>
  <c r="X9" i="7"/>
  <c r="X11" i="7"/>
  <c r="X7" i="7"/>
  <c r="X25" i="7"/>
  <c r="X20" i="7"/>
  <c r="X13" i="7"/>
  <c r="X27" i="7"/>
  <c r="X24" i="7"/>
  <c r="X8" i="7"/>
  <c r="X10" i="7"/>
  <c r="X23" i="7"/>
  <c r="AM22" i="14"/>
  <c r="AT22" i="14"/>
  <c r="X15" i="12"/>
  <c r="X10" i="12"/>
  <c r="X14" i="12"/>
  <c r="X22" i="12"/>
  <c r="X11" i="12"/>
  <c r="X17" i="12"/>
  <c r="X19" i="12"/>
  <c r="X16" i="12"/>
  <c r="X28" i="12"/>
  <c r="X25" i="12"/>
  <c r="X6" i="12"/>
  <c r="X27" i="12"/>
  <c r="X7" i="12"/>
  <c r="X29" i="12"/>
  <c r="X5" i="12"/>
  <c r="X13" i="12"/>
  <c r="X8" i="12"/>
  <c r="X12" i="12"/>
  <c r="X18" i="12"/>
  <c r="X9" i="12"/>
  <c r="X21" i="12"/>
  <c r="X26" i="12"/>
  <c r="X20" i="12"/>
  <c r="X24" i="12"/>
  <c r="X23" i="12"/>
  <c r="AF24" i="14"/>
  <c r="AT8" i="17"/>
  <c r="X19" i="8"/>
  <c r="X20" i="8"/>
  <c r="X15" i="8"/>
  <c r="X22" i="8"/>
  <c r="X29" i="8"/>
  <c r="X18" i="8"/>
  <c r="X8" i="8"/>
  <c r="X9" i="8"/>
  <c r="X23" i="8"/>
  <c r="X10" i="8"/>
  <c r="X12" i="8"/>
  <c r="X5" i="8"/>
  <c r="X17" i="8"/>
  <c r="X28" i="8"/>
  <c r="X24" i="8"/>
  <c r="X27" i="8"/>
  <c r="X6" i="8"/>
  <c r="X14" i="8"/>
  <c r="X21" i="8"/>
  <c r="X7" i="8"/>
  <c r="X11" i="8"/>
  <c r="X13" i="8"/>
  <c r="X26" i="8"/>
  <c r="X25" i="8"/>
  <c r="X16" i="8"/>
  <c r="AM6" i="14"/>
  <c r="AF19" i="14"/>
  <c r="AT23" i="16"/>
  <c r="AM10" i="16"/>
  <c r="V8" i="16"/>
  <c r="V22" i="16"/>
  <c r="V7" i="16"/>
  <c r="V11" i="16"/>
  <c r="V28" i="16"/>
  <c r="V9" i="16"/>
  <c r="V20" i="16"/>
  <c r="V26" i="16"/>
  <c r="V25" i="16"/>
  <c r="V29" i="16"/>
  <c r="V15" i="16"/>
  <c r="V27" i="16"/>
  <c r="V23" i="16"/>
  <c r="V14" i="16"/>
  <c r="V13" i="16"/>
  <c r="V18" i="16"/>
  <c r="V19" i="16"/>
  <c r="V17" i="16"/>
  <c r="V16" i="16"/>
  <c r="V5" i="16"/>
  <c r="V6" i="16"/>
  <c r="V21" i="16"/>
  <c r="V10" i="16"/>
  <c r="V24" i="16"/>
  <c r="V12" i="16"/>
  <c r="X16" i="11"/>
  <c r="X14" i="11"/>
  <c r="X27" i="11"/>
  <c r="X11" i="11"/>
  <c r="X9" i="11"/>
  <c r="X22" i="11"/>
  <c r="X26" i="11"/>
  <c r="X21" i="11"/>
  <c r="X8" i="11"/>
  <c r="X24" i="11"/>
  <c r="X12" i="11"/>
  <c r="X10" i="11"/>
  <c r="X6" i="11"/>
  <c r="X18" i="11"/>
  <c r="X23" i="11"/>
  <c r="X7" i="11"/>
  <c r="X25" i="11"/>
  <c r="X29" i="11"/>
  <c r="X20" i="11"/>
  <c r="X5" i="11"/>
  <c r="X13" i="11"/>
  <c r="X19" i="11"/>
  <c r="X17" i="11"/>
  <c r="X28" i="11"/>
  <c r="X15" i="11"/>
  <c r="AJ30" i="14"/>
  <c r="V14" i="9"/>
  <c r="V17" i="9"/>
  <c r="V10" i="9"/>
  <c r="V20" i="9"/>
  <c r="V12" i="9"/>
  <c r="V16" i="9"/>
  <c r="V27" i="9"/>
  <c r="V9" i="9"/>
  <c r="V11" i="9"/>
  <c r="V24" i="9"/>
  <c r="V22" i="9"/>
  <c r="V28" i="9"/>
  <c r="V26" i="9"/>
  <c r="V13" i="9"/>
  <c r="V23" i="9"/>
  <c r="V5" i="9"/>
  <c r="V8" i="9"/>
  <c r="V18" i="9"/>
  <c r="V19" i="9"/>
  <c r="V6" i="9"/>
  <c r="V29" i="9"/>
  <c r="V15" i="9"/>
  <c r="V21" i="9"/>
  <c r="V25" i="9"/>
  <c r="V7" i="9"/>
  <c r="V9" i="14"/>
  <c r="V24" i="14"/>
  <c r="V12" i="14"/>
  <c r="V19" i="14"/>
  <c r="V13" i="14"/>
  <c r="V6" i="14"/>
  <c r="V22" i="14"/>
  <c r="V23" i="14"/>
  <c r="V29" i="14"/>
  <c r="V28" i="14"/>
  <c r="V8" i="14"/>
  <c r="V25" i="14"/>
  <c r="V15" i="14"/>
  <c r="V11" i="14"/>
  <c r="V26" i="14"/>
  <c r="V14" i="14"/>
  <c r="V10" i="14"/>
  <c r="V16" i="14"/>
  <c r="V17" i="14"/>
  <c r="V27" i="14"/>
  <c r="V20" i="14"/>
  <c r="V5" i="14"/>
  <c r="V21" i="14"/>
  <c r="V18" i="14"/>
  <c r="V7" i="14"/>
  <c r="W19" i="16"/>
  <c r="W21" i="16"/>
  <c r="W18" i="16"/>
  <c r="W13" i="16"/>
  <c r="W25" i="16"/>
  <c r="W29" i="16"/>
  <c r="W17" i="16"/>
  <c r="W23" i="16"/>
  <c r="W28" i="16"/>
  <c r="W6" i="16"/>
  <c r="W14" i="16"/>
  <c r="W8" i="16"/>
  <c r="W5" i="16"/>
  <c r="W9" i="16"/>
  <c r="W26" i="16"/>
  <c r="W22" i="16"/>
  <c r="W12" i="16"/>
  <c r="W16" i="16"/>
  <c r="W15" i="16"/>
  <c r="W27" i="16"/>
  <c r="W24" i="16"/>
  <c r="W10" i="16"/>
  <c r="W7" i="16"/>
  <c r="W11" i="16"/>
  <c r="W20" i="16"/>
  <c r="AT20" i="16"/>
  <c r="V13" i="8"/>
  <c r="V17" i="8"/>
  <c r="V10" i="8"/>
  <c r="V11" i="8"/>
  <c r="V16" i="8"/>
  <c r="V12" i="8"/>
  <c r="V28" i="8"/>
  <c r="V15" i="8"/>
  <c r="V23" i="8"/>
  <c r="V19" i="8"/>
  <c r="V26" i="8"/>
  <c r="V8" i="8"/>
  <c r="V9" i="8"/>
  <c r="V29" i="8"/>
  <c r="V14" i="8"/>
  <c r="V25" i="8"/>
  <c r="V5" i="8"/>
  <c r="V21" i="8"/>
  <c r="V20" i="8"/>
  <c r="V7" i="8"/>
  <c r="V27" i="8"/>
  <c r="V6" i="8"/>
  <c r="V22" i="8"/>
  <c r="V18" i="8"/>
  <c r="V24" i="8"/>
  <c r="W6" i="9"/>
  <c r="W5" i="9"/>
  <c r="W26" i="9"/>
  <c r="W9" i="9"/>
  <c r="W10" i="9"/>
  <c r="W17" i="9"/>
  <c r="W13" i="9"/>
  <c r="W12" i="9"/>
  <c r="W21" i="9"/>
  <c r="W22" i="9"/>
  <c r="W20" i="9"/>
  <c r="W15" i="9"/>
  <c r="W7" i="9"/>
  <c r="W24" i="9"/>
  <c r="W28" i="9"/>
  <c r="W19" i="9"/>
  <c r="W8" i="9"/>
  <c r="W25" i="9"/>
  <c r="W18" i="9"/>
  <c r="W23" i="9"/>
  <c r="W14" i="9"/>
  <c r="W27" i="9"/>
  <c r="W11" i="9"/>
  <c r="W16" i="9"/>
  <c r="W29" i="9"/>
  <c r="AF26" i="14"/>
  <c r="AT8" i="14"/>
  <c r="AF10" i="16"/>
  <c r="AT15" i="17"/>
  <c r="AM18" i="14"/>
  <c r="V23" i="13"/>
  <c r="V14" i="13"/>
  <c r="V16" i="13"/>
  <c r="V6" i="13"/>
  <c r="V12" i="13"/>
  <c r="V19" i="13"/>
  <c r="V27" i="13"/>
  <c r="V13" i="13"/>
  <c r="V18" i="13"/>
  <c r="V29" i="13"/>
  <c r="V26" i="13"/>
  <c r="V9" i="13"/>
  <c r="V28" i="13"/>
  <c r="V11" i="13"/>
  <c r="V22" i="13"/>
  <c r="V15" i="13"/>
  <c r="V25" i="13"/>
  <c r="V24" i="13"/>
  <c r="V20" i="13"/>
  <c r="V5" i="13"/>
  <c r="V17" i="13"/>
  <c r="V7" i="13"/>
  <c r="V21" i="13"/>
  <c r="V10" i="13"/>
  <c r="V8" i="13"/>
  <c r="W8" i="10"/>
  <c r="W26" i="10"/>
  <c r="W13" i="10"/>
  <c r="W14" i="10"/>
  <c r="W17" i="10"/>
  <c r="W16" i="10"/>
  <c r="W23" i="10"/>
  <c r="W10" i="10"/>
  <c r="W11" i="10"/>
  <c r="W27" i="10"/>
  <c r="W25" i="10"/>
  <c r="W29" i="10"/>
  <c r="W20" i="10"/>
  <c r="W15" i="10"/>
  <c r="W9" i="10"/>
  <c r="W24" i="10"/>
  <c r="W21" i="10"/>
  <c r="W22" i="10"/>
  <c r="W12" i="10"/>
  <c r="W18" i="10"/>
  <c r="W7" i="10"/>
  <c r="W28" i="10"/>
  <c r="W6" i="10"/>
  <c r="W5" i="10"/>
  <c r="W19" i="10"/>
  <c r="V18" i="6"/>
  <c r="V27" i="6"/>
  <c r="V20" i="6"/>
  <c r="V10" i="6"/>
  <c r="V6" i="6"/>
  <c r="V9" i="6"/>
  <c r="V17" i="6"/>
  <c r="V8" i="6"/>
  <c r="V15" i="6"/>
  <c r="V11" i="6"/>
  <c r="V26" i="6"/>
  <c r="V5" i="6"/>
  <c r="V25" i="6"/>
  <c r="V24" i="6"/>
  <c r="V19" i="6"/>
  <c r="V23" i="6"/>
  <c r="V16" i="6"/>
  <c r="V7" i="6"/>
  <c r="V29" i="6"/>
  <c r="V22" i="6"/>
  <c r="V13" i="6"/>
  <c r="V21" i="6"/>
  <c r="V28" i="6"/>
  <c r="V14" i="6"/>
  <c r="V12" i="6"/>
  <c r="AM13" i="14"/>
  <c r="AF29" i="16"/>
  <c r="AF29" i="17"/>
  <c r="AF28" i="15"/>
  <c r="V12" i="17"/>
  <c r="V23" i="17"/>
  <c r="V29" i="17"/>
  <c r="V21" i="17"/>
  <c r="V25" i="17"/>
  <c r="V8" i="17"/>
  <c r="V26" i="17"/>
  <c r="V7" i="17"/>
  <c r="V15" i="17"/>
  <c r="V28" i="17"/>
  <c r="V19" i="17"/>
  <c r="V24" i="17"/>
  <c r="V9" i="17"/>
  <c r="V17" i="17"/>
  <c r="V16" i="17"/>
  <c r="V22" i="17"/>
  <c r="V27" i="17"/>
  <c r="V11" i="17"/>
  <c r="V18" i="17"/>
  <c r="V20" i="17"/>
  <c r="V13" i="17"/>
  <c r="V6" i="17"/>
  <c r="V10" i="17"/>
  <c r="V14" i="17"/>
  <c r="V5" i="17"/>
  <c r="W15" i="15"/>
  <c r="W24" i="15"/>
  <c r="W7" i="15"/>
  <c r="W29" i="15"/>
  <c r="W14" i="15"/>
  <c r="W28" i="15"/>
  <c r="W27" i="15"/>
  <c r="W6" i="15"/>
  <c r="W20" i="15"/>
  <c r="W25" i="15"/>
  <c r="W16" i="15"/>
  <c r="W8" i="15"/>
  <c r="W22" i="15"/>
  <c r="W10" i="15"/>
  <c r="W17" i="15"/>
  <c r="W13" i="15"/>
  <c r="W5" i="15"/>
  <c r="W23" i="15"/>
  <c r="W21" i="15"/>
  <c r="W18" i="15"/>
  <c r="W12" i="15"/>
  <c r="W11" i="15"/>
  <c r="W19" i="15"/>
  <c r="W26" i="15"/>
  <c r="W9" i="15"/>
  <c r="AF13" i="14"/>
  <c r="V10" i="7"/>
  <c r="V28" i="7"/>
  <c r="V13" i="7"/>
  <c r="V14" i="7"/>
  <c r="V17" i="7"/>
  <c r="V29" i="7"/>
  <c r="V19" i="7"/>
  <c r="V8" i="7"/>
  <c r="V26" i="7"/>
  <c r="V18" i="7"/>
  <c r="V7" i="7"/>
  <c r="V15" i="7"/>
  <c r="V12" i="7"/>
  <c r="V24" i="7"/>
  <c r="V23" i="7"/>
  <c r="V5" i="7"/>
  <c r="V21" i="7"/>
  <c r="V16" i="7"/>
  <c r="V20" i="7"/>
  <c r="V11" i="7"/>
  <c r="V22" i="7"/>
  <c r="V6" i="7"/>
  <c r="V27" i="7"/>
  <c r="V9" i="7"/>
  <c r="V25" i="7"/>
  <c r="X23" i="15"/>
  <c r="X8" i="15"/>
  <c r="X5" i="15"/>
  <c r="X29" i="15"/>
  <c r="X20" i="15"/>
  <c r="X19" i="15"/>
  <c r="X7" i="15"/>
  <c r="X12" i="15"/>
  <c r="X17" i="15"/>
  <c r="X22" i="15"/>
  <c r="X18" i="15"/>
  <c r="X6" i="15"/>
  <c r="X24" i="15"/>
  <c r="X28" i="15"/>
  <c r="X11" i="15"/>
  <c r="X9" i="15"/>
  <c r="X21" i="15"/>
  <c r="X10" i="15"/>
  <c r="X13" i="15"/>
  <c r="X26" i="15"/>
  <c r="X25" i="15"/>
  <c r="X27" i="15"/>
  <c r="X15" i="15"/>
  <c r="X16" i="15"/>
  <c r="X14" i="15"/>
  <c r="W25" i="14"/>
  <c r="W12" i="14"/>
  <c r="W5" i="14"/>
  <c r="W21" i="14"/>
  <c r="W14" i="14"/>
  <c r="W17" i="14"/>
  <c r="W13" i="14"/>
  <c r="W27" i="14"/>
  <c r="W15" i="14"/>
  <c r="W8" i="14"/>
  <c r="W18" i="14"/>
  <c r="W16" i="14"/>
  <c r="W6" i="14"/>
  <c r="W11" i="14"/>
  <c r="W24" i="14"/>
  <c r="W7" i="14"/>
  <c r="W26" i="14"/>
  <c r="W9" i="14"/>
  <c r="W28" i="14"/>
  <c r="W20" i="14"/>
  <c r="W23" i="14"/>
  <c r="W22" i="14"/>
  <c r="W19" i="14"/>
  <c r="W10" i="14"/>
  <c r="W29" i="14"/>
  <c r="AT26" i="14"/>
  <c r="AF22" i="15"/>
  <c r="AF8" i="15"/>
  <c r="AF29" i="15"/>
  <c r="AM19" i="15"/>
  <c r="AF17" i="17"/>
  <c r="AT20" i="17"/>
  <c r="AF23" i="15"/>
  <c r="V15" i="11"/>
  <c r="V17" i="11"/>
  <c r="V14" i="11"/>
  <c r="V10" i="11"/>
  <c r="V26" i="11"/>
  <c r="V7" i="11"/>
  <c r="V23" i="11"/>
  <c r="V29" i="11"/>
  <c r="V9" i="11"/>
  <c r="V27" i="11"/>
  <c r="V5" i="11"/>
  <c r="V28" i="11"/>
  <c r="V12" i="11"/>
  <c r="V19" i="11"/>
  <c r="V21" i="11"/>
  <c r="V24" i="11"/>
  <c r="V22" i="11"/>
  <c r="V20" i="11"/>
  <c r="V25" i="11"/>
  <c r="V11" i="11"/>
  <c r="V6" i="11"/>
  <c r="V8" i="11"/>
  <c r="V13" i="11"/>
  <c r="V16" i="11"/>
  <c r="V18" i="11"/>
  <c r="X11" i="10"/>
  <c r="X15" i="10"/>
  <c r="X26" i="10"/>
  <c r="X22" i="10"/>
  <c r="X9" i="10"/>
  <c r="X16" i="10"/>
  <c r="X28" i="10"/>
  <c r="X19" i="10"/>
  <c r="X29" i="10"/>
  <c r="X20" i="10"/>
  <c r="X12" i="10"/>
  <c r="X27" i="10"/>
  <c r="X17" i="10"/>
  <c r="X18" i="10"/>
  <c r="X23" i="10"/>
  <c r="X5" i="10"/>
  <c r="X21" i="10"/>
  <c r="X8" i="10"/>
  <c r="X25" i="10"/>
  <c r="X6" i="10"/>
  <c r="X7" i="10"/>
  <c r="X10" i="10"/>
  <c r="X13" i="10"/>
  <c r="X14" i="10"/>
  <c r="X24" i="10"/>
  <c r="W19" i="8"/>
  <c r="W14" i="8"/>
  <c r="W25" i="8"/>
  <c r="W24" i="8"/>
  <c r="W21" i="8"/>
  <c r="W9" i="8"/>
  <c r="W27" i="8"/>
  <c r="W17" i="8"/>
  <c r="W23" i="8"/>
  <c r="W12" i="8"/>
  <c r="W15" i="8"/>
  <c r="W29" i="8"/>
  <c r="W22" i="8"/>
  <c r="W5" i="8"/>
  <c r="W6" i="8"/>
  <c r="W20" i="8"/>
  <c r="W7" i="8"/>
  <c r="W28" i="8"/>
  <c r="W18" i="8"/>
  <c r="W11" i="8"/>
  <c r="W16" i="8"/>
  <c r="W8" i="8"/>
  <c r="W26" i="8"/>
  <c r="W10" i="8"/>
  <c r="W13" i="8"/>
  <c r="AT11" i="14"/>
  <c r="AF15" i="15"/>
  <c r="AM15" i="16"/>
  <c r="AF14" i="15"/>
  <c r="V10" i="12"/>
  <c r="V26" i="12"/>
  <c r="V22" i="12"/>
  <c r="V23" i="12"/>
  <c r="V25" i="12"/>
  <c r="V15" i="12"/>
  <c r="V6" i="12"/>
  <c r="V8" i="12"/>
  <c r="V28" i="12"/>
  <c r="V29" i="12"/>
  <c r="V14" i="12"/>
  <c r="V20" i="12"/>
  <c r="V11" i="12"/>
  <c r="V17" i="12"/>
  <c r="V12" i="12"/>
  <c r="V27" i="12"/>
  <c r="V5" i="12"/>
  <c r="V21" i="12"/>
  <c r="V16" i="12"/>
  <c r="V24" i="12"/>
  <c r="V18" i="12"/>
  <c r="V19" i="12"/>
  <c r="V13" i="12"/>
  <c r="V7" i="12"/>
  <c r="V9" i="12"/>
  <c r="X9" i="16"/>
  <c r="X21" i="16"/>
  <c r="X24" i="16"/>
  <c r="X6" i="16"/>
  <c r="X13" i="16"/>
  <c r="X10" i="16"/>
  <c r="X16" i="16"/>
  <c r="X29" i="16"/>
  <c r="X23" i="16"/>
  <c r="X8" i="16"/>
  <c r="X12" i="16"/>
  <c r="X25" i="16"/>
  <c r="X26" i="16"/>
  <c r="X28" i="16"/>
  <c r="X5" i="16"/>
  <c r="X27" i="16"/>
  <c r="X14" i="16"/>
  <c r="X19" i="16"/>
  <c r="X11" i="16"/>
  <c r="X18" i="16"/>
  <c r="X22" i="16"/>
  <c r="X7" i="16"/>
  <c r="X20" i="16"/>
  <c r="X17" i="16"/>
  <c r="X15" i="16"/>
  <c r="W22" i="13"/>
  <c r="W21" i="13"/>
  <c r="W18" i="13"/>
  <c r="W27" i="13"/>
  <c r="W26" i="13"/>
  <c r="W5" i="13"/>
  <c r="W7" i="13"/>
  <c r="W11" i="13"/>
  <c r="W29" i="13"/>
  <c r="W8" i="13"/>
  <c r="W28" i="13"/>
  <c r="W6" i="13"/>
  <c r="W23" i="13"/>
  <c r="W13" i="13"/>
  <c r="W20" i="13"/>
  <c r="W9" i="13"/>
  <c r="W17" i="13"/>
  <c r="W19" i="13"/>
  <c r="W25" i="13"/>
  <c r="W14" i="13"/>
  <c r="W12" i="13"/>
  <c r="W24" i="13"/>
  <c r="W10" i="13"/>
  <c r="W16" i="13"/>
  <c r="W15" i="13"/>
  <c r="AK30" i="15"/>
  <c r="AB30" i="16"/>
  <c r="F50" i="18"/>
  <c r="AM7" i="17"/>
  <c r="AT10" i="17"/>
  <c r="V27" i="10"/>
  <c r="V15" i="10"/>
  <c r="V22" i="10"/>
  <c r="V18" i="10"/>
  <c r="V25" i="10"/>
  <c r="V20" i="10"/>
  <c r="V16" i="10"/>
  <c r="V19" i="10"/>
  <c r="V26" i="10"/>
  <c r="V11" i="10"/>
  <c r="V6" i="10"/>
  <c r="V23" i="10"/>
  <c r="V9" i="10"/>
  <c r="V13" i="10"/>
  <c r="V24" i="10"/>
  <c r="V21" i="10"/>
  <c r="V17" i="10"/>
  <c r="V28" i="10"/>
  <c r="V10" i="10"/>
  <c r="V7" i="10"/>
  <c r="V29" i="10"/>
  <c r="V8" i="10"/>
  <c r="V14" i="10"/>
  <c r="V5" i="10"/>
  <c r="V12" i="10"/>
  <c r="AF5" i="16"/>
  <c r="X6" i="9"/>
  <c r="X22" i="9"/>
  <c r="X14" i="9"/>
  <c r="X7" i="9"/>
  <c r="X23" i="9"/>
  <c r="X24" i="9"/>
  <c r="X15" i="9"/>
  <c r="X16" i="9"/>
  <c r="X8" i="9"/>
  <c r="X10" i="9"/>
  <c r="X17" i="9"/>
  <c r="X5" i="9"/>
  <c r="X18" i="9"/>
  <c r="X13" i="9"/>
  <c r="X19" i="9"/>
  <c r="X12" i="9"/>
  <c r="X28" i="9"/>
  <c r="X25" i="9"/>
  <c r="X20" i="9"/>
  <c r="X21" i="9"/>
  <c r="X11" i="9"/>
  <c r="X26" i="9"/>
  <c r="X27" i="9"/>
  <c r="X9" i="9"/>
  <c r="X29" i="9"/>
  <c r="W21" i="17"/>
  <c r="W20" i="17"/>
  <c r="W12" i="17"/>
  <c r="W26" i="17"/>
  <c r="W10" i="17"/>
  <c r="W29" i="17"/>
  <c r="W7" i="17"/>
  <c r="W22" i="17"/>
  <c r="W28" i="17"/>
  <c r="W25" i="17"/>
  <c r="W17" i="17"/>
  <c r="W11" i="17"/>
  <c r="W16" i="17"/>
  <c r="W18" i="17"/>
  <c r="W9" i="17"/>
  <c r="W27" i="17"/>
  <c r="W15" i="17"/>
  <c r="W19" i="17"/>
  <c r="W5" i="17"/>
  <c r="W13" i="17"/>
  <c r="W24" i="17"/>
  <c r="W14" i="17"/>
  <c r="W6" i="17"/>
  <c r="W23" i="17"/>
  <c r="W8" i="17"/>
  <c r="V14" i="15"/>
  <c r="V15" i="15"/>
  <c r="V24" i="15"/>
  <c r="V8" i="15"/>
  <c r="V16" i="15"/>
  <c r="V5" i="15"/>
  <c r="V10" i="15"/>
  <c r="V11" i="15"/>
  <c r="V21" i="15"/>
  <c r="V28" i="15"/>
  <c r="V19" i="15"/>
  <c r="V29" i="15"/>
  <c r="V12" i="15"/>
  <c r="V22" i="15"/>
  <c r="V7" i="15"/>
  <c r="V17" i="15"/>
  <c r="V6" i="15"/>
  <c r="V27" i="15"/>
  <c r="V26" i="15"/>
  <c r="V23" i="15"/>
  <c r="V20" i="15"/>
  <c r="V13" i="15"/>
  <c r="V25" i="15"/>
  <c r="V9" i="15"/>
  <c r="V18" i="15"/>
  <c r="X25" i="14"/>
  <c r="X10" i="14"/>
  <c r="X24" i="14"/>
  <c r="X12" i="14"/>
  <c r="X5" i="14"/>
  <c r="X21" i="14"/>
  <c r="X16" i="14"/>
  <c r="X14" i="14"/>
  <c r="X9" i="14"/>
  <c r="X19" i="14"/>
  <c r="X23" i="14"/>
  <c r="X11" i="14"/>
  <c r="X8" i="14"/>
  <c r="X7" i="14"/>
  <c r="X27" i="14"/>
  <c r="X28" i="14"/>
  <c r="X26" i="14"/>
  <c r="X17" i="14"/>
  <c r="X20" i="14"/>
  <c r="X22" i="14"/>
  <c r="X18" i="14"/>
  <c r="X13" i="14"/>
  <c r="X6" i="14"/>
  <c r="X29" i="14"/>
  <c r="X15" i="14"/>
  <c r="W24" i="12"/>
  <c r="W28" i="12"/>
  <c r="W8" i="12"/>
  <c r="W16" i="12"/>
  <c r="W22" i="12"/>
  <c r="W18" i="12"/>
  <c r="W15" i="12"/>
  <c r="W5" i="12"/>
  <c r="W26" i="12"/>
  <c r="W29" i="12"/>
  <c r="W7" i="12"/>
  <c r="W20" i="12"/>
  <c r="W13" i="12"/>
  <c r="W11" i="12"/>
  <c r="W23" i="12"/>
  <c r="W12" i="12"/>
  <c r="W6" i="12"/>
  <c r="W9" i="12"/>
  <c r="W14" i="12"/>
  <c r="W10" i="12"/>
  <c r="W25" i="12"/>
  <c r="W21" i="12"/>
  <c r="W17" i="12"/>
  <c r="W19" i="12"/>
  <c r="W27" i="12"/>
  <c r="AF13" i="16"/>
  <c r="X29" i="13"/>
  <c r="X17" i="13"/>
  <c r="X25" i="13"/>
  <c r="X21" i="13"/>
  <c r="X15" i="13"/>
  <c r="X18" i="13"/>
  <c r="X11" i="13"/>
  <c r="X12" i="13"/>
  <c r="X27" i="13"/>
  <c r="X16" i="13"/>
  <c r="X28" i="13"/>
  <c r="X20" i="13"/>
  <c r="X23" i="13"/>
  <c r="X13" i="13"/>
  <c r="X22" i="13"/>
  <c r="X24" i="13"/>
  <c r="X5" i="13"/>
  <c r="X6" i="13"/>
  <c r="X26" i="13"/>
  <c r="X10" i="13"/>
  <c r="X19" i="13"/>
  <c r="X8" i="13"/>
  <c r="X14" i="13"/>
  <c r="X9" i="13"/>
  <c r="X7" i="13"/>
  <c r="W28" i="7"/>
  <c r="W25" i="7"/>
  <c r="W29" i="7"/>
  <c r="W13" i="7"/>
  <c r="W17" i="7"/>
  <c r="W6" i="7"/>
  <c r="W12" i="7"/>
  <c r="W16" i="7"/>
  <c r="W21" i="7"/>
  <c r="W15" i="7"/>
  <c r="W23" i="7"/>
  <c r="W19" i="7"/>
  <c r="W8" i="7"/>
  <c r="W24" i="7"/>
  <c r="W27" i="7"/>
  <c r="W18" i="7"/>
  <c r="W9" i="7"/>
  <c r="W7" i="7"/>
  <c r="W5" i="7"/>
  <c r="W26" i="7"/>
  <c r="W20" i="7"/>
  <c r="W11" i="7"/>
  <c r="W14" i="7"/>
  <c r="W22" i="7"/>
  <c r="W10" i="7"/>
  <c r="AT11" i="17"/>
  <c r="AF8" i="17"/>
  <c r="X12" i="17"/>
  <c r="X19" i="17"/>
  <c r="X7" i="17"/>
  <c r="X21" i="17"/>
  <c r="X25" i="17"/>
  <c r="X16" i="17"/>
  <c r="X26" i="17"/>
  <c r="X9" i="17"/>
  <c r="X27" i="17"/>
  <c r="X6" i="17"/>
  <c r="X28" i="17"/>
  <c r="X24" i="17"/>
  <c r="X22" i="17"/>
  <c r="X14" i="17"/>
  <c r="X23" i="17"/>
  <c r="X29" i="17"/>
  <c r="X5" i="17"/>
  <c r="X11" i="17"/>
  <c r="X10" i="17"/>
  <c r="X18" i="17"/>
  <c r="X13" i="17"/>
  <c r="X15" i="17"/>
  <c r="X20" i="17"/>
  <c r="X8" i="17"/>
  <c r="X17" i="17"/>
  <c r="W8" i="11"/>
  <c r="W7" i="11"/>
  <c r="W21" i="11"/>
  <c r="W27" i="11"/>
  <c r="W9" i="11"/>
  <c r="W10" i="11"/>
  <c r="W6" i="11"/>
  <c r="W23" i="11"/>
  <c r="W20" i="11"/>
  <c r="W13" i="11"/>
  <c r="W19" i="11"/>
  <c r="W5" i="11"/>
  <c r="W18" i="11"/>
  <c r="W12" i="11"/>
  <c r="W25" i="11"/>
  <c r="W22" i="11"/>
  <c r="W29" i="11"/>
  <c r="W24" i="11"/>
  <c r="W17" i="11"/>
  <c r="W11" i="11"/>
  <c r="W26" i="11"/>
  <c r="W28" i="11"/>
  <c r="W14" i="11"/>
  <c r="W16" i="11"/>
  <c r="W15" i="11"/>
  <c r="AM11" i="17"/>
  <c r="AL30" i="15"/>
  <c r="E31" i="19" s="1"/>
  <c r="AM11" i="15"/>
  <c r="AL30" i="14"/>
  <c r="AK30" i="14"/>
  <c r="AE30" i="17"/>
  <c r="AJ30" i="17"/>
  <c r="AM18" i="16"/>
  <c r="AT18" i="15"/>
  <c r="AC30" i="16"/>
  <c r="AD30" i="16"/>
  <c r="AE30" i="16"/>
  <c r="AT20" i="13"/>
  <c r="AM7" i="13"/>
  <c r="AF5" i="13"/>
  <c r="AF19" i="13"/>
  <c r="AT28" i="13"/>
  <c r="AM16" i="13"/>
  <c r="AT6" i="13"/>
  <c r="AM12" i="13"/>
  <c r="AT17" i="13"/>
  <c r="AT26" i="13"/>
  <c r="AM23" i="13"/>
  <c r="AM21" i="13"/>
  <c r="AF14" i="13"/>
  <c r="AM6" i="13"/>
  <c r="AF12" i="13"/>
  <c r="AT8" i="13"/>
  <c r="AF21" i="13"/>
  <c r="AT14" i="13"/>
  <c r="AM5" i="13"/>
  <c r="AT13" i="13"/>
  <c r="AM13" i="13"/>
  <c r="AF16" i="13"/>
  <c r="AT22" i="13"/>
  <c r="AM25" i="13"/>
  <c r="AF15" i="13"/>
  <c r="AF26" i="13"/>
  <c r="AT19" i="13"/>
  <c r="AF17" i="13"/>
  <c r="AM9" i="13"/>
  <c r="AT9" i="13"/>
  <c r="AT27" i="13"/>
  <c r="AT11" i="13"/>
  <c r="AM18" i="13"/>
  <c r="AM5" i="12"/>
  <c r="AF5" i="12"/>
  <c r="AT12" i="12"/>
  <c r="AM16" i="12"/>
  <c r="AT19" i="12"/>
  <c r="AM7" i="12"/>
  <c r="AT13" i="12"/>
  <c r="AM21" i="12"/>
  <c r="AM18" i="12"/>
  <c r="AM9" i="12"/>
  <c r="AF14" i="12"/>
  <c r="AF6" i="12"/>
  <c r="AF23" i="12"/>
  <c r="AF22" i="12"/>
  <c r="AM28" i="12"/>
  <c r="AT28" i="12"/>
  <c r="AF28" i="12"/>
  <c r="AT26" i="12"/>
  <c r="AM23" i="12"/>
  <c r="AT6" i="12"/>
  <c r="AT9" i="12"/>
  <c r="AF7" i="12"/>
  <c r="AT25" i="12"/>
  <c r="AM29" i="12"/>
  <c r="AM14" i="12"/>
  <c r="AF16" i="12"/>
  <c r="AF24" i="12"/>
  <c r="AT18" i="12"/>
  <c r="AT11" i="12"/>
  <c r="AM15" i="12"/>
  <c r="AF21" i="12"/>
  <c r="AT24" i="12"/>
  <c r="AM20" i="12"/>
  <c r="AF10" i="12"/>
  <c r="AF26" i="12"/>
  <c r="AT20" i="12"/>
  <c r="AM25" i="12"/>
  <c r="AF12" i="12"/>
  <c r="AM27" i="12"/>
  <c r="AJ30" i="12"/>
  <c r="AF11" i="12"/>
  <c r="AF19" i="12"/>
  <c r="AM12" i="12"/>
  <c r="AI30" i="12"/>
  <c r="AT16" i="12"/>
  <c r="AT8" i="12"/>
  <c r="AT22" i="12"/>
  <c r="AT15" i="12"/>
  <c r="AM12" i="11"/>
  <c r="AT17" i="11"/>
  <c r="AM21" i="11"/>
  <c r="AF6" i="11"/>
  <c r="AF8" i="11"/>
  <c r="AF19" i="11"/>
  <c r="AF14" i="11"/>
  <c r="AF23" i="11"/>
  <c r="AT8" i="11"/>
  <c r="AM7" i="11"/>
  <c r="AF21" i="11"/>
  <c r="AM6" i="11"/>
  <c r="AF22" i="11"/>
  <c r="AM14" i="11"/>
  <c r="AT22" i="11"/>
  <c r="AM5" i="11"/>
  <c r="AF5" i="11"/>
  <c r="AT19" i="11"/>
  <c r="AF12" i="11"/>
  <c r="AF17" i="11"/>
  <c r="AT12" i="11"/>
  <c r="AM18" i="11"/>
  <c r="AM23" i="11"/>
  <c r="AF24" i="11"/>
  <c r="AT29" i="11"/>
  <c r="AT24" i="11"/>
  <c r="AT15" i="11"/>
  <c r="AM15" i="11"/>
  <c r="E74" i="18"/>
  <c r="C74" i="18"/>
  <c r="E11" i="18"/>
  <c r="F74" i="18"/>
  <c r="AT5" i="10"/>
  <c r="AM18" i="10"/>
  <c r="AF21" i="10"/>
  <c r="AM21" i="10"/>
  <c r="AM9" i="10"/>
  <c r="AF9" i="10"/>
  <c r="AF5" i="10"/>
  <c r="AF14" i="10"/>
  <c r="AM23" i="10"/>
  <c r="AT29" i="10"/>
  <c r="AF7" i="10"/>
  <c r="AT25" i="10"/>
  <c r="AM14" i="10"/>
  <c r="AM7" i="10"/>
  <c r="AF28" i="10"/>
  <c r="AT28" i="10"/>
  <c r="AT22" i="10"/>
  <c r="AM12" i="10"/>
  <c r="AF6" i="10"/>
  <c r="AF26" i="10"/>
  <c r="AM16" i="10"/>
  <c r="AT26" i="10"/>
  <c r="AM25" i="10"/>
  <c r="AM27" i="10"/>
  <c r="AM5" i="10"/>
  <c r="AT18" i="10"/>
  <c r="AF29" i="10"/>
  <c r="AK30" i="10"/>
  <c r="D26" i="19" s="1"/>
  <c r="AF16" i="10"/>
  <c r="AI30" i="10"/>
  <c r="AM11" i="10"/>
  <c r="AJ30" i="10"/>
  <c r="C26" i="19" s="1"/>
  <c r="AM20" i="10"/>
  <c r="AF24" i="10"/>
  <c r="AT17" i="9"/>
  <c r="AK30" i="13"/>
  <c r="AT29" i="15"/>
  <c r="AC30" i="14"/>
  <c r="AD30" i="10"/>
  <c r="AE30" i="14"/>
  <c r="AC30" i="10"/>
  <c r="AF29" i="12"/>
  <c r="AD30" i="14"/>
  <c r="AC30" i="17"/>
  <c r="AF29" i="14"/>
  <c r="AF17" i="9"/>
  <c r="AM23" i="9"/>
  <c r="AT6" i="9"/>
  <c r="AT15" i="9"/>
  <c r="AM14" i="9"/>
  <c r="AF12" i="9"/>
  <c r="AM21" i="9"/>
  <c r="AM12" i="9"/>
  <c r="AM6" i="9"/>
  <c r="AF5" i="9"/>
  <c r="AF15" i="9"/>
  <c r="AM7" i="9"/>
  <c r="AF21" i="9"/>
  <c r="AF8" i="9"/>
  <c r="AM5" i="9"/>
  <c r="AF19" i="9"/>
  <c r="AT27" i="9"/>
  <c r="AT12" i="9"/>
  <c r="AF7" i="9"/>
  <c r="AF23" i="9"/>
  <c r="AF14" i="9"/>
  <c r="AT8" i="9"/>
  <c r="AT19" i="9"/>
  <c r="AT24" i="9"/>
  <c r="AF9" i="9"/>
  <c r="AF13" i="9"/>
  <c r="AT11" i="9"/>
  <c r="AM7" i="8"/>
  <c r="AF24" i="9"/>
  <c r="AE30" i="9"/>
  <c r="AF16" i="9"/>
  <c r="AT25" i="9"/>
  <c r="AM25" i="9"/>
  <c r="AT29" i="9"/>
  <c r="AM28" i="9"/>
  <c r="AT18" i="9"/>
  <c r="AT23" i="9"/>
  <c r="AT7" i="8"/>
  <c r="AT17" i="8"/>
  <c r="AM11" i="8"/>
  <c r="AM27" i="8"/>
  <c r="AM29" i="8"/>
  <c r="AF12" i="8"/>
  <c r="AM13" i="8"/>
  <c r="AT19" i="8"/>
  <c r="AF5" i="8"/>
  <c r="AF21" i="8"/>
  <c r="AF19" i="8"/>
  <c r="AM20" i="8"/>
  <c r="AM21" i="8"/>
  <c r="AF23" i="8"/>
  <c r="AT12" i="8"/>
  <c r="AT25" i="8"/>
  <c r="AT26" i="8"/>
  <c r="AM15" i="8"/>
  <c r="AF14" i="8"/>
  <c r="AT9" i="8"/>
  <c r="AF16" i="8"/>
  <c r="AM24" i="8"/>
  <c r="AM26" i="8"/>
  <c r="AF29" i="8"/>
  <c r="AF15" i="8"/>
  <c r="AF25" i="8"/>
  <c r="AT23" i="8"/>
  <c r="AF9" i="8"/>
  <c r="AM6" i="8"/>
  <c r="AT10" i="8"/>
  <c r="AT16" i="8"/>
  <c r="AT11" i="8"/>
  <c r="AT6" i="8"/>
  <c r="E40" i="18"/>
  <c r="AT28" i="15"/>
  <c r="AF28" i="11"/>
  <c r="AT28" i="9"/>
  <c r="AM28" i="11"/>
  <c r="AM28" i="17"/>
  <c r="AR30" i="16"/>
  <c r="AT28" i="16"/>
  <c r="AT6" i="7"/>
  <c r="AF12" i="7"/>
  <c r="AM6" i="7"/>
  <c r="AF16" i="7"/>
  <c r="AT14" i="7"/>
  <c r="AM25" i="7"/>
  <c r="AT13" i="7"/>
  <c r="AM14" i="7"/>
  <c r="AT10" i="7"/>
  <c r="AM24" i="7"/>
  <c r="AT15" i="7"/>
  <c r="AM9" i="7"/>
  <c r="AT24" i="7"/>
  <c r="AM15" i="7"/>
  <c r="AF5" i="7"/>
  <c r="AM27" i="7"/>
  <c r="AF14" i="7"/>
  <c r="AT22" i="7"/>
  <c r="AT26" i="7"/>
  <c r="AM16" i="7"/>
  <c r="AF9" i="7"/>
  <c r="AM22" i="7"/>
  <c r="AF7" i="7"/>
  <c r="AM19" i="7"/>
  <c r="AT21" i="7"/>
  <c r="AF27" i="7"/>
  <c r="AT12" i="7"/>
  <c r="AF28" i="7"/>
  <c r="AT7" i="7"/>
  <c r="AE30" i="7"/>
  <c r="AF20" i="7"/>
  <c r="AM28" i="7"/>
  <c r="AM18" i="7"/>
  <c r="AF13" i="7"/>
  <c r="AF15" i="7"/>
  <c r="AF26" i="7"/>
  <c r="AM17" i="7"/>
  <c r="AS30" i="8"/>
  <c r="AL30" i="13"/>
  <c r="AM18" i="17"/>
  <c r="AQ30" i="14"/>
  <c r="AL30" i="16"/>
  <c r="AJ30" i="13"/>
  <c r="AT18" i="17"/>
  <c r="AF18" i="7"/>
  <c r="AC30" i="9"/>
  <c r="AT18" i="8"/>
  <c r="AM18" i="8"/>
  <c r="AQ30" i="8"/>
  <c r="AL30" i="9"/>
  <c r="E25" i="19" s="1"/>
  <c r="AP30" i="10"/>
  <c r="AS30" i="10"/>
  <c r="AJ30" i="11"/>
  <c r="C27" i="19" s="1"/>
  <c r="AK30" i="11"/>
  <c r="D27" i="19" s="1"/>
  <c r="AF27" i="17"/>
  <c r="AK30" i="9"/>
  <c r="D25" i="19" s="1"/>
  <c r="AI30" i="9"/>
  <c r="AR30" i="10"/>
  <c r="AL30" i="11"/>
  <c r="AR30" i="12"/>
  <c r="AQ30" i="10"/>
  <c r="AS30" i="12"/>
  <c r="AQ30" i="15"/>
  <c r="AR30" i="15"/>
  <c r="AF27" i="9"/>
  <c r="AS30" i="15"/>
  <c r="AD30" i="17"/>
  <c r="AS30" i="16"/>
  <c r="AT27" i="7"/>
  <c r="AT27" i="11"/>
  <c r="AD30" i="9"/>
  <c r="AJ30" i="9"/>
  <c r="AK30" i="12"/>
  <c r="AT28" i="8"/>
  <c r="AC30" i="13"/>
  <c r="AC30" i="15"/>
  <c r="AE30" i="13"/>
  <c r="AF28" i="16"/>
  <c r="AF28" i="8"/>
  <c r="AF28" i="13"/>
  <c r="AC30" i="7"/>
  <c r="AD30" i="7"/>
  <c r="AE30" i="8"/>
  <c r="AD30" i="8"/>
  <c r="AR30" i="14"/>
  <c r="AT28" i="14"/>
  <c r="AQ13" i="6"/>
  <c r="AP13" i="6"/>
  <c r="AS13" i="6"/>
  <c r="AR13" i="6"/>
  <c r="AQ29" i="6"/>
  <c r="AR29" i="6"/>
  <c r="AS29" i="6"/>
  <c r="AP29" i="6"/>
  <c r="AS25" i="6"/>
  <c r="AR25" i="6"/>
  <c r="AQ25" i="6"/>
  <c r="AP25" i="6"/>
  <c r="AP21" i="6"/>
  <c r="AR21" i="6"/>
  <c r="AQ21" i="6"/>
  <c r="AS21" i="6"/>
  <c r="AR17" i="6"/>
  <c r="AP17" i="6"/>
  <c r="AQ17" i="6"/>
  <c r="AS17" i="6"/>
  <c r="AS5" i="6"/>
  <c r="AP5" i="6"/>
  <c r="AR5" i="6"/>
  <c r="AQ5" i="6"/>
  <c r="AS7" i="6"/>
  <c r="AR7" i="6"/>
  <c r="AQ7" i="6"/>
  <c r="AP7" i="6"/>
  <c r="AS26" i="6"/>
  <c r="AP26" i="6"/>
  <c r="AQ26" i="6"/>
  <c r="AR26" i="6"/>
  <c r="AS12" i="6"/>
  <c r="AP12" i="6"/>
  <c r="AR12" i="6"/>
  <c r="AQ12" i="6"/>
  <c r="AP24" i="6"/>
  <c r="AR24" i="6"/>
  <c r="AS24" i="6"/>
  <c r="AQ24" i="6"/>
  <c r="AS8" i="6"/>
  <c r="AR8" i="6"/>
  <c r="AQ8" i="6"/>
  <c r="AP8" i="6"/>
  <c r="AQ10" i="6"/>
  <c r="AS10" i="6"/>
  <c r="AR10" i="6"/>
  <c r="AP10" i="6"/>
  <c r="AS6" i="6"/>
  <c r="AR6" i="6"/>
  <c r="AP6" i="6"/>
  <c r="AQ6" i="6"/>
  <c r="AS15" i="6"/>
  <c r="AP15" i="6"/>
  <c r="AR15" i="6"/>
  <c r="AQ15" i="6"/>
  <c r="AS30" i="17"/>
  <c r="AF7" i="17"/>
  <c r="AT17" i="17"/>
  <c r="AQ30" i="17"/>
  <c r="AR30" i="17"/>
  <c r="AK30" i="17"/>
  <c r="AF16" i="17"/>
  <c r="AM20" i="17"/>
  <c r="AM9" i="17"/>
  <c r="AL30" i="17"/>
  <c r="AF14" i="17"/>
  <c r="AB30" i="17"/>
  <c r="AT16" i="17"/>
  <c r="AT6" i="17"/>
  <c r="AP30" i="17"/>
  <c r="AF13" i="17"/>
  <c r="AI30" i="17"/>
  <c r="AF25" i="17"/>
  <c r="AM8" i="17"/>
  <c r="AF18" i="17"/>
  <c r="AT14" i="17"/>
  <c r="AM17" i="17"/>
  <c r="AT27" i="17"/>
  <c r="AM24" i="16"/>
  <c r="AP30" i="16"/>
  <c r="AT11" i="16"/>
  <c r="AF15" i="16"/>
  <c r="AK30" i="16"/>
  <c r="AF16" i="16"/>
  <c r="AT14" i="16"/>
  <c r="AI30" i="16"/>
  <c r="AT27" i="16"/>
  <c r="AQ30" i="16"/>
  <c r="AF11" i="16"/>
  <c r="AM11" i="16"/>
  <c r="AM14" i="16"/>
  <c r="AM23" i="16"/>
  <c r="AF22" i="16"/>
  <c r="AF23" i="16"/>
  <c r="AF24" i="16"/>
  <c r="AT22" i="16"/>
  <c r="AM20" i="16"/>
  <c r="AF14" i="16"/>
  <c r="AT10" i="16"/>
  <c r="AT18" i="16"/>
  <c r="AT24" i="15"/>
  <c r="AF13" i="15"/>
  <c r="AF10" i="15"/>
  <c r="AD30" i="15"/>
  <c r="AB30" i="15"/>
  <c r="AE30" i="15"/>
  <c r="AT26" i="15"/>
  <c r="AT8" i="15"/>
  <c r="AP30" i="15"/>
  <c r="AM15" i="15"/>
  <c r="AT16" i="15"/>
  <c r="AM13" i="15"/>
  <c r="AM8" i="15"/>
  <c r="AT13" i="15"/>
  <c r="AF24" i="15"/>
  <c r="AT10" i="15"/>
  <c r="AM22" i="15"/>
  <c r="AF19" i="15"/>
  <c r="AM24" i="15"/>
  <c r="AM26" i="15"/>
  <c r="AF6" i="15"/>
  <c r="AT19" i="15"/>
  <c r="AT7" i="14"/>
  <c r="AP30" i="14"/>
  <c r="AB30" i="14"/>
  <c r="AF11" i="14"/>
  <c r="AT14" i="14"/>
  <c r="AT27" i="14"/>
  <c r="AF20" i="14"/>
  <c r="AF17" i="14"/>
  <c r="AT23" i="14"/>
  <c r="AS30" i="14"/>
  <c r="AT19" i="14"/>
  <c r="AT16" i="14"/>
  <c r="AM15" i="14"/>
  <c r="AT18" i="14"/>
  <c r="AF15" i="14"/>
  <c r="AM24" i="14"/>
  <c r="AI30" i="14"/>
  <c r="AM22" i="13"/>
  <c r="AF18" i="13"/>
  <c r="AS30" i="13"/>
  <c r="AT7" i="13"/>
  <c r="AP30" i="13"/>
  <c r="AT18" i="13"/>
  <c r="AF24" i="13"/>
  <c r="AF20" i="13"/>
  <c r="AF13" i="13"/>
  <c r="AM29" i="13"/>
  <c r="AT25" i="13"/>
  <c r="AT23" i="13"/>
  <c r="AF11" i="13"/>
  <c r="AF10" i="13"/>
  <c r="AR30" i="13"/>
  <c r="AT16" i="13"/>
  <c r="AF29" i="13"/>
  <c r="AF8" i="13"/>
  <c r="AB30" i="13"/>
  <c r="AM10" i="13"/>
  <c r="AT24" i="13"/>
  <c r="AQ30" i="13"/>
  <c r="AT15" i="13"/>
  <c r="AM11" i="13"/>
  <c r="AF27" i="13"/>
  <c r="AI30" i="13"/>
  <c r="AD30" i="13"/>
  <c r="AM24" i="13"/>
  <c r="AM15" i="13"/>
  <c r="AT14" i="12"/>
  <c r="AC30" i="12"/>
  <c r="AD30" i="12"/>
  <c r="AM17" i="12"/>
  <c r="AQ30" i="12"/>
  <c r="AT10" i="12"/>
  <c r="AF15" i="12"/>
  <c r="AB30" i="12"/>
  <c r="AP30" i="12"/>
  <c r="AM10" i="12"/>
  <c r="AM8" i="12"/>
  <c r="AM6" i="12"/>
  <c r="AE30" i="12"/>
  <c r="AT23" i="12"/>
  <c r="AM24" i="12"/>
  <c r="AF13" i="12"/>
  <c r="AT27" i="12"/>
  <c r="AT7" i="12"/>
  <c r="AF17" i="12"/>
  <c r="AF8" i="12"/>
  <c r="AL30" i="12"/>
  <c r="AF29" i="11"/>
  <c r="AM29" i="11"/>
  <c r="AT14" i="11"/>
  <c r="AI30" i="11"/>
  <c r="AM10" i="11"/>
  <c r="AM24" i="11"/>
  <c r="AT9" i="11"/>
  <c r="AQ30" i="11"/>
  <c r="AD30" i="11"/>
  <c r="AF15" i="11"/>
  <c r="AF27" i="11"/>
  <c r="AM11" i="11"/>
  <c r="AF25" i="11"/>
  <c r="AT20" i="11"/>
  <c r="AF13" i="11"/>
  <c r="AT16" i="11"/>
  <c r="AF26" i="11"/>
  <c r="AT25" i="11"/>
  <c r="AM25" i="11"/>
  <c r="AT23" i="11"/>
  <c r="AF18" i="11"/>
  <c r="AF11" i="11"/>
  <c r="AT26" i="11"/>
  <c r="AF16" i="11"/>
  <c r="AB30" i="11"/>
  <c r="AE30" i="11"/>
  <c r="AF20" i="11"/>
  <c r="AR30" i="11"/>
  <c r="AM26" i="11"/>
  <c r="AF10" i="11"/>
  <c r="AS30" i="11"/>
  <c r="AT11" i="11"/>
  <c r="AF9" i="11"/>
  <c r="AT10" i="11"/>
  <c r="AT7" i="11"/>
  <c r="AP30" i="11"/>
  <c r="AM27" i="11"/>
  <c r="AM13" i="11"/>
  <c r="AC30" i="11"/>
  <c r="AT7" i="10"/>
  <c r="AT19" i="10"/>
  <c r="AT12" i="10"/>
  <c r="AM26" i="10"/>
  <c r="AF12" i="10"/>
  <c r="AF20" i="10"/>
  <c r="AT20" i="10"/>
  <c r="AL30" i="10"/>
  <c r="AT13" i="10"/>
  <c r="AT23" i="10"/>
  <c r="AM8" i="10"/>
  <c r="AF13" i="10"/>
  <c r="AB30" i="10"/>
  <c r="AT16" i="10"/>
  <c r="AF15" i="10"/>
  <c r="AM24" i="10"/>
  <c r="AT10" i="10"/>
  <c r="AM17" i="10"/>
  <c r="AM13" i="10"/>
  <c r="AM10" i="10"/>
  <c r="AT6" i="10"/>
  <c r="AT27" i="10"/>
  <c r="AT8" i="10"/>
  <c r="AT15" i="10"/>
  <c r="AM15" i="10"/>
  <c r="AM6" i="10"/>
  <c r="AT11" i="10"/>
  <c r="AM19" i="10"/>
  <c r="AT17" i="10"/>
  <c r="AF11" i="10"/>
  <c r="AF22" i="10"/>
  <c r="AE30" i="10"/>
  <c r="AM11" i="9"/>
  <c r="AT9" i="9"/>
  <c r="AF20" i="9"/>
  <c r="AM27" i="9"/>
  <c r="AB30" i="9"/>
  <c r="AM18" i="9"/>
  <c r="AF26" i="9"/>
  <c r="AF10" i="9"/>
  <c r="AF29" i="9"/>
  <c r="AS30" i="9"/>
  <c r="AM26" i="9"/>
  <c r="AR30" i="9"/>
  <c r="AM10" i="9"/>
  <c r="AM29" i="9"/>
  <c r="AT7" i="9"/>
  <c r="AP30" i="9"/>
  <c r="AT26" i="9"/>
  <c r="AQ30" i="9"/>
  <c r="AT20" i="9"/>
  <c r="AM9" i="9"/>
  <c r="AT16" i="9"/>
  <c r="AM20" i="9"/>
  <c r="AF18" i="9"/>
  <c r="AT22" i="9"/>
  <c r="AT10" i="9"/>
  <c r="AM22" i="9"/>
  <c r="AM13" i="9"/>
  <c r="AM24" i="9"/>
  <c r="AF11" i="9"/>
  <c r="AF25" i="9"/>
  <c r="AP30" i="8"/>
  <c r="AF8" i="8"/>
  <c r="AR30" i="8"/>
  <c r="AT22" i="8"/>
  <c r="AM8" i="8"/>
  <c r="AM17" i="8"/>
  <c r="AM10" i="8"/>
  <c r="AF17" i="8"/>
  <c r="AF26" i="8"/>
  <c r="AT15" i="8"/>
  <c r="AB30" i="8"/>
  <c r="AF22" i="8"/>
  <c r="AT27" i="8"/>
  <c r="AT20" i="8"/>
  <c r="AI30" i="8"/>
  <c r="AM5" i="8"/>
  <c r="AF24" i="8"/>
  <c r="AJ30" i="8"/>
  <c r="AF10" i="8"/>
  <c r="AK30" i="8"/>
  <c r="AF13" i="8"/>
  <c r="AF6" i="8"/>
  <c r="AL30" i="8"/>
  <c r="AC30" i="8"/>
  <c r="AT14" i="8"/>
  <c r="AR30" i="7"/>
  <c r="AT19" i="7"/>
  <c r="AF29" i="7"/>
  <c r="AF8" i="7"/>
  <c r="AQ30" i="7"/>
  <c r="AS30" i="7"/>
  <c r="AB30" i="7"/>
  <c r="AL30" i="7"/>
  <c r="AT23" i="7"/>
  <c r="AI30" i="7"/>
  <c r="AM5" i="7"/>
  <c r="AT18" i="7"/>
  <c r="AP30" i="7"/>
  <c r="AT5" i="7"/>
  <c r="AT20" i="7"/>
  <c r="AF22" i="7"/>
  <c r="AM20" i="7"/>
  <c r="AF19" i="7"/>
  <c r="AF23" i="7"/>
  <c r="AJ30" i="7"/>
  <c r="AT25" i="7"/>
  <c r="AM8" i="7"/>
  <c r="AK30" i="7"/>
  <c r="AT11" i="7"/>
  <c r="AM11" i="7"/>
  <c r="AF10" i="7"/>
  <c r="AT8" i="7"/>
  <c r="AM29" i="7"/>
  <c r="AT17" i="7"/>
  <c r="AF17" i="7"/>
  <c r="AM21" i="7"/>
  <c r="AF11" i="7"/>
  <c r="E50" i="18"/>
  <c r="C81" i="18"/>
  <c r="F18" i="18"/>
  <c r="E18" i="18"/>
  <c r="C18" i="18"/>
  <c r="C50" i="18"/>
  <c r="D50" i="18"/>
  <c r="C49" i="18"/>
  <c r="E49" i="18"/>
  <c r="D49" i="18"/>
  <c r="F49" i="18"/>
  <c r="F17" i="18"/>
  <c r="E17" i="18"/>
  <c r="C17" i="18"/>
  <c r="D17" i="18"/>
  <c r="E80" i="18"/>
  <c r="F80" i="18"/>
  <c r="D80" i="18"/>
  <c r="F16" i="18"/>
  <c r="D16" i="18"/>
  <c r="E16" i="18"/>
  <c r="F79" i="18"/>
  <c r="D79" i="18"/>
  <c r="C79" i="18"/>
  <c r="E79" i="18"/>
  <c r="E48" i="18"/>
  <c r="F48" i="18"/>
  <c r="D47" i="18"/>
  <c r="C47" i="18"/>
  <c r="E47" i="18"/>
  <c r="F47" i="18"/>
  <c r="E15" i="18"/>
  <c r="D15" i="18"/>
  <c r="AN15" i="18" s="1"/>
  <c r="F15" i="18"/>
  <c r="C15" i="18"/>
  <c r="C78" i="18"/>
  <c r="C45" i="18"/>
  <c r="E45" i="18"/>
  <c r="F45" i="18"/>
  <c r="D45" i="18"/>
  <c r="D13" i="18"/>
  <c r="E13" i="18"/>
  <c r="C13" i="18"/>
  <c r="F13" i="18"/>
  <c r="E76" i="18"/>
  <c r="D76" i="18"/>
  <c r="F44" i="18"/>
  <c r="C44" i="18"/>
  <c r="C12" i="18"/>
  <c r="D12" i="18"/>
  <c r="D75" i="18"/>
  <c r="E44" i="18"/>
  <c r="E75" i="18"/>
  <c r="D44" i="18"/>
  <c r="D74" i="18"/>
  <c r="C11" i="18"/>
  <c r="F11" i="18"/>
  <c r="F43" i="18"/>
  <c r="D11" i="18"/>
  <c r="D10" i="18"/>
  <c r="F10" i="18"/>
  <c r="E10" i="18"/>
  <c r="C10" i="18"/>
  <c r="F9" i="18"/>
  <c r="D9" i="18"/>
  <c r="E9" i="18"/>
  <c r="C9" i="18"/>
  <c r="C41" i="18"/>
  <c r="F41" i="18"/>
  <c r="D41" i="18"/>
  <c r="E41" i="18"/>
  <c r="C71" i="18"/>
  <c r="D8" i="18"/>
  <c r="E8" i="18"/>
  <c r="C8" i="18"/>
  <c r="E71" i="18"/>
  <c r="F40" i="18"/>
  <c r="C40" i="18"/>
  <c r="D40" i="18"/>
  <c r="W14" i="6"/>
  <c r="W15" i="6"/>
  <c r="W6" i="6"/>
  <c r="W20" i="6"/>
  <c r="W11" i="6"/>
  <c r="W17" i="6"/>
  <c r="W18" i="6"/>
  <c r="W24" i="6"/>
  <c r="W5" i="6"/>
  <c r="W7" i="6"/>
  <c r="W22" i="6"/>
  <c r="W25" i="6"/>
  <c r="W23" i="6"/>
  <c r="W27" i="6"/>
  <c r="W8" i="6"/>
  <c r="W12" i="6"/>
  <c r="W28" i="6"/>
  <c r="W16" i="6"/>
  <c r="W29" i="6"/>
  <c r="W19" i="6"/>
  <c r="W13" i="6"/>
  <c r="W9" i="6"/>
  <c r="W21" i="6"/>
  <c r="W26" i="6"/>
  <c r="AK27" i="6"/>
  <c r="AI5" i="6"/>
  <c r="E81" i="18"/>
  <c r="D81" i="18"/>
  <c r="F81" i="18"/>
  <c r="D48" i="18"/>
  <c r="E43" i="18"/>
  <c r="C43" i="18"/>
  <c r="D43" i="18"/>
  <c r="D71" i="18"/>
  <c r="F78" i="18"/>
  <c r="E78" i="18"/>
  <c r="D78" i="18"/>
  <c r="C14" i="18"/>
  <c r="C77" i="18"/>
  <c r="F77" i="18"/>
  <c r="E46" i="18"/>
  <c r="C46" i="18"/>
  <c r="D46" i="18"/>
  <c r="F76" i="18"/>
  <c r="C76" i="18"/>
  <c r="F75" i="18"/>
  <c r="C75" i="18"/>
  <c r="F73" i="18"/>
  <c r="E73" i="18"/>
  <c r="D73" i="18"/>
  <c r="E42" i="18"/>
  <c r="D42" i="18"/>
  <c r="C42" i="18"/>
  <c r="F42" i="18"/>
  <c r="F72" i="18"/>
  <c r="E72" i="18"/>
  <c r="D72" i="18"/>
  <c r="C72" i="18"/>
  <c r="AK24" i="6"/>
  <c r="AB26" i="6"/>
  <c r="AI24" i="6"/>
  <c r="AE26" i="6"/>
  <c r="AD26" i="6"/>
  <c r="AL24" i="6"/>
  <c r="AF29" i="6"/>
  <c r="AJ27" i="6"/>
  <c r="AD25" i="6"/>
  <c r="AE25" i="6"/>
  <c r="AB25" i="6"/>
  <c r="AC25" i="6"/>
  <c r="AT20" i="6"/>
  <c r="AE20" i="6"/>
  <c r="AC20" i="6"/>
  <c r="AB20" i="6"/>
  <c r="AI9" i="6"/>
  <c r="AD20" i="6"/>
  <c r="AE15" i="6"/>
  <c r="AB15" i="6"/>
  <c r="AC15" i="6"/>
  <c r="AT16" i="6"/>
  <c r="AE27" i="6"/>
  <c r="AB27" i="6"/>
  <c r="AD27" i="6"/>
  <c r="AC27" i="6"/>
  <c r="AL27" i="6"/>
  <c r="AK9" i="6"/>
  <c r="AJ9" i="6"/>
  <c r="AJ21" i="6"/>
  <c r="AB13" i="6"/>
  <c r="AC13" i="6"/>
  <c r="AD13" i="6"/>
  <c r="AE13" i="6"/>
  <c r="AE23" i="6"/>
  <c r="AB23" i="6"/>
  <c r="AC23" i="6"/>
  <c r="AD23" i="6"/>
  <c r="AM13" i="6"/>
  <c r="AL23" i="6"/>
  <c r="AK23" i="6"/>
  <c r="AI23" i="6"/>
  <c r="AJ23" i="6"/>
  <c r="AL21" i="6"/>
  <c r="AK21" i="6"/>
  <c r="AT19" i="6"/>
  <c r="AM26" i="6"/>
  <c r="AB28" i="6"/>
  <c r="AC28" i="6"/>
  <c r="AD28" i="6"/>
  <c r="AE28" i="6"/>
  <c r="AI20" i="6"/>
  <c r="AJ20" i="6"/>
  <c r="AK20" i="6"/>
  <c r="AL20" i="6"/>
  <c r="AI28" i="6"/>
  <c r="AJ28" i="6"/>
  <c r="AK28" i="6"/>
  <c r="AL28" i="6"/>
  <c r="AE17" i="6"/>
  <c r="AB17" i="6"/>
  <c r="AC17" i="6"/>
  <c r="AD17" i="6"/>
  <c r="AC18" i="6"/>
  <c r="AB18" i="6"/>
  <c r="AB22" i="6"/>
  <c r="AC22" i="6"/>
  <c r="AD22" i="6"/>
  <c r="AE22" i="6"/>
  <c r="AI17" i="6"/>
  <c r="AJ17" i="6"/>
  <c r="AK17" i="6"/>
  <c r="AL17" i="6"/>
  <c r="AM15" i="6"/>
  <c r="AD18" i="6"/>
  <c r="AT22" i="6"/>
  <c r="AJ18" i="6"/>
  <c r="AI18" i="6"/>
  <c r="AI16" i="6"/>
  <c r="AJ16" i="6"/>
  <c r="AK16" i="6"/>
  <c r="AL16" i="6"/>
  <c r="AF21" i="6"/>
  <c r="AI22" i="6"/>
  <c r="AJ22" i="6"/>
  <c r="AK22" i="6"/>
  <c r="AL22" i="6"/>
  <c r="AE18" i="6"/>
  <c r="AI19" i="6"/>
  <c r="AJ19" i="6"/>
  <c r="AK19" i="6"/>
  <c r="AL19" i="6"/>
  <c r="AB19" i="6"/>
  <c r="AC19" i="6"/>
  <c r="AD19" i="6"/>
  <c r="AE19" i="6"/>
  <c r="AI29" i="6"/>
  <c r="AJ29" i="6"/>
  <c r="AK29" i="6"/>
  <c r="AL29" i="6"/>
  <c r="AB16" i="6"/>
  <c r="AE16" i="6"/>
  <c r="AF24" i="6"/>
  <c r="AD16" i="6"/>
  <c r="AK14" i="6"/>
  <c r="AL14" i="6"/>
  <c r="AI14" i="6"/>
  <c r="AJ14" i="6"/>
  <c r="AL18" i="6"/>
  <c r="AM25" i="6"/>
  <c r="AK18" i="6"/>
  <c r="AB14" i="6"/>
  <c r="AC14" i="6"/>
  <c r="AD14" i="6"/>
  <c r="AE14" i="6"/>
  <c r="AL5" i="6"/>
  <c r="AK5" i="6"/>
  <c r="AJ6" i="6"/>
  <c r="AC6" i="6"/>
  <c r="AJ5" i="6"/>
  <c r="AI10" i="6"/>
  <c r="AK10" i="6"/>
  <c r="AJ10" i="6"/>
  <c r="AB6" i="6"/>
  <c r="AC8" i="6"/>
  <c r="AF12" i="6"/>
  <c r="AI6" i="6"/>
  <c r="AD8" i="6"/>
  <c r="AD6" i="6"/>
  <c r="AL6" i="6"/>
  <c r="AE8" i="6"/>
  <c r="AF10" i="6"/>
  <c r="AD9" i="6"/>
  <c r="AE9" i="6"/>
  <c r="AC9" i="6"/>
  <c r="AB9" i="6"/>
  <c r="AK12" i="6"/>
  <c r="AI12" i="6"/>
  <c r="AJ12" i="6"/>
  <c r="AL12" i="6"/>
  <c r="AF5" i="6"/>
  <c r="AE7" i="6"/>
  <c r="AC7" i="6"/>
  <c r="AD7" i="6"/>
  <c r="AB7" i="6"/>
  <c r="AM8" i="6"/>
  <c r="AD11" i="6"/>
  <c r="AE11" i="6"/>
  <c r="AC11" i="6"/>
  <c r="AB11" i="6"/>
  <c r="AL11" i="6"/>
  <c r="AK11" i="6"/>
  <c r="AJ11" i="6"/>
  <c r="AI11" i="6"/>
  <c r="AM7" i="6"/>
  <c r="C108" i="18"/>
  <c r="G108" i="18" s="1"/>
  <c r="C110" i="18"/>
  <c r="G110" i="18" s="1"/>
  <c r="C106" i="18"/>
  <c r="G106" i="18" s="1"/>
  <c r="X30" i="6" l="1"/>
  <c r="D5" i="19" s="1"/>
  <c r="Y10" i="6"/>
  <c r="Y23" i="10"/>
  <c r="Y13" i="7"/>
  <c r="Y17" i="10"/>
  <c r="Y20" i="10"/>
  <c r="Y24" i="10"/>
  <c r="Y16" i="10"/>
  <c r="Y23" i="15"/>
  <c r="Y26" i="15"/>
  <c r="Y24" i="15"/>
  <c r="Y15" i="15"/>
  <c r="Y7" i="15"/>
  <c r="Y11" i="15"/>
  <c r="Y28" i="15"/>
  <c r="Y25" i="15"/>
  <c r="Y10" i="15"/>
  <c r="Y13" i="15"/>
  <c r="AM30" i="15"/>
  <c r="Y27" i="15"/>
  <c r="Y6" i="15"/>
  <c r="Y17" i="15"/>
  <c r="Y29" i="15"/>
  <c r="Y12" i="15"/>
  <c r="Y19" i="15"/>
  <c r="Y21" i="15"/>
  <c r="Y16" i="15"/>
  <c r="Y8" i="15"/>
  <c r="Y22" i="15"/>
  <c r="Y27" i="10"/>
  <c r="Y14" i="10"/>
  <c r="AM30" i="14"/>
  <c r="X30" i="7"/>
  <c r="D6" i="19" s="1"/>
  <c r="W30" i="8"/>
  <c r="C7" i="19" s="1"/>
  <c r="Y6" i="10"/>
  <c r="Y11" i="10"/>
  <c r="Y12" i="10"/>
  <c r="Y7" i="10"/>
  <c r="Y10" i="10"/>
  <c r="Y26" i="10"/>
  <c r="Y8" i="10"/>
  <c r="Y25" i="10"/>
  <c r="Y18" i="10"/>
  <c r="Y22" i="10"/>
  <c r="Y15" i="10"/>
  <c r="Y10" i="12"/>
  <c r="Y12" i="12"/>
  <c r="Y29" i="12"/>
  <c r="Y15" i="12"/>
  <c r="W30" i="11"/>
  <c r="C10" i="19" s="1"/>
  <c r="V30" i="12"/>
  <c r="B11" i="19" s="1"/>
  <c r="Y5" i="12"/>
  <c r="Y24" i="11"/>
  <c r="Y20" i="7"/>
  <c r="Y6" i="17"/>
  <c r="Y8" i="17"/>
  <c r="Y17" i="13"/>
  <c r="Y12" i="13"/>
  <c r="Y8" i="8"/>
  <c r="Y26" i="14"/>
  <c r="Y25" i="9"/>
  <c r="Y9" i="9"/>
  <c r="Y15" i="16"/>
  <c r="Y21" i="10"/>
  <c r="Y27" i="12"/>
  <c r="Y21" i="11"/>
  <c r="Y14" i="15"/>
  <c r="Y16" i="7"/>
  <c r="Y28" i="7"/>
  <c r="Y13" i="17"/>
  <c r="Y25" i="17"/>
  <c r="V30" i="13"/>
  <c r="B12" i="19" s="1"/>
  <c r="Y5" i="13"/>
  <c r="Y6" i="13"/>
  <c r="W30" i="9"/>
  <c r="C8" i="19" s="1"/>
  <c r="Y26" i="8"/>
  <c r="Y11" i="14"/>
  <c r="Y21" i="9"/>
  <c r="Y27" i="9"/>
  <c r="Y29" i="16"/>
  <c r="Y19" i="11"/>
  <c r="Y24" i="14"/>
  <c r="Y21" i="7"/>
  <c r="Y10" i="7"/>
  <c r="Y20" i="17"/>
  <c r="Y21" i="17"/>
  <c r="Y20" i="13"/>
  <c r="Y16" i="13"/>
  <c r="Y19" i="8"/>
  <c r="Y15" i="14"/>
  <c r="Y15" i="9"/>
  <c r="Y16" i="9"/>
  <c r="Y12" i="16"/>
  <c r="Y25" i="16"/>
  <c r="Y13" i="10"/>
  <c r="Y17" i="12"/>
  <c r="Y12" i="11"/>
  <c r="V30" i="7"/>
  <c r="B6" i="19" s="1"/>
  <c r="Y5" i="7"/>
  <c r="Y18" i="17"/>
  <c r="Y29" i="17"/>
  <c r="Y24" i="13"/>
  <c r="Y14" i="13"/>
  <c r="Y24" i="8"/>
  <c r="Y23" i="8"/>
  <c r="Y25" i="14"/>
  <c r="Y29" i="9"/>
  <c r="Y12" i="9"/>
  <c r="Y24" i="16"/>
  <c r="Y26" i="16"/>
  <c r="X30" i="17"/>
  <c r="D16" i="19" s="1"/>
  <c r="Y9" i="10"/>
  <c r="Y11" i="12"/>
  <c r="Y28" i="11"/>
  <c r="Y23" i="7"/>
  <c r="Y9" i="15"/>
  <c r="Y20" i="15"/>
  <c r="Y11" i="17"/>
  <c r="Y23" i="17"/>
  <c r="W30" i="10"/>
  <c r="C9" i="19" s="1"/>
  <c r="Y25" i="13"/>
  <c r="Y23" i="13"/>
  <c r="Y18" i="8"/>
  <c r="Y15" i="8"/>
  <c r="Y8" i="14"/>
  <c r="Y6" i="9"/>
  <c r="Y20" i="9"/>
  <c r="Y10" i="16"/>
  <c r="Y20" i="16"/>
  <c r="X30" i="12"/>
  <c r="D11" i="19" s="1"/>
  <c r="Y20" i="12"/>
  <c r="V30" i="11"/>
  <c r="B10" i="19" s="1"/>
  <c r="Y5" i="11"/>
  <c r="Y24" i="7"/>
  <c r="Y27" i="17"/>
  <c r="Y12" i="17"/>
  <c r="Y15" i="13"/>
  <c r="Y22" i="8"/>
  <c r="Y28" i="8"/>
  <c r="Y28" i="14"/>
  <c r="Y19" i="9"/>
  <c r="Y10" i="9"/>
  <c r="Y21" i="16"/>
  <c r="Y9" i="16"/>
  <c r="Y14" i="12"/>
  <c r="Y27" i="11"/>
  <c r="Y12" i="7"/>
  <c r="Y22" i="17"/>
  <c r="Y22" i="13"/>
  <c r="Y6" i="8"/>
  <c r="Y12" i="8"/>
  <c r="Y7" i="14"/>
  <c r="Y29" i="14"/>
  <c r="Y18" i="9"/>
  <c r="Y17" i="9"/>
  <c r="Y6" i="16"/>
  <c r="Y28" i="16"/>
  <c r="X30" i="14"/>
  <c r="D13" i="19" s="1"/>
  <c r="X30" i="10"/>
  <c r="D9" i="19" s="1"/>
  <c r="Y18" i="11"/>
  <c r="Y9" i="11"/>
  <c r="X30" i="15"/>
  <c r="D14" i="19" s="1"/>
  <c r="Y15" i="7"/>
  <c r="Y16" i="17"/>
  <c r="Y11" i="13"/>
  <c r="Y27" i="8"/>
  <c r="Y16" i="8"/>
  <c r="Y18" i="14"/>
  <c r="Y23" i="14"/>
  <c r="Y8" i="9"/>
  <c r="Y14" i="9"/>
  <c r="V30" i="16"/>
  <c r="B15" i="19" s="1"/>
  <c r="Y5" i="16"/>
  <c r="Y11" i="16"/>
  <c r="X30" i="13"/>
  <c r="D12" i="19" s="1"/>
  <c r="Y9" i="12"/>
  <c r="Y28" i="12"/>
  <c r="Y16" i="11"/>
  <c r="Y29" i="11"/>
  <c r="Y7" i="7"/>
  <c r="Y17" i="17"/>
  <c r="Y28" i="13"/>
  <c r="Y7" i="8"/>
  <c r="Y11" i="8"/>
  <c r="Y21" i="14"/>
  <c r="Y22" i="14"/>
  <c r="V30" i="9"/>
  <c r="B8" i="19" s="1"/>
  <c r="Y5" i="9"/>
  <c r="Y16" i="16"/>
  <c r="Y7" i="16"/>
  <c r="V30" i="10"/>
  <c r="B9" i="19" s="1"/>
  <c r="Y5" i="10"/>
  <c r="Y19" i="10"/>
  <c r="W30" i="13"/>
  <c r="C12" i="19" s="1"/>
  <c r="X30" i="16"/>
  <c r="D15" i="19" s="1"/>
  <c r="Y7" i="12"/>
  <c r="Y8" i="12"/>
  <c r="Y13" i="11"/>
  <c r="Y23" i="11"/>
  <c r="Y18" i="7"/>
  <c r="Y9" i="17"/>
  <c r="Y9" i="13"/>
  <c r="Y20" i="8"/>
  <c r="Y10" i="8"/>
  <c r="W30" i="16"/>
  <c r="C15" i="19" s="1"/>
  <c r="V30" i="14"/>
  <c r="B13" i="19" s="1"/>
  <c r="Y5" i="14"/>
  <c r="Y6" i="14"/>
  <c r="Y23" i="9"/>
  <c r="Y17" i="16"/>
  <c r="Y22" i="16"/>
  <c r="Y13" i="12"/>
  <c r="Y6" i="12"/>
  <c r="Y8" i="11"/>
  <c r="Y7" i="11"/>
  <c r="Y25" i="7"/>
  <c r="Y26" i="7"/>
  <c r="Y24" i="17"/>
  <c r="Y26" i="13"/>
  <c r="Y21" i="8"/>
  <c r="Y17" i="8"/>
  <c r="Y20" i="14"/>
  <c r="Y13" i="14"/>
  <c r="Y13" i="9"/>
  <c r="Y19" i="16"/>
  <c r="Y8" i="16"/>
  <c r="W30" i="12"/>
  <c r="C11" i="19" s="1"/>
  <c r="W30" i="17"/>
  <c r="C16" i="19" s="1"/>
  <c r="X30" i="9"/>
  <c r="D8" i="19" s="1"/>
  <c r="Y19" i="12"/>
  <c r="Y6" i="11"/>
  <c r="Y26" i="11"/>
  <c r="Y9" i="7"/>
  <c r="Y8" i="7"/>
  <c r="Y19" i="17"/>
  <c r="Y29" i="13"/>
  <c r="V30" i="8"/>
  <c r="B7" i="19" s="1"/>
  <c r="Y5" i="8"/>
  <c r="Y13" i="8"/>
  <c r="Y27" i="14"/>
  <c r="Y19" i="14"/>
  <c r="Y26" i="9"/>
  <c r="Y18" i="16"/>
  <c r="Y18" i="15"/>
  <c r="Y29" i="10"/>
  <c r="Y18" i="12"/>
  <c r="Y25" i="12"/>
  <c r="Y11" i="11"/>
  <c r="Y10" i="11"/>
  <c r="Y27" i="7"/>
  <c r="Y19" i="7"/>
  <c r="W30" i="15"/>
  <c r="C14" i="19" s="1"/>
  <c r="Y28" i="17"/>
  <c r="Y8" i="13"/>
  <c r="Y18" i="13"/>
  <c r="Y25" i="8"/>
  <c r="Y17" i="14"/>
  <c r="Y12" i="14"/>
  <c r="Y28" i="9"/>
  <c r="Y13" i="16"/>
  <c r="X30" i="8"/>
  <c r="D7" i="19" s="1"/>
  <c r="W30" i="7"/>
  <c r="C6" i="19" s="1"/>
  <c r="Y24" i="12"/>
  <c r="Y23" i="12"/>
  <c r="Y25" i="11"/>
  <c r="Y14" i="11"/>
  <c r="Y6" i="7"/>
  <c r="Y29" i="7"/>
  <c r="V30" i="17"/>
  <c r="B16" i="19" s="1"/>
  <c r="Y5" i="17"/>
  <c r="Y15" i="17"/>
  <c r="Y10" i="13"/>
  <c r="Y13" i="13"/>
  <c r="Y14" i="8"/>
  <c r="Y16" i="14"/>
  <c r="Y22" i="9"/>
  <c r="Y14" i="16"/>
  <c r="Y16" i="12"/>
  <c r="Y22" i="12"/>
  <c r="Y20" i="11"/>
  <c r="Y17" i="11"/>
  <c r="W30" i="14"/>
  <c r="C13" i="19" s="1"/>
  <c r="Y22" i="7"/>
  <c r="Y17" i="7"/>
  <c r="Y14" i="17"/>
  <c r="Y7" i="17"/>
  <c r="Y21" i="13"/>
  <c r="Y27" i="13"/>
  <c r="Y29" i="8"/>
  <c r="Y10" i="14"/>
  <c r="Y9" i="14"/>
  <c r="Y24" i="9"/>
  <c r="X30" i="11"/>
  <c r="D10" i="19" s="1"/>
  <c r="Y23" i="16"/>
  <c r="V30" i="15"/>
  <c r="B14" i="19" s="1"/>
  <c r="Y5" i="15"/>
  <c r="Y28" i="10"/>
  <c r="Y21" i="12"/>
  <c r="Y26" i="12"/>
  <c r="Y22" i="11"/>
  <c r="Y15" i="11"/>
  <c r="Y11" i="7"/>
  <c r="Y14" i="7"/>
  <c r="Y10" i="17"/>
  <c r="Y26" i="17"/>
  <c r="Y7" i="13"/>
  <c r="Y19" i="13"/>
  <c r="Y9" i="8"/>
  <c r="Y14" i="14"/>
  <c r="Y7" i="9"/>
  <c r="Y11" i="9"/>
  <c r="Y27" i="16"/>
  <c r="AF30" i="16"/>
  <c r="AT30" i="12"/>
  <c r="G74" i="18"/>
  <c r="AM30" i="10"/>
  <c r="AT30" i="10"/>
  <c r="AF30" i="14"/>
  <c r="AT30" i="9"/>
  <c r="AM30" i="12"/>
  <c r="AM30" i="13"/>
  <c r="AT30" i="15"/>
  <c r="AM30" i="16"/>
  <c r="AM30" i="9"/>
  <c r="AT30" i="16"/>
  <c r="AF30" i="9"/>
  <c r="AM30" i="11"/>
  <c r="AF30" i="17"/>
  <c r="AF30" i="7"/>
  <c r="AT30" i="14"/>
  <c r="AT30" i="17"/>
  <c r="F70" i="18"/>
  <c r="G72" i="18"/>
  <c r="AT30" i="8"/>
  <c r="C70" i="18"/>
  <c r="E70" i="18"/>
  <c r="D70" i="18"/>
  <c r="Y15" i="6"/>
  <c r="AF30" i="8"/>
  <c r="AF30" i="10"/>
  <c r="AM30" i="7"/>
  <c r="Y14" i="6"/>
  <c r="C39" i="18"/>
  <c r="AR30" i="6"/>
  <c r="AS30" i="6"/>
  <c r="D39" i="18"/>
  <c r="F39" i="18"/>
  <c r="AQ30" i="6"/>
  <c r="AP30" i="6"/>
  <c r="E39" i="18"/>
  <c r="AM30" i="17"/>
  <c r="AF30" i="15"/>
  <c r="AT30" i="13"/>
  <c r="AF30" i="13"/>
  <c r="AF30" i="12"/>
  <c r="AF30" i="11"/>
  <c r="AT30" i="11"/>
  <c r="AM30" i="8"/>
  <c r="AT30" i="7"/>
  <c r="Y24" i="6"/>
  <c r="Y26" i="6"/>
  <c r="C23" i="19"/>
  <c r="D23" i="19"/>
  <c r="G80" i="18"/>
  <c r="E26" i="19"/>
  <c r="C7" i="18"/>
  <c r="AM7" i="18" s="1"/>
  <c r="E7" i="18"/>
  <c r="AO7" i="18" s="1"/>
  <c r="D7" i="18"/>
  <c r="AN7" i="18" s="1"/>
  <c r="Y6" i="6"/>
  <c r="D33" i="19"/>
  <c r="C33" i="19"/>
  <c r="G81" i="18"/>
  <c r="E33" i="19"/>
  <c r="D18" i="18"/>
  <c r="AN18" i="18" s="1"/>
  <c r="C32" i="19"/>
  <c r="D32" i="19"/>
  <c r="E32" i="19"/>
  <c r="G79" i="18"/>
  <c r="C16" i="18"/>
  <c r="AM16" i="18" s="1"/>
  <c r="C31" i="19"/>
  <c r="D31" i="19"/>
  <c r="C48" i="18"/>
  <c r="E30" i="19"/>
  <c r="D30" i="19"/>
  <c r="C30" i="19"/>
  <c r="E14" i="18"/>
  <c r="AO14" i="18" s="1"/>
  <c r="F14" i="18"/>
  <c r="AP14" i="18" s="1"/>
  <c r="D14" i="18"/>
  <c r="AN14" i="18" s="1"/>
  <c r="F46" i="18"/>
  <c r="E77" i="18"/>
  <c r="D77" i="18"/>
  <c r="D28" i="19"/>
  <c r="E28" i="19"/>
  <c r="C28" i="19"/>
  <c r="B27" i="19"/>
  <c r="G75" i="18"/>
  <c r="E27" i="19"/>
  <c r="B26" i="19"/>
  <c r="C25" i="19"/>
  <c r="C73" i="18"/>
  <c r="G73" i="18" s="1"/>
  <c r="C24" i="19"/>
  <c r="D24" i="19"/>
  <c r="E24" i="19"/>
  <c r="B23" i="19"/>
  <c r="F8" i="18"/>
  <c r="AP8" i="18" s="1"/>
  <c r="E23" i="19"/>
  <c r="F71" i="18"/>
  <c r="F7" i="18"/>
  <c r="AP7" i="18" s="1"/>
  <c r="C29" i="19"/>
  <c r="D29" i="19"/>
  <c r="E29" i="19"/>
  <c r="Y20" i="6"/>
  <c r="Y11" i="6"/>
  <c r="Y22" i="6"/>
  <c r="Y18" i="6"/>
  <c r="Y17" i="6"/>
  <c r="Y21" i="6"/>
  <c r="Y25" i="6"/>
  <c r="Y16" i="6"/>
  <c r="Y23" i="6"/>
  <c r="Y5" i="6"/>
  <c r="Y19" i="6"/>
  <c r="Y27" i="6"/>
  <c r="Y8" i="6"/>
  <c r="Y9" i="6"/>
  <c r="Y13" i="6"/>
  <c r="Y29" i="6"/>
  <c r="Y7" i="6"/>
  <c r="Y28" i="6"/>
  <c r="W30" i="6"/>
  <c r="C5" i="19" s="1"/>
  <c r="V30" i="6"/>
  <c r="B5" i="19" s="1"/>
  <c r="Y12" i="6"/>
  <c r="AF26" i="6"/>
  <c r="AT21" i="6"/>
  <c r="AD30" i="6"/>
  <c r="AJ30" i="6"/>
  <c r="C22" i="19" s="1"/>
  <c r="AM24" i="6"/>
  <c r="AC30" i="6"/>
  <c r="AE30" i="6"/>
  <c r="AB30" i="6"/>
  <c r="AL30" i="6"/>
  <c r="E22" i="19" s="1"/>
  <c r="AK30" i="6"/>
  <c r="D22" i="19" s="1"/>
  <c r="AI30" i="6"/>
  <c r="AT29" i="6"/>
  <c r="AT25" i="6"/>
  <c r="AT13" i="6"/>
  <c r="AM21" i="6"/>
  <c r="AM9" i="6"/>
  <c r="AT28" i="6"/>
  <c r="AM27" i="6"/>
  <c r="AF20" i="6"/>
  <c r="AF25" i="6"/>
  <c r="AT27" i="6"/>
  <c r="AF15" i="6"/>
  <c r="AT14" i="6"/>
  <c r="AF27" i="6"/>
  <c r="AT26" i="6"/>
  <c r="AT17" i="6"/>
  <c r="AT9" i="6"/>
  <c r="AF23" i="6"/>
  <c r="AM23" i="6"/>
  <c r="AF13" i="6"/>
  <c r="AF16" i="6"/>
  <c r="AM16" i="6"/>
  <c r="AF22" i="6"/>
  <c r="AT12" i="6"/>
  <c r="AT15" i="6"/>
  <c r="AM20" i="6"/>
  <c r="AF18" i="6"/>
  <c r="AM19" i="6"/>
  <c r="AM14" i="6"/>
  <c r="AF17" i="6"/>
  <c r="AF14" i="6"/>
  <c r="AT24" i="6"/>
  <c r="AM18" i="6"/>
  <c r="AM29" i="6"/>
  <c r="AF28" i="6"/>
  <c r="AM22" i="6"/>
  <c r="AM17" i="6"/>
  <c r="AM28" i="6"/>
  <c r="AT23" i="6"/>
  <c r="AF19" i="6"/>
  <c r="AT11" i="6"/>
  <c r="AT18" i="6"/>
  <c r="AT10" i="6"/>
  <c r="AM11" i="6"/>
  <c r="AM5" i="6"/>
  <c r="C104" i="18"/>
  <c r="G104" i="18" s="1"/>
  <c r="AF8" i="6"/>
  <c r="AF7" i="6"/>
  <c r="AM10" i="6"/>
  <c r="AM6" i="6"/>
  <c r="AF6" i="6"/>
  <c r="AF9" i="6"/>
  <c r="G78" i="18"/>
  <c r="AT5" i="6"/>
  <c r="AM12" i="6"/>
  <c r="AT8" i="6"/>
  <c r="AT7" i="6"/>
  <c r="AF11" i="6"/>
  <c r="AT6" i="6"/>
  <c r="AO11" i="18"/>
  <c r="AM14" i="18"/>
  <c r="AN12" i="18"/>
  <c r="AO12" i="18"/>
  <c r="AO9" i="18"/>
  <c r="AM17" i="18"/>
  <c r="AP17" i="18"/>
  <c r="AP18" i="18"/>
  <c r="AO18" i="18"/>
  <c r="AM18" i="18"/>
  <c r="AO17" i="18"/>
  <c r="AN17" i="18"/>
  <c r="AN16" i="18"/>
  <c r="AO16" i="18"/>
  <c r="AP16" i="18"/>
  <c r="AP15" i="18"/>
  <c r="AM15" i="18"/>
  <c r="AO15" i="18"/>
  <c r="Y30" i="15" l="1"/>
  <c r="Y30" i="10"/>
  <c r="Y30" i="14"/>
  <c r="Y30" i="17"/>
  <c r="Y30" i="8"/>
  <c r="Y30" i="16"/>
  <c r="Y30" i="9"/>
  <c r="Y30" i="13"/>
  <c r="Y30" i="11"/>
  <c r="Y30" i="12"/>
  <c r="Y30" i="7"/>
  <c r="F82" i="18"/>
  <c r="E82" i="18"/>
  <c r="G70" i="18"/>
  <c r="C82" i="18"/>
  <c r="AT30" i="6"/>
  <c r="B33" i="19"/>
  <c r="B32" i="19"/>
  <c r="B31" i="19"/>
  <c r="B30" i="19"/>
  <c r="B28" i="19"/>
  <c r="B25" i="19"/>
  <c r="B24" i="19"/>
  <c r="G71" i="18"/>
  <c r="B29" i="19"/>
  <c r="AF30" i="6"/>
  <c r="Y30" i="6"/>
  <c r="AM30" i="6"/>
  <c r="B22" i="19"/>
  <c r="G77" i="18"/>
  <c r="D82" i="18"/>
  <c r="G76" i="18"/>
  <c r="G49" i="18"/>
  <c r="C105" i="18"/>
  <c r="G105" i="18" s="1"/>
  <c r="E15" i="19"/>
  <c r="E13" i="19"/>
  <c r="E14" i="19"/>
  <c r="E16" i="19"/>
  <c r="E12" i="19"/>
  <c r="AM13" i="18"/>
  <c r="AO13" i="18"/>
  <c r="AP13" i="18"/>
  <c r="AN13" i="18"/>
  <c r="E11" i="19"/>
  <c r="AM12" i="18"/>
  <c r="E10" i="19"/>
  <c r="AP11" i="18"/>
  <c r="E9" i="19"/>
  <c r="AN10" i="18"/>
  <c r="AM10" i="18"/>
  <c r="AP10" i="18"/>
  <c r="AO10" i="18"/>
  <c r="AM9" i="18"/>
  <c r="AP9" i="18"/>
  <c r="AN9" i="18"/>
  <c r="E7" i="19"/>
  <c r="AN8" i="18"/>
  <c r="AM8" i="18"/>
  <c r="E5" i="19"/>
  <c r="E6" i="19"/>
  <c r="G48" i="18"/>
  <c r="G47" i="18"/>
  <c r="AO8" i="18"/>
  <c r="G50" i="18"/>
  <c r="G18" i="18"/>
  <c r="AQ18" i="18" s="1"/>
  <c r="AM34" i="18" s="1"/>
  <c r="G17" i="18"/>
  <c r="C33" i="18" s="1"/>
  <c r="G7" i="18"/>
  <c r="G16" i="18"/>
  <c r="C32" i="18" s="1"/>
  <c r="G15" i="18"/>
  <c r="G14" i="18"/>
  <c r="C30" i="18" s="1"/>
  <c r="AP12" i="18"/>
  <c r="AN11" i="18"/>
  <c r="AM11" i="18"/>
  <c r="G82" i="18" l="1"/>
  <c r="G45" i="18"/>
  <c r="G46" i="18"/>
  <c r="G13" i="18"/>
  <c r="C29" i="18" s="1"/>
  <c r="G12" i="18"/>
  <c r="C28" i="18" s="1"/>
  <c r="G44" i="18"/>
  <c r="G43" i="18"/>
  <c r="G41" i="18"/>
  <c r="E19" i="18"/>
  <c r="G10" i="18"/>
  <c r="AQ10" i="18" s="1"/>
  <c r="AM26" i="18" s="1"/>
  <c r="F19" i="18"/>
  <c r="G9" i="18"/>
  <c r="C25" i="18" s="1"/>
  <c r="D19" i="18"/>
  <c r="G8" i="18"/>
  <c r="AQ8" i="18" s="1"/>
  <c r="AM24" i="18" s="1"/>
  <c r="C19" i="18"/>
  <c r="G40" i="18"/>
  <c r="E35" i="19"/>
  <c r="C35" i="19"/>
  <c r="B35" i="19"/>
  <c r="D35" i="19"/>
  <c r="G39" i="18"/>
  <c r="D34" i="19"/>
  <c r="E34" i="19"/>
  <c r="B34" i="19"/>
  <c r="C34" i="19"/>
  <c r="C34" i="18"/>
  <c r="AQ17" i="18"/>
  <c r="AM33" i="18" s="1"/>
  <c r="AQ16" i="18"/>
  <c r="AM32" i="18" s="1"/>
  <c r="AQ7" i="18"/>
  <c r="AM23" i="18" s="1"/>
  <c r="C23" i="18"/>
  <c r="AQ15" i="18"/>
  <c r="AM31" i="18" s="1"/>
  <c r="C31" i="18"/>
  <c r="AQ14" i="18"/>
  <c r="AM30" i="18" s="1"/>
  <c r="G11" i="18"/>
  <c r="AQ13" i="18" l="1"/>
  <c r="AM29" i="18" s="1"/>
  <c r="AQ12" i="18"/>
  <c r="AM28" i="18" s="1"/>
  <c r="C26" i="18"/>
  <c r="AQ9" i="18"/>
  <c r="AM25" i="18" s="1"/>
  <c r="G20" i="18"/>
  <c r="C24" i="18"/>
  <c r="F51" i="18"/>
  <c r="E51" i="18"/>
  <c r="D51" i="18"/>
  <c r="C27" i="18"/>
  <c r="AQ11" i="18"/>
  <c r="AM27" i="18" s="1"/>
  <c r="G42" i="18" l="1"/>
  <c r="G53" i="18" s="1"/>
  <c r="C51" i="18"/>
  <c r="G51" i="18" l="1"/>
  <c r="D18" i="19"/>
  <c r="C18" i="19"/>
  <c r="E8" i="19" l="1"/>
  <c r="G21" i="18" s="1"/>
  <c r="B18" i="19"/>
  <c r="C17" i="19"/>
  <c r="B17" i="19"/>
  <c r="D17" i="19"/>
  <c r="E18"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tc={F970F9E0-1709-44A4-8878-B7E44CDDCF22}</author>
  </authors>
  <commentList>
    <comment ref="A39" authorId="0" shapeId="0" xr:uid="{F970F9E0-1709-44A4-8878-B7E44CDDCF22}">
      <text>
        <t>[Threaded comment]
Your version of Excel allows you to read this threaded comment; however, any edits to it will get removed if the file is opened in a newer version of Excel. Learn more: https://go.microsoft.com/fwlink/?linkid=870924
Comment:
    Incluir a data que a PSAI foi colocada como Analisada pela 1ª vez</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7F73F27-D162-4848-86F2-CCC98DE48CE0}">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0D68E28-8F98-4370-9189-53C862C21EC1}">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F6D31899-0CCF-4B2C-A69F-94B691575DBB}">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45E8AC48-09D3-4804-8C3C-8339946B65B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61BEA3C2-36B9-4B7F-978F-EBA69E17E554}">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77E4A8F-5219-4DA6-8B50-0B8BB5DBB44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C0436F34-076F-44AC-8784-B3D1A9582947}">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A1EC174-3915-4B41-B941-5AFCA348F9E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2A39E5A5-DB21-4895-AB52-148BD51909C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sharedStrings.xml><?xml version="1.0" encoding="utf-8"?>
<sst xmlns="http://schemas.openxmlformats.org/spreadsheetml/2006/main" count="5899" uniqueCount="636">
  <si>
    <t>Área</t>
  </si>
  <si>
    <t>Analista</t>
  </si>
  <si>
    <t>Formulário</t>
  </si>
  <si>
    <t>Complexidade/tamanho</t>
  </si>
  <si>
    <t>Pontos UN</t>
  </si>
  <si>
    <t>Qtde mensal.</t>
  </si>
  <si>
    <t>Pontos mensal</t>
  </si>
  <si>
    <t>Contábil</t>
  </si>
  <si>
    <t>Junior</t>
  </si>
  <si>
    <t>SAL</t>
  </si>
  <si>
    <t>Baixa</t>
  </si>
  <si>
    <t>Média</t>
  </si>
  <si>
    <t xml:space="preserve">Alta </t>
  </si>
  <si>
    <t>Extra Alta</t>
  </si>
  <si>
    <t>Pleno</t>
  </si>
  <si>
    <t>Senior</t>
  </si>
  <si>
    <t>NE</t>
  </si>
  <si>
    <t>SAIL</t>
  </si>
  <si>
    <t>SAM</t>
  </si>
  <si>
    <t>Cadastro de Tipos</t>
  </si>
  <si>
    <t>Cadastro de Módulos</t>
  </si>
  <si>
    <t xml:space="preserve">Responsável </t>
  </si>
  <si>
    <t>Nível Analista</t>
  </si>
  <si>
    <t>Gestor</t>
  </si>
  <si>
    <t>Resp. SAI</t>
  </si>
  <si>
    <t>Nível</t>
  </si>
  <si>
    <t>Confirmar</t>
  </si>
  <si>
    <t>Bárbara Leite</t>
  </si>
  <si>
    <t>Jennifer</t>
  </si>
  <si>
    <t>Sim</t>
  </si>
  <si>
    <t>Onvio</t>
  </si>
  <si>
    <t>Bárbara Teixeira</t>
  </si>
  <si>
    <t>Giovani</t>
  </si>
  <si>
    <t>Não</t>
  </si>
  <si>
    <t>Escrita Fiscal</t>
  </si>
  <si>
    <t>Bruna Ferro</t>
  </si>
  <si>
    <t>Especialista</t>
  </si>
  <si>
    <t>Lais</t>
  </si>
  <si>
    <t>Importação</t>
  </si>
  <si>
    <t>Carolina Esmeraldino</t>
  </si>
  <si>
    <t>Patricia</t>
  </si>
  <si>
    <t>NFR</t>
  </si>
  <si>
    <t>Claudia Savois</t>
  </si>
  <si>
    <t>Victor</t>
  </si>
  <si>
    <t>Daniela Stupp</t>
  </si>
  <si>
    <t>Carolina</t>
  </si>
  <si>
    <t>Gabriely</t>
  </si>
  <si>
    <t>Fabio Sasso</t>
  </si>
  <si>
    <t>Richardson</t>
  </si>
  <si>
    <t>Cadastro Gestor</t>
  </si>
  <si>
    <t>Felipi Ferreira</t>
  </si>
  <si>
    <t>Mariana Sartori</t>
  </si>
  <si>
    <t>Flávia Cardoso</t>
  </si>
  <si>
    <t>Marielli Neves</t>
  </si>
  <si>
    <t>Giovani cunha</t>
  </si>
  <si>
    <t>Richardson Correia</t>
  </si>
  <si>
    <t>Jennifer Rodrigues</t>
  </si>
  <si>
    <t>Juliana Guizoni</t>
  </si>
  <si>
    <t>Vinicyos Maguns</t>
  </si>
  <si>
    <t>Laís Andrade</t>
  </si>
  <si>
    <t>Luciana Mercante</t>
  </si>
  <si>
    <t>Mateus Alves</t>
  </si>
  <si>
    <t>Patricia Costa</t>
  </si>
  <si>
    <t>Rafaela Ribeiro</t>
  </si>
  <si>
    <t>Renan Maiato</t>
  </si>
  <si>
    <t>Sabrine Neves</t>
  </si>
  <si>
    <t>Victor Ferreira</t>
  </si>
  <si>
    <t>Erick Vicente</t>
  </si>
  <si>
    <t>Rafaela Sampaio</t>
  </si>
  <si>
    <t>Laysa Gabriela</t>
  </si>
  <si>
    <t xml:space="preserve">Quantidade de SAI's Geradas: </t>
  </si>
  <si>
    <t>Quantidade de SAIs por Analista</t>
  </si>
  <si>
    <t>Quantidade de Tempos trabalhados</t>
  </si>
  <si>
    <t>Quantidade por Tipo e Analista</t>
  </si>
  <si>
    <t>Quantidade  de Pontos por Analista</t>
  </si>
  <si>
    <t>Total</t>
  </si>
  <si>
    <t>PSAI</t>
  </si>
  <si>
    <t>SAI</t>
  </si>
  <si>
    <t>Data da PSAI</t>
  </si>
  <si>
    <t>Pré-SAI</t>
  </si>
  <si>
    <t>Data Geração da SAI</t>
  </si>
  <si>
    <t>Tipo</t>
  </si>
  <si>
    <t>Módulo</t>
  </si>
  <si>
    <t>Descrição da PSAI</t>
  </si>
  <si>
    <t>Responsável</t>
  </si>
  <si>
    <t>Tempo</t>
  </si>
  <si>
    <t>Qtde Tramite</t>
  </si>
  <si>
    <t>Performance</t>
  </si>
  <si>
    <t>Total Geral</t>
  </si>
  <si>
    <t>Impacto em outros Módulos</t>
  </si>
  <si>
    <t>Dias para Gerar SAI</t>
  </si>
  <si>
    <t>Nível do Analista</t>
  </si>
  <si>
    <t>Pontos</t>
  </si>
  <si>
    <t>Gerente</t>
  </si>
  <si>
    <t>Data PSAI</t>
  </si>
  <si>
    <t>Data SAI</t>
  </si>
  <si>
    <t>Assunto</t>
  </si>
  <si>
    <t>Responsável PSAI</t>
  </si>
  <si>
    <t>Responsável  SAI</t>
  </si>
  <si>
    <t>Nivel</t>
  </si>
  <si>
    <t>Qtde Trâmite</t>
  </si>
  <si>
    <t>Outros Módulos</t>
  </si>
  <si>
    <t>Dias Gerar SAI</t>
  </si>
  <si>
    <t>Adequar o sistema para ao importar as informações do cálculo do INSS Receita Bruta considerando a Matriz com a nova opção de empresa centralizadora, devido à mudança na estrutura do CNPJ.</t>
  </si>
  <si>
    <t>Alterar o sistema para que as notas que estiverem no catálogo sejam escrituradas automaticamente.</t>
  </si>
  <si>
    <t>SC-Está sendo gerado indevidamente o 'Estorno do ICMS complementar' da apuração do imposto 1-ICMS nos quadros 09 e 14 da DIME, quando a empresa não tem o cálculo dos TTDs 409,410 e 411.</t>
  </si>
  <si>
    <t>Gravar no banco de dados o tempo de apuração de impostos para auxiliar no processo de monitorias.</t>
  </si>
  <si>
    <t>Estão duplicando os valores das notas no evento R-2010 do informativo EFD Reinf quando possui matriz e filial.</t>
  </si>
  <si>
    <t>Está gerando erro de banco de dados ao inserir um caminho inválido na geração do informativo SPED Fiscal.</t>
  </si>
  <si>
    <t>MG-Está sendo gerado o valor incorreto do campo "07-VL_ICMS" do registro C197 com código de ajuste MG23000999 do informativo SPED Fiscal, quando a empresa possuir o incentivo RET e no período houver nota lançada com o imposto 96-FEM-N, porém sem valor informado.</t>
  </si>
  <si>
    <t>BA-Não está sendo demonstrado na janela de apuração do imposto 1-ICMS a linha Recebimento por transferência de saldo credor - Art. 306. II, a, do RICMS", quando for efetuado lançamento de nota com valor de ICMS e CFOP 1-602.</t>
  </si>
  <si>
    <t>BA-Não está sendo emitido o relatório Demonstrativo do Crédito presumido de 20% para transportadora - Convênio ICMS 106/96.</t>
  </si>
  <si>
    <t>Está sendo deduzido indevidamente o valor da devolução lançada na empresa incorreta no evento R-2055 do relatório de conferência do reinf, quando as empresas possuirem lançamentos com o mesmo fornecedor e houver nota de devolução lançada.</t>
  </si>
  <si>
    <t>Em alguns casos está fechando o sistema ao emitir o demonstrativo do imposto 9-SUBTRI em mais de uma competência.</t>
  </si>
  <si>
    <t>RS-Não está sendo possível alterar a Base de Cálculo do imposto 27-ICMSA, quando efetuado o lançamento de uma nota fiscal de devolução de compras.</t>
  </si>
  <si>
    <t>MT-Não estão sendo consideradas notas de compra e devolução de compras no relatório "Apuração Crédito Presumido" referente ao incentivo Crédito outorgado PRODEIC, quando o acumulador de compra e/ou devolução de compra possuir selecionada a opção "Operação não vinculada ao crédito outorgado do PRODEIC Investe - Decreto 288/2019".</t>
  </si>
  <si>
    <t>Não estão sendo considerados corretamente na emissão do relatório do Planejamento Tributário os valores da 'Folha Projetada' e 'Folha Últimos 12 Meses (Simples Nacional)', quando o valor da folha é informado manualmente no botão 'Valores'.</t>
  </si>
  <si>
    <t>Criado opção para considerar no cálculo do Fator R, na opção 'Importar os valores efetivamente pagos no período', somente os valores que possuem base de cálculo de INSS e/ou FGTS.</t>
  </si>
  <si>
    <t>MG-Alterar o sistema para não deduzir as entradas do valor total das prestações de serviços de transporte rodoviário no Registro 1400 do SPED Fiscal.</t>
  </si>
  <si>
    <t>SP-Alterar o sistema para que permita incluir até 60 caracteres no campo "Nº do processo" na tela de informações adicionais de lançamentos estaduais.</t>
  </si>
  <si>
    <t>Atualizar a Tabela de Classificação Tributária IBS e CBS.</t>
  </si>
  <si>
    <t>Está chamando indevidamente o serviço antigo de notificações ao ativa uma empresa para utilizar o BOX-e.</t>
  </si>
  <si>
    <t>Ajustar o código quanto a emissão de notas de entrada com modelo "Nota Fiscal Fatura de Serviços de Comunicação Eletrônica, modelo 62".</t>
  </si>
  <si>
    <t>Realizar testes no botão 'Empresas' da tela do 'Extrator da DIRF' no módulo Escrita.</t>
  </si>
  <si>
    <t>Criar e integrar as contas contábeis e históricos entre DW Escrita e Onvio Contabilidade.</t>
  </si>
  <si>
    <t xml:space="preserve">	
RS-Adaptar o sistema para importação da NF-e conforme nova estrutura do site SEFAZ RS.</t>
  </si>
  <si>
    <t>Atualizar o BOX-e para aceitar NFS-e Padrão Nacional versão 1.01</t>
  </si>
  <si>
    <t>Em alguns casos está sendo apresentada indevidamente a mensagem "Não existem parâmetros cadastrados para esta empresa" ao gerar o arquivo do SPED Fiscal.</t>
  </si>
  <si>
    <t>Atualizar a API para aceitar NFS-e Padrão Nacional versão 1.01</t>
  </si>
  <si>
    <t>Não estão sendo mantidas as configurações feitas na janela de Rotinas Automáticas.</t>
  </si>
  <si>
    <t>GO-Não está sendo calculado o valor do crédito presumido COMEXPRODUZIR, quando no período possuir notas de entrada com mais de um produto informado.</t>
  </si>
  <si>
    <t>AL-Alterar o sistema para gerar o registro E113 no SPED Fiscal para os lançamentos de ajuste de impostos lançados com a operação "Outros créditos de ICMS".</t>
  </si>
  <si>
    <t>Ajustar a escrituração do crédito de PIS/Cofins sobre a importação quando escriturado como documento não fiscal.</t>
  </si>
  <si>
    <t>Implementar importação do imposto 38-COSIRF nas importações NFCom Arquivo XML.</t>
  </si>
  <si>
    <t>Não estão sendo enviadas as notificações ao armazenar os arquivos no BOX-e.</t>
  </si>
  <si>
    <t>Criação de casos de testes para a automação e registro de tempos com atividades gerais da versão de Fevereiro de 2026.</t>
  </si>
  <si>
    <t>Criação de backlog de SAIs antigas na versão de Fevereiro de 2026.</t>
  </si>
  <si>
    <t>SC-Ajustar o SPED Fiscal para não gerar o registro E200 e filhos para o imposto 69-ICMS ST Transportes quando a UF beneficiária for o RJ.</t>
  </si>
  <si>
    <t>Alterar a importação do imposto 25-CRF conforme a tag "tpRetPisCofins" do arquivo através da Importação NFS-e Arquivo XML - Padrão Nacional</t>
  </si>
  <si>
    <t>Realizar um estudo para mapear os principais processos pesados existentes na importação e identificar oportunidades de otimizações em etapas que estejam rodando de forma desnecessária para as importações NF-e, NFC-e e CT-e Arquivo XML (Ação PDCA).</t>
  </si>
  <si>
    <t>N</t>
  </si>
  <si>
    <t>Está considerando documento(s) cancelado(s) para o cálculo dos impostos 183-IBS e 184-CBS indevidamente, quando no sistema já existe lançamento regular com valor a recolher na mesma competência e a importação do(s) cancelamento(s) é realizada através do NF-e Arquivo XML.</t>
  </si>
  <si>
    <t>Ajustar o sistema para enviar as informações para a DIRBI conforme as alterações que ocorreram no site.</t>
  </si>
  <si>
    <t>Permitir gerar a guia DARF via Sicalcweb referente as impostos retidos informados na EFD-Reinf, quando no cadastro do imposto constar a periodicidade Mensal.</t>
  </si>
  <si>
    <t>Ajustar o comprovante anual para que gere os rendimentos isentos de distribuição de lucros e dividendos enviados na EFD-Reinf.</t>
  </si>
  <si>
    <t>Implementar rotina de distribuição de lucros e dividendos com retenção de IR e com envio das informações na EFD-Reinf.</t>
  </si>
  <si>
    <t>Alterar o sistema para demonstrar na tela "Resumo dos dados" e no relatório da guia "Registros a serem gravados" todos os 15 dígitos do campo "N° Documento" nas baixas de parcelas através da importação pelo Importador.</t>
  </si>
  <si>
    <t>Limitar a quantidade de notas enviadas para o Kolossus Auditor ao ativar uma empresa</t>
  </si>
  <si>
    <t>Permitir a emissão do relatório extrator da DIRF por beneficiário.</t>
  </si>
  <si>
    <t>Está permitindo importar NF3-e com deduções (cclass 590) indevidamente através da importação NF3-e Arquivo XML.</t>
  </si>
  <si>
    <t>Está demonstrando indevidamente a crítica de estrutura "O produto "%s" não possui o código "cClass Trib" informado no arquivo ou possui valor inválido para o imposto IBS/CBS. Será utilizado o código "000001 - Situações tributadas integralmente pelo IBS e CBS", mesmo quando cClass Trib está correto no arquivo Leiaute Domínio Sistemas com Separador.</t>
  </si>
  <si>
    <t>Refatorar o menu da Escrita.</t>
  </si>
  <si>
    <t>Atualizar a 'Tabela de Vínculo de NCM/NBS por cClassTrib' e o 'Classificador Tributário' conforme atualizações na tabela de correlação de serviço, NBS e cClassTrib da Receita Federal.</t>
  </si>
  <si>
    <t>Implementar no sistema opção para consultar e realizar a baixa dos impostos pela API Integra Contador</t>
  </si>
  <si>
    <t>Implementar novos logs no Busca NF-e Escritório para quando a nota for enviada pelo Busca NF-e Cliente e não recebida pelo Busca NF-e Escritório.</t>
  </si>
  <si>
    <t>PR-Gerar os valores agregados das Notas Fiscais de modelo 62 (NFCom) no registro 1400 utilizando o código PRCOMUNIC01, segregando os valores por município onde o serviço foi prestado.</t>
  </si>
  <si>
    <t>SP-Alterar o sistema para excluir o valor do IPI da base de cálculo do imposto 27-ICMSA na importação do Portal NF-e e NF-e Arquivo XML para empresas do Simples Nacional.</t>
  </si>
  <si>
    <t>SP-Alterar o sistema para excluir o valor do IPI da base de cálculo do imposto 27-ICMSA para empresas do Simples Nacional.</t>
  </si>
  <si>
    <t>Alterar o sistema para considerar a majoração de 10% no percentual de B.C. dos impostos IRPJ e CSLL do Lucro Presumido quando a receita anual ultrapassar o limite de R$ 5.000.000,00, cfe IN 2305/2025.</t>
  </si>
  <si>
    <t>AL-Alterar o sistema para considerar notas vinculadas ao código de recolhimento 50040 (FECOEP - ICMS ANTECIPADO) no campo "Pagamento FECOEP" da apuração do imposto 49-FECOEP.</t>
  </si>
  <si>
    <t>RO-Está finalizando o processo de importação na etapa 1/7 quando nas configurações está marcada a opção "Gerar informações complementares na nota conforme informado no(a): Nota" através do NF-e Arquivo XML e NF-e Portal.</t>
  </si>
  <si>
    <t>Alterar o sistema para segregar a receita e efetuar a distribuição do ISS excedente do Simples Nacional apenas para a parcela sem isenção da L.C. 116/2003.</t>
  </si>
  <si>
    <t>MA-Importar para o produto o crédito presumido estabelecimento atacadista por produto - Anexo 1.5, Art. 8 do RICMS.</t>
  </si>
  <si>
    <t>MA-Implementar o cálculo de crédito presumido estabelecimento atacadista por produto - Anexo 1.5, Art. 8 do RICMS.</t>
  </si>
  <si>
    <t>SP-Alterar o sistema para gerar os registros referentes as parcelas de apropriação de crédito do ativo permanente no e-CredRural, oriundos da integração com o "Módulo Patrimônio".</t>
  </si>
  <si>
    <t>SC-Alterar o cálculo do crédito presumido de bares, restaurantes e similares - TTD 1.076, para estornar os créditos de ICMS de forma proporcional.</t>
  </si>
  <si>
    <t>RJ-Alterar o sistema para considerar o valor do IPI no cálculo do crédito presumido previsto no Decreto 42.649/2010 quando o destinatário for consumidor final.</t>
  </si>
  <si>
    <t>Está ocorrendo erro de sistema ao importar nota com produtos do tipo "Veículos Usados" quando existe a tag "ICMSUFDest" para a nota e o produto já estiver cadastrado no sistema através da importação NF-e Web Service SEFAZ.</t>
  </si>
  <si>
    <t>Implementar filtros e relatórios na tela de listagem de NF-e API para visualizar melhor as notas conforme critérios do usuário.</t>
  </si>
  <si>
    <t>Incluir uma coluna na listagem de notas da API para demonstrar se a nota já está lançada no sistema.</t>
  </si>
  <si>
    <t>Está importando incorretamente o CFPS na nota quando o cliente é de outro município através do NFS-e Arquivo XML - Padrão Nacional.</t>
  </si>
  <si>
    <t>Criar os relatórios, tratar a contabilização e atualizar os acumuladores para o Imposto Seletivo-IS.</t>
  </si>
  <si>
    <t>Preparar o sistema para gerar a DEFIS 2026.</t>
  </si>
  <si>
    <t>Adequar o sistema para importar o cadastro da empresa com a nova opção de empresa centralizadora, devido à mudança na estrutura do CNPJ.</t>
  </si>
  <si>
    <t>Incluir opção para relacionar o acumulador ao cadastro de produtos na importação NFCom Arquivo XML.</t>
  </si>
  <si>
    <t>Alterar a forma do sistema buscar no SGD a confirmação se o cliente tem o módulo Reforma Tributária ativo.</t>
  </si>
  <si>
    <t>Está ocorrendo o erro de banco de dados "Algum dado não cadastrado!" ao gravar a importação quando a nota de serviço tomado possui mais de um item de serviço e os impostos 184-CBS e 185-CBS estiverem no acumulador através do NFS-e Arquivo XML - ABRASF.</t>
  </si>
  <si>
    <t>Realizar a importação dos impostos IBS e CBS conforme a reforma tributária através do Portal CT-e.</t>
  </si>
  <si>
    <t>Realizar a importação dos impostos IBS e CBS conforme a reforma tributária através do Portal NF-e.</t>
  </si>
  <si>
    <t>Refatorar e otimizar a geração dos arquivos de conferência R4010, R4020 e R4080 da EFD REINF.</t>
  </si>
  <si>
    <t>Ajustar a geração do arquivo MIT para que não sejam considerados os débitos com códigos igual a 560201 e 562901, referentes aos impostos 133-PIS Importação e 134-COFINS Importação.</t>
  </si>
  <si>
    <t>Permitir realizar importação de Lançamentos de Centro de Custos em lançamentos já existentes no sistema através do Leiaute Completo com Separador para saídas e serviços.</t>
  </si>
  <si>
    <t>Não estão sendo replicadas as informações das definições dos impostos inclusos no acumulador, quando criada uma nova vigência pelo utilitário 'Utilitários/Alterar Acumuladores/Inclusão de Impostos'.</t>
  </si>
  <si>
    <t>PI-Alterar a rotina de Anulação de CT-e e\ou CT-eOS conforme Ajustes Sinief nº 24/2022 e 31/2022.</t>
  </si>
  <si>
    <t xml:space="preserve">	
Incluir opção para relacionar o acumulador ao cadastro de Clientes e Fornecedores na importação NFCom Arquivo XML.</t>
  </si>
  <si>
    <t>SP-Alterar o sistema para gerar os documentos com espécie NFCom - modelo 62 no registro 1400 do SPED Fiscal.</t>
  </si>
  <si>
    <t>Implementar novos benefícios na DIRBI conforme IN RFB 2.294/2025.</t>
  </si>
  <si>
    <t>Criar a opção "Considerar como exceção a opção Todos das colunas para relacionamento do acumulador" para a guia "Saídas/Acumuladores" e "Entradas/Acumuladores" da importação NFCom Arquivo XML.</t>
  </si>
  <si>
    <t>Não está sendo gerado o valor dos impostos federais ao emitir o dashboard de impostos quando marcada a opção 'Realizar o pagamento discriminado por tributo' nos parâmetros.</t>
  </si>
  <si>
    <t>Não está realizando download de serviços cancelados no Padrão Nacional através do Busca NF-e.</t>
  </si>
  <si>
    <t>BA/RS/SC/SP-Ajustar a importação das notas modelo 'Nota Fiscal Fatura de Serviços de Comunicação Eletrônica, modelo 62'.</t>
  </si>
  <si>
    <t>BA/RS/SC/SP-Alterar o sistema para gerar a escrituração consolidada no SPED Fiscal, para o modelo 'Nota Fiscal de Fatura de Serviços de Comunicação Eletrônica (NFCom), modelo 62'.</t>
  </si>
  <si>
    <t>Corrigir as novas pendências nível "High" apresentadas pelo SNYK no servidor do Busca NF-e.</t>
  </si>
  <si>
    <t>Não estão sendo gerados os valores dos impostos CSLL e IRPJ calculados no módulo "Lalur" na janela de "Apuração dos Tributos Federais", quando no período possuir nota lançada para uma SCP.</t>
  </si>
  <si>
    <t>Em alguns casos está ocorrendo erro ao gerar o relatório de Comprovante Eletrônico de Rendimento para usuários diferente do gerente.</t>
  </si>
  <si>
    <t>Não está sendo setado o código de recolhimento correto no Comprovante Anual de Retenção, quando o código de recohimento do imposto for alterado pelo utilitário "Alterar Código de Recolhimento".</t>
  </si>
  <si>
    <t>Não está sendo gerado o código de recolhimento do imposto 16-IRRF no relatório "Comprovante Anual de Retenção", quando for gerada parcela já paga através do utilitário de Gerar Parcelas.</t>
  </si>
  <si>
    <t>Implementar a opção 'Não verificar a existência dos documentos nos lançamentos' na tela de configuração de importação para NFC-e Arquivo XML.</t>
  </si>
  <si>
    <t>Não está sendo gerado corretamente o Comprovante Anual de Retenção, quando os sócios não estiverem cadastrados como "Fornecedor" no sistema.</t>
  </si>
  <si>
    <t>Estão sendo geradas indevidamente notas sem o imposto 63-IRRF-APF no Comprovante de Rendimentos, quando o imposto possuir o fato gerador "63-IRRF-APF" e na emissão do relatório for selecionada a opção 'Gerar comprovante para rendimento sem retenção - IRRF-APF'.</t>
  </si>
  <si>
    <t>Realizar a importação a importação de NF-e e NFC-e fora do servidor de sessão no Domínio Web (Ação PDCA)</t>
  </si>
  <si>
    <t>Realizar testes na Escrita Fiscal no relatório do Extratos de DIRF.</t>
  </si>
  <si>
    <t>Não está sendo feito o cálculo correto dos impostos 6-CSLL, 7-IRPJ-LP, 110-CSLL/SCP e 111-IRPJ/SCP, quando os mesmos estão configurados com a periodicidade "Trimestral/Mensal" e houver no período majoração desses impostos para mais de uma atividade.</t>
  </si>
  <si>
    <t>Em alguns casos está ocorrendo erro de banco de dados ao realizar a apuração do período.</t>
  </si>
  <si>
    <t>RN-Realizar o cálculo de produtos da cesta básica para contribuintes do Regime atacadista do RN com alíquota de 2%, conforme definido no decreto 34.525/2025.</t>
  </si>
  <si>
    <t>Em alguns casos não está considerando o saldo credor anterior na apuração dos impostos 17-PIS-MP66 e 19-COFINS-N.</t>
  </si>
  <si>
    <t>Em alguns casos não está finalizando o processo de apuração pelas Rotinas automáticas.</t>
  </si>
  <si>
    <t>Ajustar a transmissão da DEFIS observando as alterações recentes da página.</t>
  </si>
  <si>
    <t>Em alguns casos está sendo gerado incorretamente o valor na linha 'Rendimento Não Tributável ou Isento do IRRF' do Extrator da DIRF ao emitir o relatório de mais de uma competência.</t>
  </si>
  <si>
    <t>Realizar a importação de NFS-e de cancelamento de serviços tomados através da NFS-e Arquivo XML - Padrão Nacional.</t>
  </si>
  <si>
    <t>Atualizar as bases legais dos Comprovantes Anuais de Retenção, substituindo a referência à IN revogada pelas normas vigentes.</t>
  </si>
  <si>
    <t>Adequar o uso definitivo de Certificado Digital A3 no Contábil.</t>
  </si>
  <si>
    <t>Atualizar a distribuição do Java no Contábil do JRE 8 para a distribuição JRE Zulu FX 17.</t>
  </si>
  <si>
    <t>Retirar do servidor de sessão as Threads responsáveis por inserir os XMLs no banco de dados para que posteriormente sejam enviados para o Kolossus Auditor. (Ação PDCA)</t>
  </si>
  <si>
    <t>Está sendo apresentada indevidamente a mensagem de erro "Código de atividade não é valido para a vigência atual dos parâmetros" nos parâmetros da empresa, quando incluído o CNAE 4781-4/00 em vigências posterior a 08/2018 para o cálculo do INSS Receita Bruta.</t>
  </si>
  <si>
    <t>Não está sendo demonstrada a guia DAS-MEI no calendário de vencimento do Portal do Cliente, quando a guia for publicada pela rotina automática.</t>
  </si>
  <si>
    <t>RJ-Em alguns casos não está sendo calculado corretamente o valor do crédito presumido referente ao Regime especial de tributação do ICMS - Política de Recuperação Industrial Regionalizada.</t>
  </si>
  <si>
    <t>Em alguns casos ocorre lentidão na apuração do período.</t>
  </si>
  <si>
    <t>RS-Não está sendo gerado corretamente o registro E113 e não está sendo gerado o registro 0150 no informativo SPED Fiscal, quando for efetuado um lançamento em "Impostos lançados" com o código de ajuste RS000009 ou RS000013 e não possuir nenhum fornecedor cadastrado.</t>
  </si>
  <si>
    <t>BA-Não está sendo demonstrado na apuração do imposto 1-ICMS a linha 'Estorno de créditos - Saídas isentas ou não tributadas - Art. 312, I do RICMS', quando a empresa está configurada para calcular o estorno de créditos de ICMS conforme Art. 312 e houver apuração do ICMS conforme tributação monofásica conforme Convênios de ICMS 199/2022 e 15/2023.</t>
  </si>
  <si>
    <t>SC-Ajustar os percentuais do Crédito Presumido ao estabelecimento abatedor de gado bovino - An2,Art. 16, conforme Lei nº 19.391/2025.</t>
  </si>
  <si>
    <t>Alterar comportamento do sistema na emissão do relatório do classificador tributário para ajustar o detalhamento dos NCM's de gás para monofásico e combustível.</t>
  </si>
  <si>
    <t>Corrigir a mensagem de confirmação de assinatura digital No Demonstrativo de Faturamento para direcionar validação ao GOV.</t>
  </si>
  <si>
    <t>Realizar os testes no Web Service e Busca NF-e após a migração do SO dos servidores do DA de AmazonLinux2 para AmazonLinux2023.</t>
  </si>
  <si>
    <t>Não está sendo realizado o download de NFS-e cancelada quando o NSU do cancelamento for inferior à nota regular através do Busca NF-e.</t>
  </si>
  <si>
    <t>Implementar um timer de 3 segundos entre uma consulta e outra para evitar sobrecarga no consumo do Web Service de download da NFS-e.</t>
  </si>
  <si>
    <t>Adequar a importação dos impostos retidos conforme a NT N° 007 para NFS-e Padrão Nacional.</t>
  </si>
  <si>
    <t>Realizar um estudo para evitar o aumento excessivo da tabela referente ao catálogo de notas no sistema.</t>
  </si>
  <si>
    <t>GO-Alterar o sistema para que o 'Crédito presumido PROTEGE' e os lançamentos realizados em 'Movimentos/Outros/Impostos Lançados/Estadual' com a opção 'Operação incentivada pelo Programa PROGOIÁS', sejam considerados no cálculo do 'Crédito outorgado nas operações com PROGOIÁS'.</t>
  </si>
  <si>
    <t>Está ocorrendo erro de banco de dados ao realizar importação de NFS-e substituta e substituída ao mesmo tempo quando parâmetros existem os impostos IBS e CBS mas no acumulador das notas não possui através do NFS-e Arquivo XML - Padrão Nacional.</t>
  </si>
  <si>
    <t>Alterar o sistema para realizar os ajustes referente a majoração de 10% no percentual de B.C. dos impostos IRPJ e CSLL do Lucro Presumido quando a receita ultrapassar o limite anual de R$ 5.000.000,00, cfe IN RFB nº 2.306/2026.</t>
  </si>
  <si>
    <t>Em alguns casos está ocorrendo erro na execução do exporta/importa referente a tabela 'EFIMPORTADOR_FIXO_SPED_FISCAL_ESPECIE'.</t>
  </si>
  <si>
    <t>RS-Não está sendo gerado corretamente o totalizador referente ao registro C113 no informativo SPED Fiscal, quando a nota de entrada for referenciada mais de uma vez em mais de um segmento na guia "Documentos referenciados" do lançamento de saída.</t>
  </si>
  <si>
    <t>Está sendo demonstrado indevidamente fornecedor com inscrição CNPJ no relatório de Pessoa Física do Comprovante Anual de Retenção, quando um fornecedor CNPJ for informado na guia "Rendimentos Isentos" do informativo Reinf.</t>
  </si>
  <si>
    <t>Está sendo apresentada indevidamente a mensagem "A distribuição de lucros e dividendos para o(s) beneficiário(s) 'xxx.xxx.xxx-xx' residente(s) no Brasil, ultrapassou o montante de 50.000,00. Se o lucro não foi apurado até 31/12/2025 as informações deverão ser lançadas na tela 'Outros Lançamentos de Lucros e Dividendos Tributáveis'", quando na guia "Rendimentos Isentos" do botão "Outros Dados" do informativo EFD-Reinf houver mais de uma linha informada para meses diferentes em que a soma dessas linhas for maior que 50.000,00.</t>
  </si>
  <si>
    <t>Alterar o sistema para considerar a majoração de 10% no %CSLL e %IRPJ no planejamento tributário e no simulador da reforma para o Lucro Presumido quando a receita anual ultrapassar o limite de 5.000.000,00, cfe IN RFB nº 2.305/2025.</t>
  </si>
  <si>
    <t>Criação de casos de testes para a automação e registro de tempos com atividades gerais da versão de Março de 2026.</t>
  </si>
  <si>
    <t>Alterar o tratamento para o retorno 500 nos envios para o Kolossus Auditor para aumentar o tempo e quantidade de tentativas.</t>
  </si>
  <si>
    <t>Está importando incorretamente a alíquota do ISS na guia "Itens" da nota quando selecionada a opção "Considerar as definições do imposto ISS do cadastro do acumulador" através da importação NFS-e Arquivo XML - ABRASF.</t>
  </si>
  <si>
    <t xml:space="preserve">	
Realizar um estudo para mapear os principais processos pesados existentes na importação e identificar oportunidades de otimizações em etapas que estejam rodando de forma desnecessária para as importação NF3-e Arquivo XML.</t>
  </si>
  <si>
    <t>Criar monitorias de desenvolvimento e enviar dados para o DataDog referente as implementações da Reforma Tributária.</t>
  </si>
  <si>
    <t>Criar ferramenta para precificação de produtos e serviços</t>
  </si>
  <si>
    <t>Realizar a importação do Imposto Seletivo-IS conforme a reforma tributária através da NF-e Arquivo XML.</t>
  </si>
  <si>
    <t>Em alguns casos está ocorrendo erro na execução do exporta/importa referente a tabela 'EFIMPORTADOR_FIXO_NFCOM_ENTRADA_CST_CSOSN'.</t>
  </si>
  <si>
    <t>RO-Ajustar a importação para empresas que possuem nota fiscal de transferência de crédito de ICMS com CFOP 5.601</t>
  </si>
  <si>
    <t>RO-Implementar a transferência de créditos gerando o código de ajuste RO000015 no SPED Fiscal, conforme IN 33/2018 e Art. 28 e 30, do Anexo XI do RICMS/RO.</t>
  </si>
  <si>
    <t>Não está realizando download de serviços tomados cancelados através do Padrão Nacional no Busca NF-e.</t>
  </si>
  <si>
    <t>Implementar o arquivo de envio do 'Evento: 211120 - Destinação de item para consumo pessoal - Emitente/Destinatário' para apuração assistida, conforme LC 214/2025 e Nota técnica 2025.002 v.1.34</t>
  </si>
  <si>
    <t>Implementar a tela para envio do 'Evento: 211120 - Destinação de item para consumo pessoal' conforme LC 214/2025 e NT 2025.002_v1.34.</t>
  </si>
  <si>
    <t>Gerar as informações dos impostos 183-IBS e 184-CBS na inclusão do item nas notas através do utilitário 'Gerar item nas Notas de Serviços'.</t>
  </si>
  <si>
    <t>Criar um utilitário para alteração dos produtos no movimento das notas para o cálculo dos impostos 183-IBS e 184-CBS.</t>
  </si>
  <si>
    <t>RS- Alterar a importação do imposto 27-ICMSA para cálculo em empresa do regime Normal, quando o fornecedor for do Simples Nacional</t>
  </si>
  <si>
    <t>Otimizar a apuração do imposto 145-ICMS DIFAL - Não Contribuinte por nota.</t>
  </si>
  <si>
    <t>Criar opção de unificar o cadastro de produtos duplicados no utilitário 'Alterar produtos'.</t>
  </si>
  <si>
    <t>Alterar o sistema para aceitar o arquivo da NFS-e Padrão Nacional quando possuir a tag raiz "ListaNfseCompetencia" para importação em lote.</t>
  </si>
  <si>
    <t>Alterar a arquitetura do processo de execução das Rotinas Automáticas para operar fora da instância do usuário no Domínio Web.</t>
  </si>
  <si>
    <t>RN-Alterar o percentual de crédito nas aquisições de produtos da indústria local conforme o Decreto 35.079/25, no cálculo do Regime especial do ICMS aos contribuintes atacadistas.</t>
  </si>
  <si>
    <t>Realizar testes em todos os processos/serviços da escrita que utilizam certificado digital após a implementação da funcionalidade de centralização de certificados.</t>
  </si>
  <si>
    <t>Ajustar a mensagem emitida na guia "Rendimentos isentos" da EFD Reinf referente a tributação dos lucros a partir de 50 mil.</t>
  </si>
  <si>
    <t>RS-Alterar o sistema para que atualize as vigências dos códigos do anexo VA e VB.</t>
  </si>
  <si>
    <t>SP-Está importando incorretamente a base de cálculo e o valor do imposto 8-DIFALI quando realizado a importação dos arquivos simultaneamente através do NF-e Arquivo XML.</t>
  </si>
  <si>
    <t>Importar os dados da entrega das saídas conforme os arquivos XML e Portal, quando configurado para Informar dados do frete.</t>
  </si>
  <si>
    <t>SP-Alterar o sistema para realizar o cálculo dos impostos 145-DIFAL NC e 146-FCP considerando como UF destino o local da entrega e não a UF do cliente.</t>
  </si>
  <si>
    <t>Incluir a opção de importar os valores da folha de pagamento informados no extrato do Simples Nacional diretamente do PGDAS.</t>
  </si>
  <si>
    <t>RJ-Alterar o sistema para não calcular o estorno do crédito presumido RIOLOG - Lei 9.025/2020 quando houver base de cálculo reduzida e CFOP iniciado em 2-XXX.</t>
  </si>
  <si>
    <t>Não permitir a replicação de clientes e fornecedores quando na empresa destino existir lançamentos de notas utilizando estes mesmos clientes e/ou fornecedores.</t>
  </si>
  <si>
    <t>Apoio em auxilio na demanda da POC do visual expert ao time do Plataforma.</t>
  </si>
  <si>
    <t>Incluir o CNAE 8220-2/00 nos parâmetros para cálculo do INSS Receita Bruta.</t>
  </si>
  <si>
    <t>MG-Alterar a escrituração das notas fiscais de recebimento de saldo credor de ICMS de outro estabelecimento da mesma empresa, com CFOP 1.602.</t>
  </si>
  <si>
    <t>Estão sendo excluídas indevidamente as configurações das guias "PIS/COFINS\Saídas\Geral" e "PIS/COFINS\Entradas\Geral", quando for criada uma nova vigência no cadastro do produto através do utilitário "Alterar Produtos para Cálculo de PIS e COFINS" com a mesma data de uma vigência que já existe e for selecionada a opção "Alterar somente o Tipo de Contribuição".</t>
  </si>
  <si>
    <t>RS-Alterar o cálculo do imposto 27-ICMSA com fornecedor optante pelo Simples Nacional, para considerar a alíquota interestadual conforme a origem da mercadoria.</t>
  </si>
  <si>
    <t>Implementar a geração dos benefícios da DIRBI pela API integra contador, conforme IN 2.294/2025.</t>
  </si>
  <si>
    <t>Não está sendo gerado o relatório do Classificador Tributário, quando for informado um NBS/NCM que não esteja relacionado na tabela.</t>
  </si>
  <si>
    <t>RS- Alterar a importação do imposto 8-DIFALI para cálculo de empresa Normal, quando o fornecedor for do Simples Nacional</t>
  </si>
  <si>
    <t>RS-Alterar o cálculo do imposto 8-DIFALI por produto, referente a aquisição de fornecedores do simples nacional para considerar a alíquota interestadual.</t>
  </si>
  <si>
    <t>Está ocorrendo erro de sistema ao gravar uma nota de Entrada, quando na guia "Estoque" for incluída a informação do "Valor" e logo em seguida for gravada a nota.</t>
  </si>
  <si>
    <t>Está sendo demonstrada indevidamente a guia "IVA" no utilitário de "Alterar Notas de Serviço".</t>
  </si>
  <si>
    <t>Estão sendo demonstrados incorretamente os impostos 183-IBS e 184-CBS no relatório "Resumo dos Impostos".</t>
  </si>
  <si>
    <t>Está sendo apresentada indevidamente a mensagem "Não pode existir vigências diferentes no(s) parâmetros entre a data de pagamento e da parcela e a data da nota" ao realizar a baixa de uma parcela, quando a data de pagamento for anterior a data e emissão da nota e nos parâmetros possua vigência diferente na data de lançamento e pagamento da nota.</t>
  </si>
  <si>
    <t>RS-Está sendo considerada indevidamente a nota de apropriação de crédito de ICMS na aquisição de combustíveis para insumos - Livro II, Art. 26 no lançamento de zeramento na integração contábil do ICMS.</t>
  </si>
  <si>
    <t>Está sendo aberta indevidamente a janela F2 no campo "Beneficiário" da guia "Rendimentos Isentos" do informativo Reinf.</t>
  </si>
  <si>
    <t>Realizar testes nas importações que utilizam certificado digital após a implementação da funcionalidade de centralização de certificados.</t>
  </si>
  <si>
    <t>RJ-Está importando incorretamente o valor do imposto 56-FECOP-SI (lançado por nota), quando no acumulador da nota não possui informado o imposto 55-FECOP-N através do NF-e Arquivo XML.</t>
  </si>
  <si>
    <t>Não está retornando o CNPJ do Contador que o cliente está vinculado ao realizar a etapa de confirmação do cliente no processo de autenticação da API</t>
  </si>
  <si>
    <t>Alterar o sistema para que seja possível informar a chave das notas modelo 62 nos lançamentos de ajuste e gerar no registro E113 do SPED.</t>
  </si>
  <si>
    <t>Não está sendo gerado o Comprovante Eletrônico de Rendimentos e/ou Comprovante Anual de Retenção, quando no período possuir rendimento isento informado para o sócio no EFD-Reinf, porém não possuir um 'Fornecedor' cadastrado com o mesmo CPF do sócio.</t>
  </si>
  <si>
    <t>SP-Estão sendo gerados indevidamente os registros 0460, C195 e C197 com código de ajuste SP90090104 no informativo SPED Fiscal.</t>
  </si>
  <si>
    <t>SC-Alterar os percentuais do Crédito Presumido ao estabelecimento abatedor de gado bovino - An2,Art. 16, conforme Lei nº 19.391/2025.</t>
  </si>
  <si>
    <t>RJ-Incluir data fim e alterar a descrição de alguns códigos de ajuste do SPED Fiscal da tela de impostos lançados estaduais para estorno de débitos.</t>
  </si>
  <si>
    <t>Permitir deduzir o valor de Despesas Acessórias na Base de Cálculo do PIS e COFINS na importação de notas de Entradas e Saídas.</t>
  </si>
  <si>
    <t>Permitir a dedução dos valores de despesas acessórias da base de cálculo dos impostos PIS e COFINS no regime cumulativo para as notas de saída.</t>
  </si>
  <si>
    <t>Garantir o comportamento na tela Consulta Apuração de Tributos federais observando as novas soluções de IA referente a diferença do INSS no módulo Folha.</t>
  </si>
  <si>
    <t>Realizar testes na importação de baixa de impostos da conta azul após as correções dos problemas abordados na SAI 99382 do Domínio Plataforma.</t>
  </si>
  <si>
    <t>Realizar testes após a criação do conjunto de servidores do RabbitMQ específico ao SocketServices.</t>
  </si>
  <si>
    <t>Garantir a correção do problema na reidratação de lançamentos contábeis do Conta Azul e revisar processo de importação via websocket.</t>
  </si>
  <si>
    <t>Está ocorrendo o erro de banco de dados ao alterar uma nota de serviço através do utilitário de alteração de notas, quando for alterada a situação para "Documento cancelado".</t>
  </si>
  <si>
    <t>Investigar e eliminar o consumo indevido do serviço Documents pelo Manifestador de NF-e.</t>
  </si>
  <si>
    <t>SP-Está sendo deduzido indevidamente as notas com espécie de comunicação e telecomunicação lançadas com CFOPs 1-301/2-301/3.301 do código SPDIPAM25 na janela de Valores Agregados do informativo SPED Fiscal.</t>
  </si>
  <si>
    <t>Está habilitando e apresentado o erro "Página não encontrada. Código do erro: 404" indevidamente, quando o usuário não tem permissão para acessar o menu "Manifestação de NF-e".</t>
  </si>
  <si>
    <t>Realizar estudos a fim de minimizar crescimento dos arquivos temporários de banco de dados durante o processo de geração do relatório EFD Contribuições.</t>
  </si>
  <si>
    <t>Ajustar o sistema para observar as alterações recentes do MIT no site.</t>
  </si>
  <si>
    <t>Emitir o demonstrativo dos impostos e demonstrativo EFD PIS e COFINS nas rotinas automáticas.</t>
  </si>
  <si>
    <t>SP-Importar para o produto o crédito outorgado de ICMS nas saídas internas de carne - Art. 40 do Anexo III do RICMS.</t>
  </si>
  <si>
    <t>SP-Implementar o cálculo do crédito outorgado de ICMS nas saídas internas de carne - Art. 40 do Anexo III do RICMS.</t>
  </si>
  <si>
    <t>SC-Em alguns casos está ocorrendo diferença entre a soma do valor do campo 07 do registro C197 e o valor do campo 07 do registro E110, ocasionando erro ao validar o SPED Fiscal.</t>
  </si>
  <si>
    <t xml:space="preserve"> </t>
  </si>
  <si>
    <t>MA-Está sendo apresentada indevidamente a mensagem "Para efetuar o cálculo do crédito presumido estabelecimento atacadista - Anexo 1.5, Art. 8 do RICMS por produtos, deve selecionar a opção nos parâmetros." ao gravar uma configuração de "Dados de Impostos por NCM/CEST e NBS", quando a empresa possuir configurada a opção "Definir os dados de impostos no cadastro de produtos conforme NCM/CEST e NBS" e o crédito presumido "Indústria de laticínios - Anexo 1.5, Art. 5 do RICMS" por produto, porém houver uma vigência em que o cálculo desse crédito presumido for por nota.</t>
  </si>
  <si>
    <t>Rotinas Automáticas - Competência seguinte à execução - Mudanças Crédito do Trabalhador - Folha</t>
  </si>
  <si>
    <t>Adequar o sistema para considerar a nova opção de empresa centralizadora na geração de guias federais referentes a impostos, encargos e tributos federais, em função da mudança na estrutura do CNPJ.</t>
  </si>
  <si>
    <t>Alterar o sistema para calcular o valor dos contratos de Empresas Simples de Crédito utilizando Juros Pré-Fixados.</t>
  </si>
  <si>
    <t>SC-Não está sendo gerado o valor correto no item 198 do quadro 14 do informativo DIME emitido em arquivo e relatório, quando a empresa é consolidadora e na sub-apuração do imposto '1-ICMS' recebe da filial transferência de débitos referente ao cálculo do TTD 409, 410 e 411.</t>
  </si>
  <si>
    <t>Em alguns casos estão sendo sobrescritas contas patrimoniais de cliente e fornecedores através do utilitário "Alterar Cadastros de Cliente e Fornecedor - Contas Contábeis"</t>
  </si>
  <si>
    <t>Está habilitando indevidamente a guia "Relacionamento de produtos" no resumo de dados quando nas configurações do campo "Quando o produto a ser importado não estiver cadastrado" estiver selecionado a opção "Utilizar tabela de relacionamento" e o produto já estiver cadastrado no sistema através do NF-e XML.</t>
  </si>
  <si>
    <t>PA-Não está sendo importado o código de recolhimento do imposto 31-ST/AT por produto quando selecionado a opção "Importar a Base de Cálculo, Alíquota e Valor do ICMS Antecipação Total - ST através do registro C197 conforme ajustes:" nas configurações através do SPED Fiscal.</t>
  </si>
  <si>
    <t>Não está gerando o registro D750 no arquivo SPED Fiscal quando a nota é importada através do NFCom Arquivo XML.</t>
  </si>
  <si>
    <t>Em alguns casos não estão sendo gerados todos os registros D197 no arquivo do SPED Fiscal.</t>
  </si>
  <si>
    <t>Em alguns casos está ocorrendo erro de banco de dados ao gravar um lançamento na janela "Outros Lançamentos e Lucros e Dividendos Tributáveis" que possua lançamentos contábeis.</t>
  </si>
  <si>
    <t>Em alguns casos não está sendo gerado corretamente o arquivo do SPED Fiscal.</t>
  </si>
  <si>
    <t>Está sendo gerado o valor incorreto na linha "5.Lucros e dividendos, apurados a partir de 1996, pagos por pessoa jurídica (lucro real, presumido ou arbitrado) no relatório de Comprovante de Rendimentos, quando for feito um lançamento de rendimento isento para um sócio e esse sócio estiver cadastrado como Fornecedor com mais de uma Inscrição Estadual informada.</t>
  </si>
  <si>
    <t>Otimizar a apuração do imposto 69-ST-TRANS por nota.</t>
  </si>
  <si>
    <t>Corrigir as pendências de vulnerabilidade high no servidor do Busca NF-e.</t>
  </si>
  <si>
    <t>MT-Está desmarcando automaticamente a opção "Acesso ao portal - SEFAZ" ao gravar o cadastro de contadores.</t>
  </si>
  <si>
    <t>RS-Alterar o sistema para que seja gerado o registro E311 do SPED Fiscal pelo lançamento de ajuste de Outros créditos para o imposto 145-DIFAL NC.</t>
  </si>
  <si>
    <t>MT-Ajustar a escrituração das operações de devoluções de mercadorias do ativo imobilizado/uso e consumo, cuja entrada ocorreu sem aproveitamento de crédito de ICMS.</t>
  </si>
  <si>
    <t>Adequar o sistema para considerar a nova opção de empresa centralizadora na geração de Informativos, em função da mudança na estrutura do CNPJ.</t>
  </si>
  <si>
    <t>RO-Estão sendo gerados indevidamente valores nas colunas "Valores Cotábeis", "Base de Cálculo", "Isentas ou Não Tributadas" e "Outras" do livro "Registro de ICMS" modelos P9-I e P9-II, quando no período houver lançamento de saída com CFOP 5-601, acumulador configurado com a opção "Nota de transferência de crédito de ICMS-Itens 39 e 40 da IN 33/2018" e com valor informado em valor contábil, base de cálculo ou isentas e outras.</t>
  </si>
  <si>
    <t>SP-Estão sendo gerados indevidamente os registros 0300 e 5220 no informativo e-CredRural, quando no período possuir lançamento de nota de entrada com espécie diferente de transporte e comunicação/telecomunicação e que não possua estoque informado.</t>
  </si>
  <si>
    <t>Não está sendo gerada a data correta no campo "Data" do relatório "Comprovante eletrônico de rendimentos", quando no campo "Data de emissão" da janela de geração do relatório for informada uma data diferente da data do computador.</t>
  </si>
  <si>
    <t>DF-Não está sendo gerado corretamente o registro C197 com o código de ajuste DF71000558 no informativo SPED Fiscal, quando possuir lançamento com o imposto 56-FECOP-SI e o cálculo do adicional do Fundo de Combate a Pobreza estiver configurado como "Produtos".</t>
  </si>
  <si>
    <t>Em alguns casos está ocorrendo erro de banco de dados ao atualizar o sistema para a versão 10.6A-03.</t>
  </si>
  <si>
    <t>MT-Está sendo apresentada indevidamente a mensagem "Código de Ajuste no SPED não está vigente na data informada!" ao gravar um lançamento na janela "Lançamento de Valores Declaratórios de ICMS", quando for informado o código de ajuste no SPED MT001002 ou MT001154 em data que esses códigos estão vigentes.</t>
  </si>
  <si>
    <t>Não estão sendo considerados os valores da empresa filial no Comprovante Anual de Retenções, quando possuir na filial apenas notas lançadas com valor de base e sem valor de imposto.</t>
  </si>
  <si>
    <t>SP-Liberar as tabelas do "Estoque Substituição Tributária - Produtos Excluídos do Regime ST" para que seja possível importar via importador essas informações.</t>
  </si>
  <si>
    <t>Gravar no banco de dados o tempo de geração do SPED Fiscal para auxiliar nas análises de Performance.</t>
  </si>
  <si>
    <t>Ajustar a importação do CT-e e CT-eOS quando o CT-e Substituto for com competência de emissão/saída posterior a competência de emissão/saída do CT-e Normal.</t>
  </si>
  <si>
    <t>Atualizar a tabela de NCM conforme Ato Declaratório Executivo RFB N° 001, de 30 de Janeiro de 2026.</t>
  </si>
  <si>
    <t>Alterar o sistema para considerar a dedução do CT-e substituto no cálculo do Simples Nacional na competência do CT-e Normal, e considerar o CT-e substituto no período de apuração do CT-e Normal.</t>
  </si>
  <si>
    <t>MS-Alterar o sistema para gerar os ajustes MS10080000 e MS010011 no SPED Fiscal, para o Crédito Outorgado nas Operações Interestaduais com Milho, conforme a Resolução SEFAZ 3497/2026.</t>
  </si>
  <si>
    <t>Ajustar o sistema para que consiga seguir no captcha do portal na DEFIS no Domínio Web.</t>
  </si>
  <si>
    <t>Realizar testes no processo de Rotinas Automáticas na Escrita Fiscal.</t>
  </si>
  <si>
    <t>Remover todas as referências do Domínio Atendimento no Domínio Escrita.</t>
  </si>
  <si>
    <t>Implementar a opção "Adicionar o valor do Fundo de Combate a Pobreza ao valor do ICMS" na importação NFCom - Arquivo XML.</t>
  </si>
  <si>
    <t>Adequar o sistema para considerar a nova opção de empresa centralizadora no submenu Parâmetros, com a nova na estrutura do CNPJ.</t>
  </si>
  <si>
    <t>Em alguns casos não está sendo feito o cálculo correto do imposto 7-IRPJ.</t>
  </si>
  <si>
    <t>SC-Em alguns casos não está sendo gerado o valor correto nos itens 040 e 199 do quadro 14 do informativo DIME.</t>
  </si>
  <si>
    <t>Alterar o sistema para não deduzir a retenção de CSLL no campo 04 do registro F600, quando o fato gerador das retenções é a 'Data de Pagamento'.</t>
  </si>
  <si>
    <t>Importar as alíquotas do imposto 28-FUNRURAL aplicando a majoração de 10% conforme a LC 224/2025.</t>
  </si>
  <si>
    <t>Alterar a alíquota do imposto 28-FUNRURAL aplicando a majoração de 10% conforme a LC 224/2025.</t>
  </si>
  <si>
    <t>Importar as informações do Profissional-parceiro através da importação NFS-e Arquivo XML - Padrão Nacional.</t>
  </si>
  <si>
    <t>Desativar o módulo Escrita Fiscal do Onvio.</t>
  </si>
  <si>
    <t>Permitir a importação dos impostos IBS e CBS para as notas de entrada e saída via importador.</t>
  </si>
  <si>
    <t>Não está sendo demonstrado a sigla do imposto no relatório de retenções a recolher, quando a empresa é Matriz/Filial e as opções 'Imposto por fornecedor' e "Detalhar por filial" estão selecionadas para a geração do relatório.</t>
  </si>
  <si>
    <t>Ajustar o relatório de comprovante anual de retenção, comprovante eletrônico e relatório de retenções a recolher para que seja possível fazer filtro por sócio.</t>
  </si>
  <si>
    <t>Não está gerando os valores de IPI para alguns produtos na guia "Estoque" quando no arquivo existem itens com o mesmo código, descrição e possuir produtos com "Cálculo por Unidade de medida" através do NF-e Arquivo XML.</t>
  </si>
  <si>
    <t>SC-Está sendo gerado incorretamente a integração contábil do zeramento do imposto 1-ICMS, quando a empresa possuí Crédito Presumido Confecção Art. 15, XXXIX - TTD 372 e há operações de estorno de crédito decorrentes da devolução do benefício do crédito presumido.</t>
  </si>
  <si>
    <t>Implementar o envio do 'Evento: 112130 - Perecimento, perda, roubo ou furto durante o transporte contratado pelo fornecedor' conforme LC 214/2025 e NT 2025.002_v1.34.</t>
  </si>
  <si>
    <t>SC-Não está sendo gerado o registro 1921 com o código de ajuste SC004001 no SPED Fiscal, quando a empresa é consolidadora e na sub-apuração do imposto '1-ICMS' recebe da filial transferência de débitos referente ao cálculo do TTD 409, 410 e 411.</t>
  </si>
  <si>
    <t>Realizar a importação dos impostos IBS e CBS para guia 'IVA' através da NFS-e Arquivo XML - Padrão Nacional, NFS-e Arquivo XML - Padrão ABRASF e Leiaute Domínio Sistemas com Separador.</t>
  </si>
  <si>
    <t>Implementar o envio do 'Evento: 211124 - Perecimento, perda, roubo ou furto durante o transporte contratado pelo adquirente' conforme LC 214/2025 e NT 2025.002_v1.34.</t>
  </si>
  <si>
    <t>Incluir o filtro "Todos os arquivos (*.*)" quando o tipo de importação for XML através do Importador.</t>
  </si>
  <si>
    <t>Alterar o cálculo dos impostos 183-IBS e 184-CBS para os lançamentos de NFS-e.</t>
  </si>
  <si>
    <t>Realizar a importação do Imposto Seletivo-IS conforme a reforma tributária através da NFC-e Arquivo XML.</t>
  </si>
  <si>
    <t>Realizar melhorias nas rotinas de gravação do XML no banco de dados visando a correção dos problemas encontrados na SAI de estudo 93120.</t>
  </si>
  <si>
    <t>Realizar melhorias nas rotinas de baixa, inserção e consulta de notas no servidor do Busca NF-e visando a correção dos problemas encontrados na SAI de estudo 93120.</t>
  </si>
  <si>
    <t>Está sendo gerado indevidamente a mensagem 'O relatório deve ser emitido na empresa Matriz' no Relatório Demonstrativo, quando gerado o relatório pela Filial e os impostos "183-IBS" e "184-CBS" estiverem junto com mais algum imposto na seleção.</t>
  </si>
  <si>
    <t>SC-Em alguns casos não está sendo gerado o registro C197 com código de ajuste SC50000002 no informativo SPED Fiscal para alguns produtos.</t>
  </si>
  <si>
    <t>SP-Está sendo direcionada para a janela de emissão da guia incorreta do ICMS, quando emitida a guia pelo botão "Emitir guia..." da apuração.</t>
  </si>
  <si>
    <t>Em alguns casos está ocorrendo lentidão ao gerar o informativo EFD Contribuições.</t>
  </si>
  <si>
    <t>SP-Importar o Código do Benefício Fiscal na guia Estoque das notas fiscais de entradas e saídas.</t>
  </si>
  <si>
    <t>SP-Implementar o campo Código de Benefício Fiscal (cBenef) informado em NF-e e NFC-e.</t>
  </si>
  <si>
    <t>Não estão sendo excluídos os lançamentos contábeis, estoque e parcelas das notas canceladas através das importações "NF-e API, NF-e Domínio Atendimento, Domínio Atendimento Listagem, Painel API, NFCe Web Service SEFAZ RS Listagem e CTE Portal RS".</t>
  </si>
  <si>
    <t>Está sendo apresentada indevidamente a mensagem "A soma dos campos 'Valor fornecido/consumo', 'Valor de despesas acessórias' e 'Valor cobrado para terceiros' deve ser igual ao valor contábil da nota" nas notas de Entrada e Saída com espécie Nota Fiscal de Energia Elétrica Eletrônica, modelo 66, quando houver valores nos campos 'Valor fornecido/consumido', 'Valor de despesas acessórias', 'Valor cobrado para terceiros' e 'Deduções', e na gravação do lançamentos não está fazendo a validação do campo "Deduções" diminuindo dos demais campos.</t>
  </si>
  <si>
    <t>MS-Alterar o sistema para adequação às novas IE's do estado do Mato Grosso do Sul.</t>
  </si>
  <si>
    <t>Gerar os registros C500 e C600 para notas modelo 'Nota Fiscal da Água e Saneamento Eletrônica, modelo 75' no EFD Contribuições, conforme a nota técnica 11/2026.</t>
  </si>
  <si>
    <t>Ajustar a ferramenta de envio de documentos para o catálogo para ser possível enviar notas de serviços prestados tomados e cancelados no modelo NFS-e Padrão Nacional com origem Busca NF-e.</t>
  </si>
  <si>
    <t>Inibir a importação de grandes lotes de arquivos de notas descompactadas através do NFC-e Arquivo XML (Ação PDCA).</t>
  </si>
  <si>
    <t>Realizar testes no 'Extrator da DIRF' no módulo Escrita.</t>
  </si>
  <si>
    <t>MT-Incluir data fim para o código de ajuste MT002010 do SPED Fiscal da tela de "Impostos Lançados/Estadual".</t>
  </si>
  <si>
    <t>Realizar um levantamento do esforço para Integração com a Moldura Shell do novo Domínio Contábil em Nuvem.</t>
  </si>
  <si>
    <t>MG-Ajustar o sistema para atender a prorrogação dos prazos tributários para empresas do Simples Nacional, conforme Portaria CGSN nº 56, de 03/03/2026.</t>
  </si>
  <si>
    <t>Ajustar o utilitário de alterar produtos para o cálculo de PIS e COFINS referentes as operações de revendas de veículos, deduzindo o custo de aquisição.</t>
  </si>
  <si>
    <t>Corrigir internamente a rotina de cancelamento de notas com os impostos 183-IBS e 184-CBS.</t>
  </si>
  <si>
    <t>Ajustar o sistema para que consiga seguir no captcha para emissão do DAS, DEFIS e MIT.</t>
  </si>
  <si>
    <t>Realizar um estudo e testes no agente de comunicação referente ao consumo da nova API criada na implementação do Invoice Center conforme requisições D-1.</t>
  </si>
  <si>
    <t>SC-Atualizar os códigos de ajuste do SPED Fiscal referente Crédito Presumido ao estabelecimento abatedor de gado bovino - An2, Art. 16, conforme Correio Eletrônico Circular SEF/DIAT/Nº 04/2026.</t>
  </si>
  <si>
    <t>Não estão sendo excluídos os lançamentos contábeis, estoque e parcelas das notas canceladas quando importadas através do Web Service SEFAZ.</t>
  </si>
  <si>
    <t>Não estão ficando gravadas as contas contábeis no botão "Outros Dados" do informativo DEFIS de um ano para o outro.</t>
  </si>
  <si>
    <t>TO-Esta sendo permitido gravar nos parâmetros a alteração nos campos "Inicial" e "Início efetivo das atividades", quando há lançamentos em "Outros Lançamentos (Lançados Estaduais)" com competência anterior a nova competência informada.</t>
  </si>
  <si>
    <t>Está voltando o período de apuração indevidamente, quando nos parâmetros o "Fato gerador dos impostos nas operações de saídas/serviços" está "Data de emissão" e nas configurações de importação está selecionada a opção "Informar a data de entrada no momento da importação" através de NFS-e Arquivo XML - Padrão Nacional.</t>
  </si>
  <si>
    <t>Está ocorrendo o erro de sistema "Número do Erro...: 6" quando a empresa não possui as configurações de importação NFS-e Padrão Nacional gravadas no banco de dados através da importação Busca NF-e.</t>
  </si>
  <si>
    <t>Adequar as autenticação da API e BOX-e após a migração dos EndPoints alternativos.</t>
  </si>
  <si>
    <t>Está ocorrendo erro de sistema ao gravar o botão "Outros Dados" do informativo "SPED Contábil - Contas a pagar e receber".</t>
  </si>
  <si>
    <t>Em alguns casos não está sendo gerado o relatório "Extrator da DIRF".</t>
  </si>
  <si>
    <t>Está sendo apresentada indevidamente a mensagem "Para empresas com apuração de imposto trimestral, o início da CRF/COSIRF com o fato gerador pelo pagamento ou emissão deverá ser o primeiro mês do trimestre!" ao gravar os parâmetros da empresa, quando alterada a tabela do TTD 409, 410 ou 411 e a vigência alterada não for a última vigência.</t>
  </si>
  <si>
    <t>Não estão sendo gerados os registros D100 e D190 no informativo SPED Fiscal, quando inicialmente o lançamento tinha o imposto 1-ICMS informado, esse imposto for excluído do acumulador e também possuir os impostos 183-IBS e 184-CBS.</t>
  </si>
  <si>
    <t>Não está sendo gerado o valor dos produtos "Sem incidência" de PIS/COFINS" no relatório de "Resumo das contribuições", quando na configuração do produto para o cálculo de PIS/COFINS estiver selecionado a opção "Sem incidência".</t>
  </si>
  <si>
    <t>MG-Está sendo gerado indevidamente o registro tipo 22 no informativo DAPI, quando no período possuir nota com acumulador selecionada a opção "Estornar débito dos impostos nas operações com CT-e e/ou CT-eOS substituto" porém a nota substituída não possuir valor de ICMS informado.</t>
  </si>
  <si>
    <t>Está sendo apresentado indevidamente os valores da receita bruta acumulada dos sócios na mensagem de apuração "Receita bruta exceto exportação acumulada é de 'x.xxx.xxx,xx' o valor está próximo do limite de enquadramento do Simples Nacional", quando há dois sócios com a mesma participação em matriz e filial do Simples Nacional.</t>
  </si>
  <si>
    <t>Não está sendo atualizado corretamente o catálogo de notas do Busca NF-e no Contábil quando a NFS-e já consta como importada no sistema.</t>
  </si>
  <si>
    <t>Realizar os testes e as implementações (caso necessário) de autenticação do Agente de Comunicação com a API de notas após a migração para novos EndPoints alternativos.</t>
  </si>
  <si>
    <t>Está sendo indevidamente considerada majoração maior que 100% no cálculo dos impostos 6-CSLL, 7-IRPJ-LP, 33-IRPJ-PO, 110-CSLL/SCP e 111-IRPJ/SCP, quando o percentual de presunção informado no acumulador for de 100%.</t>
  </si>
  <si>
    <t>Em alguns casos está ocorrendo erro ao realizar a atualização do sistema para a versão 10.6A-02.</t>
  </si>
  <si>
    <t>TO-Ajustar o sistema para não gerar o segmento G no informativo DIF para os CNAEs removidos pela Portaria SEFAZ 683/2025.</t>
  </si>
  <si>
    <t>MA-Não está sendo possível realizar a alteração de produtos em lote pelo utilitário de Alteração de Produtos para a opção "Crédito presumido estabelecimento atacadista - Anexo 1.5, Art. 8 do RICMS".</t>
  </si>
  <si>
    <t>Criação de casos de testes para a automação e registro de tempos com atividades gerais da versão de março de 2026.</t>
  </si>
  <si>
    <t>Realizar a importação da baixa de pagamento de impostos pelo Conta Azul referente há mais de um código de recolhimento calculado para o imposto 63-IRRF-APF.</t>
  </si>
  <si>
    <t>Está sendo importado incorretamente o valor da "Diferença entre o valor contábil e base de cálculo ICMS" quando importado notas de saída que possuem frete rateado para os produtos através da Importação SPED Fiscal</t>
  </si>
  <si>
    <t>Corrigir o sistema para que a retenção referente a rotina de distribuição de lucros e dividendos seja considerada na na apuração do imposto 63-IRRF-APF.</t>
  </si>
  <si>
    <t>Está sendo demonstrado o número do documento e o CNPJ do fornecedor incorretos na tela de listagem das NFS-es quando importado através do NFS-e Padrão Nacional Portal do Cliente.</t>
  </si>
  <si>
    <t>Está ocorrendo indevidamente a crítica de estrutura "Erro processando arquivo XML. Caractere inválido encontrado no texto. Linha: 1, caractere: 11." ao realizar a importação de arquivos XML compactados em .zip através do Importador.</t>
  </si>
  <si>
    <t>Criar a opção "Considerar as definições das contribuições retidas na fonte (PIS, COFINS e CSLL) do cadastro do acumulador" através de NFS-e Arquivo XML - Padrão Nacional.</t>
  </si>
  <si>
    <t>Utilizar a Inteligência Artificial (IA) para emitir um relatório gerencial no simulador do Planejamento Tributário.</t>
  </si>
  <si>
    <t>Inibir a importação de grandes lotes de arquivos de notas descompactadas através do CT-e e CT-eOS Arquivo XML.</t>
  </si>
  <si>
    <t>ES-Em alguns casos está sendo demonstrada indevidamente a mensagem "Falta apurar saldo dos impostos neste intervalo de data!" ao gerar o informativo DOT.</t>
  </si>
  <si>
    <t>Não está sendo alterada a alíquota de PIS e COFINS na guia "Estoque" das notas fiscais, quando a empresa possui "Apuração com alíquota diferenciada" e for alterada a nota através do utilitário "Alterar Produtos para Cálculo de PIS e COFINS/Movimento nas Notas".</t>
  </si>
  <si>
    <t>Não estão sendo gerados corretamente os valores de compensação nos campos da janela "Compensação do Simples Nacional", quando o imposto a compensar no período já possuir valor compensado.</t>
  </si>
  <si>
    <t>SC-Não está sendo gerado o item 999 do quadro 11 na DIME da Filial, quando a apuração da SUBTRI é consolidada na matriz, há lançamento de ajuste com o imposto 9-SUBTRI e operação 'Crédito transferido ao estabelecimento consolidador' e o valor da apuração é zerado.</t>
  </si>
  <si>
    <t>Não estão sendo gerados todos os sócios no relatório "Comprovante Anual de Retenções", quando possui sócio com informação de rendimento isento e o sócio estiver cadastrado como Fornecedor.</t>
  </si>
  <si>
    <t>Não está sendo gerado o valor correto dos impostos 6-CSLL e 7-IRPJ na integração contábil, quando possuir matriz e filial, no período ter sido calculada majoração para esses impostos e nos parâmetros estiver desmarcada a opção 'Agrupar lançamentos das filiais'.</t>
  </si>
  <si>
    <t>Em alguns casos está apresentando indevidamente a mensagem "Existe código de atividade INSS configurado nos parâmetros do serviço de transporte e nos produtos que está com data de vigência fora da data de apuração, os valores dessas receitas será considerado como receita não relacionada para o cálculo do INSS Receita Bruta" ao realizar a apuração do período.</t>
  </si>
  <si>
    <t>Corrigir erros implementados no desenvolvimento da SAI 99330.</t>
  </si>
  <si>
    <t>Em alguns casos está travando o sistema ao gerar o relatório do Simples Nacional ao alterar o zoom para 200%.</t>
  </si>
  <si>
    <t>SC-Não estão sendo gerados os registros 0460, C195 e C197 no informativo SPED Fiscal, quando a empresa for do regime "Simples Nacional" com a opção "Ultrapassou sub-limite no ano anterior ou em mais de 20% no ano calendário" selecionar e no período possuir lançamento de CT-e substituto.</t>
  </si>
  <si>
    <t>Em alguns casos está ocorrendo erro de sistema ao realizar a apuração do período.</t>
  </si>
  <si>
    <t>Não estão sendo enviadas para o Busca NF-e Escritório as NFS-e baixadas quando no momento do envio já se passaram mais de 60 da emissão através do Busca NF-e Cliente.</t>
  </si>
  <si>
    <t>Está importando incorretamente o valor da operação do contrato de factoring quando no arquivo possui mais de um título para o contrato através do Importador.</t>
  </si>
  <si>
    <t>SC-Importar novos códigos de Valores Declaratórios do ICMS na tag "cBenef" das notas, conforme Correio Eletrônico Circular SEF/DIAT/nº 04/2026.</t>
  </si>
  <si>
    <t>SC-Atualizar os códigos de ajuste de ICMS da Tabela 5.2, conforme Correio Eletrônico Circular SEF/DIAT/nº 04/2026.</t>
  </si>
  <si>
    <t>Está ocorrendo divergência de valores por arrendondamento no demonstrativo dos impostos 6-CSLL, 7-IRPJ-LP, 33-IRPJ-PO, 110-CSLL/SCP e 111-IRPJ/SCP, quando a empresa ultrapassa o limite da receita e possui mais de uma atividade.</t>
  </si>
  <si>
    <t>PI-Incluir o código de ajuste PI020062 na tela de Impostos Lançados Estaduais, quando efetuado lançamento de Ajustes vinculado ao imposto 1-ICMS e operação 'Outros créditos'.</t>
  </si>
  <si>
    <t>Em alguns casos está ocorrendo diferença no valor de "Valor do estorno de crédito diferido no período" entre a Apuração e o Relatório EFD PIS e COFINS Diferido, causando erros no EFD Contribuições.</t>
  </si>
  <si>
    <t>Não está sendo feita corretamente a importação das informações da janela "Outros Dados" da DEFIS API Integra Contador, quando os outros dados forem importados através do botão "Importar Outros Dados - Portal e-CAC".</t>
  </si>
  <si>
    <t>Não está sendo demonstrado as receitas da filial no relatório Simples Nacional - Receita Bruta Global Acumulada, quando a empresa é Matriz/Filial e no cadastro das empresas o quadro societário é o mesmo.</t>
  </si>
  <si>
    <t>Está sendo gerado o valor incorreto no campo "Valor Pago" do quadro "3.Relação de Pagamentos e Retenções" do relatório "Comprovante Anual de Retenção", quando no período possuir nota lançada com o imposto 25-CRF que possua apenas valor contábil e base de cálculo e o imposto esteja com o fato gerador "Pagamento".</t>
  </si>
  <si>
    <t>RS-Está ocorrendo erro de banco de dados ao alterar o CST de ICMS na guia Estoque da Nota de Entrada, quando a nota é importada e o acumulador utilizado no lançamento possuir o imposto 8-DIFALI, estando configurado como 'Lançado por produto'.</t>
  </si>
  <si>
    <t>Está ocorrendo erro de banco de dados "Algum dado não cadastrado!" ao gravar a importação, quando no cadastro de países o Brasil está cadastrado com o nome diferente de "BRASIL" através do NFS-e Arquivo XML - Padrão Nacional.</t>
  </si>
  <si>
    <t>Está ocorrendo o erro de sistema "Algum dado não cadastrado!" ao gravar a importação quando o beneficiário já está cadastrado no sistema e não está marcado para sobrescrever através do NFS-e Arquivo XML - ABRASF.</t>
  </si>
  <si>
    <t>Está ocorrendo o erro "Problema com o banco de dados! = (-193): Primary key for table 'efclientes' is not unique" ao gravar a importação quando nas configurações a identificação de clientes e fornecedores está como "Inscrição federal e estadual" através do NFCom Arquivo XML.</t>
  </si>
  <si>
    <t>Realizar a importação da Nota de Débito do tipo '06-Pagamento antecipado'.</t>
  </si>
  <si>
    <t>Implementar o arquivo de envio do 'Evento: 112140 - Fornecimento não realizado com pagamento antecipado' para apuração assistida, conforme LC 214/2025 e Nota técnica 2025.002 v.1.34.</t>
  </si>
  <si>
    <t>Implementar a escrituração da Nota de Débito do tipo '06-Pagamento antecipado' e a inclusão do 'Evento: 112140 - Fornecimento não realizado com pagamento antecipado' na tela de envio dos eventos conforme LC 214/2025 e NT 2025.002_v1.34.</t>
  </si>
  <si>
    <t>Realizar a importação do campo "Entrega" no lançamento de nota fiscal de saída.</t>
  </si>
  <si>
    <t>Implementar o arquivo de envio do 'Evento: 112150 - Atualização da data de previsão de entrega' para apuração assistida, conforme LC 214/2025 e Nota técnica 2025.002 v.1.34.</t>
  </si>
  <si>
    <t>Implementar o novo 'Evento: 112150 - Atualização da data de previsão de entrega' na tela de envio dos evento, conforme LC 214/2025 e NT 2025.002_v1.34.</t>
  </si>
  <si>
    <t>Permitir importar o tipo de isenção 2-Diária de viagem na importação de entradas com imposto 63-IRRF-APF.</t>
  </si>
  <si>
    <t>Alterar o sistema para permitir a utilização do tipo de isenção 2 - Diária de viagem combinado com as naturezas de rendimento 10001, 10002 e 10003 no evento R-4010 do EFD-REINF.</t>
  </si>
  <si>
    <t>Importar para o produto e acumulador a opção para não aplicar a redução linear de 10% no cálculo dos impostos PIS e COFINS, prevista na LC nº 224/2025.</t>
  </si>
  <si>
    <t>Ajustar o PIS e COFINS para calcular a redução linear de 10% nos incentivos e benefícios tributários de isenção e alíquota zero, conforme Lei Complementar nº 224/2025.</t>
  </si>
  <si>
    <t>Não está sendo feito o cálculo correto da majoração do imposto 7-IRPJ, quando no período a empresa possuir lançamento em "Impostos Calculados" com a operação "Estorno de receitas" e no acumulador utilizado no lançamento possuir apenas o imposto 7-IRPJ informado.</t>
  </si>
  <si>
    <t>SC-Implementar sub-apuração e limitador do Crédito Presumido de ICMS para abatedores de gado bovino - An. 2, Art. 16 (Lei 19.391/2025).</t>
  </si>
  <si>
    <t>Em alguns casos está sendo gerado valor negativo no campo 06-VL_CRED_DIF do registro M230 do informativo EFD Contribuições.</t>
  </si>
  <si>
    <t>Em alguns casos está ocorrendo erro ao regerar lançamentos contábeis através do utilitário "Regerar Lançamentos Contábeis".</t>
  </si>
  <si>
    <t>Está ocorrendo erro de sistema ao emitir o MIT via API Integra Contador, quando ocorrer algum erro durante a transmissão e o sistema não conseguir realizar a comunicação por API.</t>
  </si>
  <si>
    <t>Não está sendo feito o cálculo correto da majoração dos impostos 7-IRPJ e 6-CSLL, quando no período possuir dedução de IPI (2 e 30) e/ou SUBTRI (9) e a empresa possui a forma de cálculo "Regime de Caixa".</t>
  </si>
  <si>
    <t>Não está sendo respeitado o limite de lote de arquivo(s) configurado nas Rotinas Automáticas através da importação "CT-e e CT-eOS Arquivo XML".</t>
  </si>
  <si>
    <t>Implementar a geração do relatório de precificação de produtos e serviços para a opção Formar preço pelo custo das entradas".</t>
  </si>
  <si>
    <t>Implementar a geração do relatório de precificação de produtos e serviços para a opção "Formar preço com custo informado".</t>
  </si>
  <si>
    <t>Não estão sendo disponibilizadas para o Contábil as notas armazenadas no BOX-e.</t>
  </si>
  <si>
    <t>Realizar testes após correção da indisponibilidade em uma das rotinas que tenta gravar a nota na API.</t>
  </si>
  <si>
    <t>Está ocorrendo indisponibilidade em uma das rotinas que tenta gravar a nota na API.</t>
  </si>
  <si>
    <t>Implementar a API da apuração assistida da CBS.</t>
  </si>
  <si>
    <t>Implementar no sistema a apuração assistida da Reforma Tributária do Consumo.</t>
  </si>
  <si>
    <t>Não está sendo feita a contabilização correta do imposto 26-INSS-RET no lançamento de notas, quando no lançamento possuir apenas o imposto retido 26-INSS-RET e a parcela possuir pagamento na mesma data de emissão.</t>
  </si>
  <si>
    <t>Em alguns casos não está concluindo a gravação da importação dos dados quando importado uma grande quantidade de notas através do NFC-e Arquivo XML.</t>
  </si>
  <si>
    <t>Não está sendo gerada na competência correta o valor do imposto 18-ISS-RET na janela de Apuração, quando nos parâmetros estiver configurado o fato gerador do ISS Retido como "Mês subsequente a emissão" e possuir nota lançada com o imposto onde o mês de emissão e entrada são diferentes.</t>
  </si>
  <si>
    <t>Está ocorrendo o erro "Problema com o banco de dados! = (-193): Primary key for table 'efclientes' is not unique" quando na Contabilidade está selecionada a opção "Utilizar o menor código disponível ao cadastrar contas" e na Escrita Fiscal estes códigos de contas já estão em uso ao sobrescrever os cadastros existentes na importação NF-e Arquivo XML.</t>
  </si>
  <si>
    <t>Em alguns casos está ocorrendo travamento do sistema no Módulo Folha quando realizada importação padrão no módulo Escrita Fiscal.</t>
  </si>
  <si>
    <t>Em alguns casos está ocorrendo o erro de sistema "Número do Erro...: 6" ao realizar importação, quando a empresa não possui as configurações de importação gravadas no banco de dados através do CT-e e CT-eOS Arquivo XML.</t>
  </si>
  <si>
    <t>Esta sendo calculado incorretamente a RBT12 para o cálculo do Simples Nacional no planejamento tributário, quando uma empresa não possuí todas as receitas e precisa efetuar o cálculo proporcional.</t>
  </si>
  <si>
    <t>Está sendo gerada a vigência incorreta na replicação dos "Dados de Impostos por NCM/CEST e NBS", quando a empresa de origem tiver várias vigências anteriores à data inicial da empresa de destino.</t>
  </si>
  <si>
    <t>Não está sendo feita corretamente a importação dos lançamentos contábeis na janela "Sócios" das SCPs do botão "Outros Dados" do informativo EFD-Reinf.</t>
  </si>
  <si>
    <t>Em alguns casos, não está sendo gerado o valor correto da linha "3. Crédito outorgado do período" no quadro "Resumo do Cálculo" do relatório de apuração do Crédito Presumido PRODEIC.</t>
  </si>
  <si>
    <t>Não está calculando o imposto 33-IRPJ Postergado na apuração e no relatório demonstrativo, quando a empresa for exclusivamente prestadora de serviços com receita bruta anual até R$ 120.000,00 e possuí lançamentos com operações de 'Outras receitas' em 'Impostos Calculados'.</t>
  </si>
  <si>
    <t>Implementar os reflexos do envio do 'Evento: 211120 - Destinação de item para consumo pessoal - Emitente/Destinatário' para apuração assistida, conforme LC 214/2025 e Nota técnica 2025.002 v.1.34</t>
  </si>
  <si>
    <t>Implementar o arquivo de envio do 'Evento: 211120 - Destinação de item para consumo pessoal - Emitente/Destinatário' para apuração assistida, conforme LC 214/2025 e Nota técnica 2025.002 v.1.34.</t>
  </si>
  <si>
    <t>Em alguns casos está fechando o sistema e não está sendo gerado o arquivo do SPED Fiscal.</t>
  </si>
  <si>
    <t>Não está sendo feita corretamente a contabilização das notas de Entrada e Saída, quando nos parâmetros estiverem selecionadas as opções "Gerar lançamento na conta cliente/fornecedor para parcelas pagas a vista" e "Separar contabilização dos valores de frete, pedágio, seguro, despesas acessórias e desconto".</t>
  </si>
  <si>
    <t>Criar a opção "Considerar as definições do imposto INSS Retido do cadastro do acumulador" através de NFS-e Arquivo XML - Padrão Nacional.</t>
  </si>
  <si>
    <t>Está demonstrando indevidamente a mensagem de aviso: "Existe a mesma combinação de CFOP(s), CST(s), Cliente(s) e Produto(s)" quando está selecionada a opção "Considerar como exceção a opção Todos das colunas para relacionamento do acumulador" e há CST definidos nas configurações de importação NFCom Arquivo XML.</t>
  </si>
  <si>
    <t>Está ocorrendo o erro: "O(s) arquivo(s) selecionado(s) não existe(m)!" seguido de erro de sistema ao realizar importação de serviço, quando estiver selecionado a opção "Gerar nota de entrada em outra empresa" através do Busca NF-e.</t>
  </si>
  <si>
    <t>Realizar a importação do Cadastro do Beneficiário para a tela de cadastro do cliente e para o lançamento da nota através do NFS-e Arquivo XML - Padrão Nacional.</t>
  </si>
  <si>
    <t>Alterar o utilitário 'Inclusão e Alteração de Impostos' para atualizar os acumuladores com as informações dos impostos 183-IBS, 184-CBS e 187-IS.</t>
  </si>
  <si>
    <t>Não está sendo desconsiderado o desconto na coluna "Valor base de cálculo" do relatório Demonstrativo do imposto '88-RET/PMC', quando um empreendimento imobiliário tem a opção "Desconsiderar o valor do desconto na base de cálculo do RET" selecionada e o contrato de venda possui parcelas com descontos.</t>
  </si>
  <si>
    <t>Não está sendo gerado o valor do imposto 38-COSIRF no relatório "Extrator da DIRF", quando o fato gerador do imposto é "Data de Pagamento".</t>
  </si>
  <si>
    <t>Implementar o zeramento de NSU para o NFS-e no utilitário de zeramento de NSU.</t>
  </si>
  <si>
    <t>Registrar os tempos atuados nas pesquisas de inovações com IA para a versão de Abril.</t>
  </si>
  <si>
    <t>Ajustar o comprovante anual para que gere os rendimentos isentos de distribuição de lucros e dividendos de sócios de SCP, enviados na EFD-Reinf.</t>
  </si>
  <si>
    <t>Está ocorrendo o erro "Erro realizando requisição: Erro ao realizar requisição: URI inválido: não foi possível determinar o formato do URI." ao buscar as notas na Manifestação de NF-e.</t>
  </si>
  <si>
    <t>Em alguns casos, está sendo demonstrada indevidamente a unidade vendida no Livro Fiscal de Registro de Inventário - Empreendimentos Imobiliários anual.</t>
  </si>
  <si>
    <t>Em alguns casos está apresentando a mensagem "Data inferior a data de fechamento do módulo Contabilidade" ao gravar a baixa de um contrato imobiliário.</t>
  </si>
  <si>
    <t>Adequar a tela de ajustes de PIS/COFINS incluindo as novas origens observando a Lei Complementar nº 224/2025.</t>
  </si>
  <si>
    <t>Em alguns casos está ocorrendo encerramento do sistema quando importado grande volume de notas através do NF-e via API.</t>
  </si>
  <si>
    <t>Não estão sendo calculados os impostos 110-CSLL/SCP e 111-IRPJ/SCP na apuração, quando for alterada a situação da SCP para "Inativa", porém a nota pertencer a um período que a SCP ainda está ativa.</t>
  </si>
  <si>
    <t>Em alguns casos está ocorrendo o erro "uo_carrega_empresas_relatório" ao executar a rotina automática com a opção "Gerar relatórios individualizados por empresa" marcada.</t>
  </si>
  <si>
    <t>RS-Importar para o produto o crédito presumido sobre produtos farmacêuticos previsto no RICMS/RS, Livro I, art. 32, XXXI.</t>
  </si>
  <si>
    <t>RS-Implementar o cálculo do Crédito presumido sobre produtos farmacêuticos previsto no RICMS/RS, Livro I, art. 32, XXXI.</t>
  </si>
  <si>
    <t>Não estão sendo armazenadas as notas enviadas pelo Busca NF-e para o BOX-e.</t>
  </si>
  <si>
    <t>Implementar o AlertContábil nas rotinas automáticas das importações NF-e Arquivo XML, NF-e API, CT-e e CT-eOS Arquivo XML e CT-e e CT-eOS API.</t>
  </si>
  <si>
    <t>SP-Adequar o sistema para permitir realizar lançamentos de ajustes de 'Outros débitos' para o imposto 145-ICMS DIFAL - Não contribuinte para as UFs destino.</t>
  </si>
  <si>
    <t>Otimizar importação NFC-e Arquivo XML.</t>
  </si>
  <si>
    <t>Não está sendo gerado o valor correto para o imposto 7-IRPJ na apuração, quando a empresa possuir cálculo majorado em empresa com atividade imobiliária e possuir as opções "Considerar juros, multas e outras como receita financeira no cálculo dos imposto CSLL e IRPJ-LP" e "Aplicar o percentual de presunção dos impostos CSLL e IRPJ no cálculo da receita financeira" marcadas e houver valores de juros/multa/outras no 1º Trimestre de 2026.</t>
  </si>
  <si>
    <t>Implementar o arquivo de envio do 'Evento: 211124 - Perecimento, perda, roubo ou furto durante o transporte contratado pelo adquirente' para apuração assistida, conforme LC 214/2025 e Nota técnica 2025.002 v.1.34</t>
  </si>
  <si>
    <t>Está ocorrendo erro de sistema ao importar notas, quando no acumulador está selecionado a opção "Informar dados do frete" e são importados múltiplos arquivos simultaneamente através do NF-e Arquivo XML.</t>
  </si>
  <si>
    <t>Implementar o arquivo de envio do 'Evento: 112130 - Perecimento, perda, roubo ou furto durante o transporte contratado pelo fornecedor' para apuração assistida, conforme LC 214/2025 e Nota técnica 2025.002 v.1.34</t>
  </si>
  <si>
    <t>RS-Ajustar a geração do SPED Fiscal referente a anulação de CT-e/CT-eOS quando o CT-e/CT-eOS substituído é isento.</t>
  </si>
  <si>
    <t>PA-Não estão sendo gerados dos registros 0460, C195 e C197 no informativo SPED Fiscal, quando a empresa possuir notas de saída lançadas com espécie NCF-e incentivas pelo crédito presumido "Crédito presumido nas saídas internas produtos cesta básica - Art. 126 do RICMS".</t>
  </si>
  <si>
    <t>Não está sendo gerado o valor correto dos impostos 110-CSLL/SCP e 111-IRPJ/SCP, quando a empresa possuir cálculo majorado para mais de 1 SCP.</t>
  </si>
  <si>
    <t>MS-Alterar a escrituração do Crédito Presumido de Hortifrutigranjeiros, conforme a Resolução SEFAZ nº 3.497/2026.</t>
  </si>
  <si>
    <t>Ajustar a importação das naturezas de rendimento do imposto 63-IRRF-APF, considerando a inclusão dos códigos 10011 e 11008.</t>
  </si>
  <si>
    <t>Incluir as naturezas de rendimento 10011 e 11008 para envio na EFD-Reinf conforme a Nota Técnica 04/2025.</t>
  </si>
  <si>
    <t>SP-Está sendo demonstrado indevidamente o submenu DARE ICMS Antecipado (Atacadista), quando a empresa é do estado de SP.</t>
  </si>
  <si>
    <t>Está ocorrendo erro de banco de dados 'EFSDOIMP_RECEITA_IMPOSTOS_MAJORACAO_SCP' ao realizar a apuração do período, quando houver lançamento em "Impostos Calculados" para SCP e possuir cálculo majorado.</t>
  </si>
  <si>
    <t>Está sendo calculado incorretamente o valor dos impostos 6-CSLL e 7-IRPJ, quando no período possuir lançamento em "Impostos Calculados" com a operação "Estorno de receitas", houver receita para mais de uma atividade e for efetuado cálculo de majoração.</t>
  </si>
  <si>
    <t>SP-Alterar o sistema para que seja disponibilizado opção para que o usuário selecione se quer gerar os produtos no arquivo pelo 'Código' ou 'Identificador' no informativo e-CredRural.</t>
  </si>
  <si>
    <t>Em alguns casos está fechando o sistema ao realizar a geração do informativo EFD Contribuições.</t>
  </si>
  <si>
    <t>Está sendo gerada a natureza de rendimento incorreta no informativo Reinf, quando o imposto 63-IRRF-APF possuir fato gerador "Data de pagamento" e possuir a natureza informada no cadastro do acumulador utilizado no lançamento.</t>
  </si>
  <si>
    <t>RS-Importar as notas de produtor rural com a situação "Documento fiscal emitido com base em regime especial ou norma específica" quando a opção "Zerar valores das notas de produtor rural" estiver marcada nas configurações de importação.</t>
  </si>
  <si>
    <t>PR-Alterar o sistema para que seja possível efetuar um lançamento de ajuste de impostos lançados que gere o código PR020104 no registro E111, além dos registros E112 e E113.</t>
  </si>
  <si>
    <t>Giana Medina</t>
  </si>
  <si>
    <t>Em alguns casos está ocorrendo o erro "Ocorreu um erro ao unir os PDF's. Um dos arquivos pode não ter sido gravado" ao salvar o PDF do relatório "Demonstrativo EFD PIS e COFINS".</t>
  </si>
  <si>
    <t>Não está sendo setado valor na coluna "Retenções" da baixa de parcela de entradas, quando a parcela tenha sido incluída de forma manual na nota.</t>
  </si>
  <si>
    <t>MG-Estão sendo gerados os valores incorretos no registro C197 com código de ajuste MG10990505 no informativo SPED Fiscal, quando o acumulador está configurado com a opção "Crédito na aquisição de empresa do Simples Nacional" e possuir mais de uma linha de ICMS na nota.</t>
  </si>
  <si>
    <t>Não está sendo demonstrada a empresa corrente no botão "Outros Dados" do informativo "SPED Contábil - Contas a pagar e receber".</t>
  </si>
  <si>
    <t>PR-Está sendo gerado o valor incorreto na linha "Devolução de compra" da apuração do imposto 27-ICMSA, quando na nota de compra possuir o mesmo produto informado mais de uma vez.</t>
  </si>
  <si>
    <t>Não está sendo gerada a natureza de rendimento do imposto 63-IRRF-APF no relatório de Impostos a Recolher, quando o imposto 63-IRRF-APF estiver configurado com o fato gerador "Data de pagamento".</t>
  </si>
  <si>
    <t>Não estão sendo escrituradas corretamente as notas de serviços prestados da prefeitura de Osasco/SP após serem importadas no Onvio Escrita.</t>
  </si>
  <si>
    <t>BA-Implementar no sistema rotina para escrituração de documento extemporâneo de saídas.</t>
  </si>
  <si>
    <t>Permitir informar NCMs com 4 dígitos nas configurações de importação do NFC-e Arquivo XML.</t>
  </si>
  <si>
    <t>Alterar o sistema para importar o valor do ICMS Recuperável para a tela 'Saldo Final do Produto', através da importação SPED Fiscal.</t>
  </si>
  <si>
    <t>AP-Alterar o sistema quanto a obtenção do valor da base de cálculo do imposto 8-DIFALI e a forma de calcular o imposto na importação de arquivo XML e Portal.</t>
  </si>
  <si>
    <t>AP-Ajustar o cálculo do imposto 8-DIFALI para empresas do Amapá.</t>
  </si>
  <si>
    <t>Está ocorrendo indevidamente o erro de importação "O CFOP xxxx não está definido para o acumulador x" quando no acumulador das notas estiver selecionado a opção "Discriminar CFOP para o lançamento" e a importação for realizada com mais de um arquivo através do NFS-e Arquivo XML-ABRASF.</t>
  </si>
  <si>
    <t>Está importando mais de um cadastro de tanque para o mesmo produto ao realizar importação através do SPED FISCAL.</t>
  </si>
  <si>
    <t>MG-Não estão sendo gerados os registros C180, H005, H010 e H030 no informativo SPED Fiscal, quando nos parâmetros não está selecionada a opção "Calcular o complemento/restituição do ICMS ST conforme Art. 31-A a 31-I, Anexo XV do RICMS".</t>
  </si>
  <si>
    <t>Alterar o sistema para realizar a importação dos cancelamentos conforme o período informado no filtro da data inicial e final através da importação API.</t>
  </si>
  <si>
    <t>Está ocorrendo indevidamente o erro de importação "CNPJ da chave é diferente do CNPJ da SCP" quando a nota é de saída com emissão própria e o CNPJ informado na chave é da própria empresa através do NF-e XML.</t>
  </si>
  <si>
    <t>Atualizar os códigos de Natureza da receita para o CST 02, 03, 04 e 06 conforme versão 1.23, 1.31 e 1.33 das tabelas 4.3.10, 4.3.11 e 4.3.13 da EFD Contribuições.</t>
  </si>
  <si>
    <t>BA-Está importando o valor do imposto 8-DIFALI incorretamente quando a opção "Calcular o imposto 8-DIFALI sobre a alíquota interna descontando o ICMS de origem" está selecionada nos parâmetros, através do NF-e Arquivo XML.</t>
  </si>
  <si>
    <t>RS-Não está importando o valor do imposto 56-AMPARAST (Tag vFCPST) no campo "Fundo Ampara/RS" da linha do SUBTRI em notas de devolução de venda através do NF-e Arquivo XML.</t>
  </si>
  <si>
    <t>Ajustar a contabilização de PIS e COFINS sobre receitas financeiras lançadas através de documento não fiscal.</t>
  </si>
  <si>
    <t>RJ-Alterar a importação do imposto '154-FOT', inserindo os benefícios de redução de base de cálculo e MVA reduzida do ICMS ST, e ajustar a importação do benefício de redução da base de cálculo do ICMS normal.</t>
  </si>
  <si>
    <t>RJ-Ajustar o cálculo do imposto '154-FOT' referente aos benefícios de redução de base de cálculo e MVA reduzida do ICMS ST, e ao benefício de redução da base de cálculo do ICMS normal.</t>
  </si>
  <si>
    <t>TO-Habilitar o campo 'Ajuste no SPED' para os lançamentos de ajuste em 'Movimentos/Outros/Impostos Lançados/Estadual', com operação 'Outras deduções' e imposto 1-ICMS e incluir os códigos disponíveis.</t>
  </si>
  <si>
    <t>MA-Realizar a baixa de pagamento de impostos pelo "Importador" referente ao ICMS Antecipado.</t>
  </si>
  <si>
    <t>Ajustar as telas response remanescentes da migração do PB na escrita.</t>
  </si>
  <si>
    <t>Efetuar testes de funcionalidade do informativo DIRBI.</t>
  </si>
  <si>
    <t>Adicionar comentários em todas as tabelas da escrita fiscal do banco de dados do Domínio.</t>
  </si>
  <si>
    <t>CE-Está apurando incorretamente o ICMS Monofásico mesmo sem a informação no estoque da nota quando importado através do NFC-e Arquivo XML.</t>
  </si>
  <si>
    <t>Adicionar comentários em todas as tabelas do banco de dados.</t>
  </si>
  <si>
    <t>Está armazenando indevidamente como "Saída" as notas de "Entrada" no Box-e.</t>
  </si>
  <si>
    <t>Está sendo gerado de forma incorreta o valor nos registros M210/M215/M610/M615 do informativo EFD Contribuções, quando for lançado um CT-e substituto onde no CT-e substituido não possuir valor de PIS e COFINS.</t>
  </si>
  <si>
    <t>MG-Não está sendo atualizado o valor gerado no campo "Valor total de outras" da guia "Estadual" do lançamento de nota fiscal de saída, quando a nota fiscal for lançada com valor em "Outras" e após atualizada de modo que não tenha valor neste campo.</t>
  </si>
  <si>
    <t>CE-Está apurando incorretamente o ICMS Monofásico mesmo sem a informação no estoque da nota quando importado através de NFC-e Arquivo XML.</t>
  </si>
  <si>
    <t>MT-Atualizar a tabela de código de ajuste na tela de Lançamentos de Valores Declaratórios de ICMS.</t>
  </si>
  <si>
    <t>SC- Alterar o sistema para não gerar os quadros 15 e 16 nas Filiais na DIME quando a empresa estiver configurada com o Crédito Presumido Confecção Art. 21 e possui Apuração Centralizada</t>
  </si>
  <si>
    <t>Não está sendo feita a contabilização da anulação de CT-e nas notas fiscais de saída, quando for efetuado o lançamento de CT-e com acumulador configurado com a opção "Estornar débito dos impostos nas operações com CT-e e/ou CT-eOS substituto".</t>
  </si>
  <si>
    <t>Está ocorrendo erro de banco de dados e não está gerando a guia DARF DCTFWeb quando emitida de forma parcial pela tela de Apuração de tributos federais.</t>
  </si>
  <si>
    <t>Preparar o sistema para calcular o Imposto sobre Bens e Serviços-IBS e a Contribuição sobre Bens e Serviços-CBS nos demais movimentos diferentes de NF-e.</t>
  </si>
  <si>
    <t>Permitir importar os valores dos produtos que possuem classificação iniciada em 590 como dedução através das importações NF3-e Arquivo XML e NFCom Arquivo XML.</t>
  </si>
  <si>
    <t>SC-Importar novos códigos de Valores Declaratórios do ICMS na tag "CBenef" das notas, conforme Correio Eletrônico Circular SEF/DIAT/Nº 08/2025 e Tabelas Externas 5.2 do SPED Fiscal, e incluído mensagem de validação.</t>
  </si>
  <si>
    <t>SC-Atualizar os códigos cBenef e inclusão dos novos códigos, conforme Correio Eletrônico Circular SEF/DIAT/Nº 08/2025 e Tabelas Externas 5.2 do SPED Fiscal.</t>
  </si>
  <si>
    <t>SC-Otimizar processamento da DW "dws_sc_credito_presumido_leite_proporcao" e "dws_sc_credito_presumido_produto_leite" na apuração do imposto 1-ICMS.</t>
  </si>
  <si>
    <t>RJ-Não está sendo considerada a opção "Não aplicar a redução da base de cálculo para o ICMS" nas definições do imposto 44-SIMPLESN do cadastro de acumulador, quando for efetuado o cálculo do imposto 44-SIMPLESN.</t>
  </si>
  <si>
    <t>Não está sendo gerado corretamente o campo 13-VL_SERV do registro D700 do informativo SPED Fiscal, quando possuir no período nota fiscal com espécie "Nota Fiscal Fatura de Serviço de Comunicação Eletrônica" com valor de ICMS informado em "Isentas" e "Outras".</t>
  </si>
  <si>
    <t>SP-Não está sendo considerado o valor das notas de entrada com acumulador marcado com a opção "Retorno de remessa" no cálculo da linha "T=Média, dos últimos 12 meses, incluindo o da apuração, do valor total das saídas realizadas" do relatório "Demonstrativo Crédito Outorgado ICMS".</t>
  </si>
  <si>
    <t>Está gerada incorretamente a data dos campos "Período de apuração" e "Data de Vencimento" da guia DARF IRRF, quando o imposto estiver sendo apurado com periodicidade "Diária".</t>
  </si>
  <si>
    <t>SC-Está sendo gerado incorretamente o valor do estorno de ICMS nas operações de vendas interestaduais a consumidor final não contribuinte na janela de Integração Contábil, quando a empresa realiza o cálculo do estorno de ICMS proporcional das operações de crédito presumido.</t>
  </si>
  <si>
    <t>Está sendo gerado o código incorreto do CT-e substituto no demonstrativo da CSLL e do IRPJ, quando na emissão do relatório for selecionada a opção "Detalhar por nota".</t>
  </si>
  <si>
    <t>Está ocorrendo indevidamente o erro de importação "Para notas com modelo 'Documento não fiscal', é necessário que pelo menos um dos impostos 3, 16, 17, 18, 19, 22, 23, 24, 25, 26... esteja informado no acumulador ou nenhum imposto no acumulador" quando importado documento não fiscal de entrada com um dos impostos da mensagem e outro qualquer, através do Importador.</t>
  </si>
  <si>
    <t>Está importando o valor dos produtos incorretamente quando o valor unitário possui mais que 4 casas decimais através do Importador.</t>
  </si>
  <si>
    <t>RS-Desmembrar a apuração do Crédito Presumido- LIVRO I, Art. 32, XXVI - INDÚSTRIA DE QUEIJO em Saídas Internas e Interestaduais conforme Decreto nº 58.092/2025.</t>
  </si>
  <si>
    <t>RN-Alterar o cálculo do Regime Atacadista considerando a alíquota para o cálculo conforme o vínculo de emprego - Art. 16-R, Decreto nº 22.199/11.</t>
  </si>
  <si>
    <t>RN-Alterar o percentual de 12% para 14% no cálculo do crédito de aquisição de empresas do Simples Nacional - Indústria.</t>
  </si>
  <si>
    <t>Permitir realizar importação de Lançamentos de Centro de Custos em lançamentos já existentes no sistema através do Leiaute Completo com Separador para entradas.</t>
  </si>
  <si>
    <t>Retornado a NFS-e como NFS-e Padrão Nacional para o Agente de Comunicação.</t>
  </si>
  <si>
    <t>Está travando indevidamente o Agente de Comunicação nos envios do Kolossus Auditor, quando ocorre o retorno 401 com a mensagem "Conta inválida" e o cliente não possuí mais o contrato ativo.</t>
  </si>
  <si>
    <t>Corrigir as novas pendências "Medium" apresentadas pelo SNYK no servidor do Busca NF-e.</t>
  </si>
  <si>
    <t>Está excluindo a contabilização das notas ao tentar importar Bilhete de Passagem cancelado com período fechado através do BP-e Arquivo XML.</t>
  </si>
  <si>
    <t>Atualizar o informativo DCTF para a versão 3.8 e prestar as informações sobre as quotas do 4º trimestre de 2024.</t>
  </si>
  <si>
    <t>Está ocorrendo indevidamente o erro de importação "Valor total do imposto FUNRURAL das parcelas 'xx,xx' é diferente do valor total do imposto FUNRURAL da nota 'xx,xx'" quando configurado para gerar parcelas em notas sem parcelas e a nota possuir valor do imposto 28-FUNRURAL através do NF-e XML.</t>
  </si>
  <si>
    <t>PR-Está sendo gerado indevidamente valor no registro E310 e estão sendo gerados indevidamente os registros E311 e E316 no informativo SPED Fiscal, quando no período possuir valor para os impostos 152-FECOP-PR-ICMS Próprio e/ou 153-FECOP-PR-ICMS ST e nos parâmetros possuir UF informadas para substituição tributária.</t>
  </si>
  <si>
    <t>RJ-Alterar o comportamento do sistema para o informativo DECLAN-IPM em relação aos CFOP's 2.152, 6.152 e 6.120</t>
  </si>
  <si>
    <t>Realizar a importação dos impostos IBS e CBS conforme a reforma tributária através da NFC-e Arquivo XML.</t>
  </si>
  <si>
    <t>Realizar a importação dos impostos IBS e CBS conforme a reforma tributária através da NF-e Arquivo XML e Portal NF-e.</t>
  </si>
  <si>
    <t>Alterar o comportamento da opção "Zerar os campos base de cálculo, alíquota e valor de imposto para os CST:" para a tela "Alterar Dados de PIS e COFINS no Movimento de Produtos nas Notas de Devolução".</t>
  </si>
  <si>
    <t>Ajustar a importação da Base de cálculo do imposto 27-ICMSA no cálculo 'Lançado por produto', quando o CST do produto for 'Estrangeira', pelo cálculo sem benefício fiscal de redução da base de cálculo.</t>
  </si>
  <si>
    <t>GO-Alterar a Base de cálculo do imposto 27-ICMSA quando o tipo de cálculo for 'Lançado por produto' e o CST do produto for 'Estrangeira' pelo cálculo sem benefício fiscal de redução da base de cálculo.</t>
  </si>
  <si>
    <t>Importar para o produto os códigos 70, 71 e 72 do benefício DIRBI conforme IN 2.241/2024.</t>
  </si>
  <si>
    <t>Implementar a geração dos benefícios na API DIRBI conforme IN 2.241/2024 - Códigos 70, 71 e 72.</t>
  </si>
  <si>
    <t>Corrigir problemas técnicos e performance em serviços: Reinf, Dirf, Folha de Salários.</t>
  </si>
  <si>
    <t>Criar gráficos no simulador de planejamento tributário.</t>
  </si>
  <si>
    <t>Está ocorrendo o erro a chave "FK_EFPRODUTOS_VIGENCIA_EFTABELA_ALIQUOTA_ICMS" faz com que os valores dos "CODI_EMP" e "I_TABELA_ICMS da tabela "EFPRODUTOS_VIGENCIA precisam existir antes na tabela "EFTABELA_ALIQUORTA_ICMS" ao realizar a validação do banco de dados.</t>
  </si>
  <si>
    <t>Alterar o comportamento do Regerar Lançamentos Contábeis pelo utilitário para não regerar lançamentos com contas conciliadas.</t>
  </si>
  <si>
    <t>Otimizar o processo de "Listagem" na alteração de impostos nas notas pelo Utilitários.</t>
  </si>
  <si>
    <t>Está ocorrendo erro de banco de dados "Algum dado não cadastrado !" ao gravar a importação quando no acumulador a opção "Operação com outros benefícios para informação no DUB-ICMS" está marcada com um código inexistente porém desabilitada através do NF-e Arquivo XML.</t>
  </si>
  <si>
    <t>Alterar o sistema para gerar a TAG 'ComDeposito' quando houver 'MotivoSuspensao" igual a '2' para que seja validado o MIT.</t>
  </si>
  <si>
    <t>MG-Está sendo feita o cálculo incorreto do Crédito Presumido RET, quando possuir nota de saída lançada sem valor de ICMS informado.</t>
  </si>
  <si>
    <t>Está sendo demonstrado duplicada a linha de pagamento dos impostos que entram nos tributos federais na janela de Pagamento de Impostos Calculados pelo Sistema.</t>
  </si>
  <si>
    <t>Em alguns casos está ocorrendo erro de banco de dados ao incluir itens nas notas de serviço tomado através do utilitários "Gerar Itens nas Notas de Serviço".</t>
  </si>
  <si>
    <t>Está sendo gerado o valor incorreto dos lançamentos na importação dos dados de Sócios do botão "Outros Dados" do informativo EFD Reinf, quando os dados forem importados da Contabilidade.</t>
  </si>
  <si>
    <t>Em alguns casos está ocorrendo erro ao realizar as requisições para o endpoint nos envios de Contas a Pagar para o Conta Azul.</t>
  </si>
  <si>
    <t>Realizar a importação do sequencial do item no estoque das notas de entrada e saída através do Leiaute Domínio Sistemas com Separador.</t>
  </si>
  <si>
    <t>Não está sendo deduzido o valor do pedágio no campo "Valor do CT-e" da guia "CT-e", quando possuir lançamento de CT-e substituto com valor de pedágio onde nos parâmetros esteja marcada a opção "Deduzir o valor do pedágio da base de cálculo dos impostos federais" e no acumulador não esteja selecionada a opção "Não deduzir o valor do pedágio da base de cálculo do IRPJ e CSLL".</t>
  </si>
  <si>
    <t>Não está sendo gravando automaticamente a tela "Bases de Impostos por Parcela" quando realizado importação de baixa de parcela com PIS/COFINS através do Importador.</t>
  </si>
  <si>
    <t>Está ocorrendo erro de banco de dados ao atualizar o produto com a configuração do imposto "Simples nacional" através do utilitário "Dados de Impostos por NCM/CEST", quando o CST de PIS/COFINS informado no cadastro do produto está diferente do CST de PIS/COFINS informado na configuração dos impostos por NCM/CEST.</t>
  </si>
  <si>
    <t>Está sendo demonstrada a data de pagamento incorreta no relatório de Parcelamento de Impostos, quando houver mais de um parcelamento pago com o mesmo código de receita.</t>
  </si>
  <si>
    <t>BA-Em alguns casos está sendo gerado valor diferente na apuração e relatório referente ao "Estorno de créditos - Saídas isentas ou não tributadas - Art. 312, I, do RICMS".</t>
  </si>
  <si>
    <t>SC-Não está sendo gerado o valor correto no registro C197 com código de ajuste SC24000001 no informativo SPED Fiscal, quando na guia "Estoque" para o mesmo produto possuir CST incentivado para o TTD 409, 410 e 411 e o mesmo produto com CST não incentivado.</t>
  </si>
  <si>
    <t>Está ocorrendo erro ao efetuar uma buscar pelo botão "Listagem" da janela "Recebimento de Recursos".</t>
  </si>
  <si>
    <t>Não estão sendo gerados os quadros "Identificação da Operadora do Plano Privado Coletivo Empresarial de Assistência à Saúde" e "Informações de Dependente do Plano de Saúde Coletivo Empresarial" no relatório de conferência do evento R-4010 do informativo Reinf, quando existir informações de operadora de plano de saúde para a empresa filial.</t>
  </si>
  <si>
    <t>Está importando o número do título da parcela incorretamente quando configurado para gerar parcela com número do título conforme o documento através da importação NFS-e Paulistana.</t>
  </si>
  <si>
    <t>Realizar os testes na ferramenta após atualização do java corretto.</t>
  </si>
  <si>
    <t>Em alguns casos está ocorrendo lentidão e não apresenta as notas armazenadas no BOX-e ao consultá-las.</t>
  </si>
  <si>
    <t>Alterar o comando SQL que atualiza o registro do OFFSET no websockets do Domínio para evitar sobrecarga no banco de dados.</t>
  </si>
  <si>
    <t>Realizar os testes na ferramenta apés atualização do java corretto.</t>
  </si>
  <si>
    <t>Demonstrar os dados de IBS e CBS na visualização de NF-e conforme alterações da Reforma Tributária.</t>
  </si>
  <si>
    <t>Quantidades Geradas</t>
  </si>
  <si>
    <t>Pequenas</t>
  </si>
  <si>
    <t xml:space="preserve">Médias </t>
  </si>
  <si>
    <t>Grandes</t>
  </si>
  <si>
    <t>Janeiro</t>
  </si>
  <si>
    <t>Fevereiro</t>
  </si>
  <si>
    <t>Março</t>
  </si>
  <si>
    <t>Abril</t>
  </si>
  <si>
    <t>Maio</t>
  </si>
  <si>
    <t>Junho</t>
  </si>
  <si>
    <t>Julho</t>
  </si>
  <si>
    <t>Agosto</t>
  </si>
  <si>
    <t>Setembro</t>
  </si>
  <si>
    <t>Outubro</t>
  </si>
  <si>
    <t>Novembro</t>
  </si>
  <si>
    <t>Dezembro</t>
  </si>
  <si>
    <t>Funcionário:</t>
  </si>
  <si>
    <t>Média Geral</t>
  </si>
  <si>
    <t/>
  </si>
  <si>
    <t>Quantidade de Pontos trabalhados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</si>
</sst>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b/>
      <sz val="11"/>
      <color rgb="FF000000"/>
      <name val="Arial"/>
      <family val="2"/>
    </font>
    <font>
      <b/>
      <sz val="11"/>
      <color theme="1"/>
      <name val="Calibri"/>
      <family val="2"/>
      <scheme val="minor"/>
    </font>
    <font>
      <b/>
      <i/>
      <sz val="11"/>
      <color theme="1"/>
      <name val="Calibri"/>
      <family val="2"/>
      <scheme val="minor"/>
    </font>
    <font>
      <sz val="8"/>
      <name val="Calibri"/>
      <family val="2"/>
      <scheme val="minor"/>
    </font>
    <font>
      <b/>
      <sz val="18"/>
      <color theme="1"/>
      <name val="Calibri"/>
      <family val="2"/>
      <scheme val="minor"/>
    </font>
    <font>
      <sz val="11"/>
      <color rgb="FF000000"/>
      <name val="Calibri"/>
      <family val="2"/>
    </font>
    <font>
      <b/>
      <sz val="11"/>
      <color rgb="FF000000"/>
      <name val="Calibri"/>
      <family val="2"/>
      <scheme val="minor"/>
    </font>
    <font>
      <u/>
      <sz val="11"/>
      <color theme="10"/>
      <name val="Calibri"/>
      <family val="2"/>
      <scheme val="minor"/>
    </font>
    <font>
      <sz val="11"/>
      <color rgb="FF000000"/>
      <name val="Calibri"/>
      <family val="2"/>
      <scheme val="minor"/>
    </font>
    <font>
      <sz val="11"/>
      <color rgb="FF000000"/>
      <name val="Aptos Narrow"/>
      <family val="2"/>
    </font>
    <font>
      <sz val="9"/>
      <color rgb="FF000000"/>
      <name val="Arial"/>
      <family val="2"/>
    </font>
    <font>
      <sz val="9"/>
      <color rgb="FF000000"/>
      <name val="Courier New"/>
      <family val="3"/>
    </font>
    <font>
      <sz val="11"/>
      <name val="Calibri"/>
      <family val="2"/>
      <scheme val="minor"/>
    </font>
    <font>
      <b/>
      <sz val="9"/>
      <color indexed="81"/>
      <name val="Segoe UI"/>
      <family val="2"/>
    </font>
    <font>
      <sz val="9"/>
      <color indexed="81"/>
      <name val="Segoe UI"/>
      <family val="2"/>
    </font>
    <font>
      <sz val="9"/>
      <color rgb="FF000000"/>
      <name val="Calibri"/>
      <family val="2"/>
      <scheme val="minor"/>
    </font>
    <font>
      <sz val="10"/>
      <color rgb="FF000000"/>
      <name val="Calibri "/>
    </font>
    <font>
      <sz val="11"/>
      <color rgb="FF000000"/>
      <name val="Calibri Light"/>
      <family val="2"/>
      <scheme val="major"/>
    </font>
    <font>
      <sz val="10"/>
      <color rgb="FF000000"/>
      <name val="Calibri"/>
      <family val="2"/>
      <scheme val="minor"/>
    </font>
  </fonts>
  <fills count="15">
    <fill>
      <patternFill patternType="none"/>
    </fill>
    <fill>
      <patternFill patternType="gray125"/>
    </fill>
    <fill>
      <patternFill patternType="solid">
        <fgColor rgb="FFFFD966"/>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7E6E6"/>
        <bgColor rgb="FF000000"/>
      </patternFill>
    </fill>
    <fill>
      <patternFill patternType="solid">
        <fgColor rgb="FFE7E6E6"/>
        <bgColor indexed="64"/>
      </patternFill>
    </fill>
    <fill>
      <patternFill patternType="solid">
        <fgColor theme="6" tint="0.79998168889431442"/>
        <bgColor indexed="64"/>
      </patternFill>
    </fill>
    <fill>
      <patternFill patternType="solid">
        <fgColor theme="2"/>
        <bgColor indexed="64"/>
      </patternFill>
    </fill>
    <fill>
      <patternFill patternType="solid">
        <fgColor theme="0"/>
        <bgColor indexed="64"/>
      </patternFill>
    </fill>
  </fills>
  <borders count="5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000000"/>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216">
    <xf numFmtId="0" fontId="0" fillId="0" borderId="0" xfId="0"/>
    <xf numFmtId="0" fontId="0" fillId="0" borderId="2" xfId="0" applyBorder="1"/>
    <xf numFmtId="0" fontId="0" fillId="0" borderId="4" xfId="0" applyBorder="1"/>
    <xf numFmtId="0" fontId="0" fillId="0" borderId="6" xfId="0" applyBorder="1"/>
    <xf numFmtId="14" fontId="0" fillId="0" borderId="0" xfId="0" applyNumberFormat="1" applyAlignment="1">
      <alignment horizontal="left"/>
    </xf>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6" xfId="0" applyFill="1" applyBorder="1"/>
    <xf numFmtId="0" fontId="0" fillId="0" borderId="0" xfId="0"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 borderId="16" xfId="0" applyFill="1" applyBorder="1"/>
    <xf numFmtId="0" fontId="0" fillId="3" borderId="8" xfId="0" applyFill="1" applyBorder="1"/>
    <xf numFmtId="0" fontId="0" fillId="5" borderId="14" xfId="0" applyFill="1" applyBorder="1" applyAlignment="1">
      <alignment horizontal="center"/>
    </xf>
    <xf numFmtId="0" fontId="0" fillId="5" borderId="19" xfId="0" applyFill="1" applyBorder="1" applyAlignment="1">
      <alignment horizontal="center"/>
    </xf>
    <xf numFmtId="0" fontId="2" fillId="3" borderId="16" xfId="0" applyFont="1" applyFill="1" applyBorder="1" applyAlignment="1">
      <alignment horizontal="center"/>
    </xf>
    <xf numFmtId="0" fontId="0" fillId="5" borderId="24" xfId="0" applyFill="1" applyBorder="1"/>
    <xf numFmtId="0" fontId="0" fillId="0" borderId="24" xfId="0" applyBorder="1"/>
    <xf numFmtId="0" fontId="0" fillId="3" borderId="15" xfId="0" applyFill="1" applyBorder="1"/>
    <xf numFmtId="0" fontId="0" fillId="6" borderId="7" xfId="0" applyFill="1" applyBorder="1" applyAlignment="1">
      <alignment horizontal="center"/>
    </xf>
    <xf numFmtId="0" fontId="0" fillId="0" borderId="1" xfId="0" applyBorder="1"/>
    <xf numFmtId="0" fontId="0" fillId="0" borderId="12" xfId="0" applyBorder="1"/>
    <xf numFmtId="0" fontId="0" fillId="0" borderId="3" xfId="0" applyBorder="1"/>
    <xf numFmtId="0" fontId="0" fillId="0" borderId="5" xfId="0" applyBorder="1"/>
    <xf numFmtId="0" fontId="0" fillId="0" borderId="14" xfId="0" applyBorder="1"/>
    <xf numFmtId="0" fontId="0" fillId="0" borderId="27" xfId="0" applyBorder="1"/>
    <xf numFmtId="0" fontId="0" fillId="0" borderId="19" xfId="0" applyBorder="1"/>
    <xf numFmtId="0" fontId="0" fillId="5" borderId="1" xfId="0" applyFill="1" applyBorder="1"/>
    <xf numFmtId="0" fontId="0" fillId="5" borderId="26" xfId="0" applyFill="1" applyBorder="1"/>
    <xf numFmtId="0" fontId="0" fillId="5" borderId="17" xfId="0" applyFill="1" applyBorder="1"/>
    <xf numFmtId="0" fontId="0" fillId="5" borderId="18" xfId="0" applyFill="1" applyBorder="1"/>
    <xf numFmtId="0" fontId="0" fillId="5" borderId="3" xfId="0" applyFill="1" applyBorder="1"/>
    <xf numFmtId="0" fontId="0" fillId="5" borderId="27" xfId="0" applyFill="1" applyBorder="1"/>
    <xf numFmtId="0" fontId="0" fillId="5" borderId="14" xfId="0" applyFill="1" applyBorder="1"/>
    <xf numFmtId="0" fontId="0" fillId="5" borderId="19" xfId="0" applyFill="1" applyBorder="1"/>
    <xf numFmtId="17" fontId="0" fillId="0" borderId="0" xfId="0" applyNumberFormat="1"/>
    <xf numFmtId="0" fontId="3" fillId="3" borderId="29" xfId="0" applyFont="1" applyFill="1" applyBorder="1"/>
    <xf numFmtId="0" fontId="3" fillId="3" borderId="30" xfId="0" applyFont="1" applyFill="1" applyBorder="1"/>
    <xf numFmtId="0" fontId="3" fillId="3" borderId="22" xfId="0" applyFont="1" applyFill="1" applyBorder="1"/>
    <xf numFmtId="0" fontId="0" fillId="0" borderId="0" xfId="0" quotePrefix="1"/>
    <xf numFmtId="0" fontId="0" fillId="3" borderId="7" xfId="0" applyFill="1" applyBorder="1"/>
    <xf numFmtId="0" fontId="0" fillId="0" borderId="13" xfId="0" applyBorder="1"/>
    <xf numFmtId="0" fontId="0" fillId="0" borderId="31" xfId="0" applyBorder="1"/>
    <xf numFmtId="0" fontId="0" fillId="0" borderId="32" xfId="0" applyBorder="1"/>
    <xf numFmtId="0" fontId="0" fillId="0" borderId="33" xfId="0" applyBorder="1"/>
    <xf numFmtId="0" fontId="0" fillId="0" borderId="15" xfId="0" applyBorder="1"/>
    <xf numFmtId="0" fontId="0" fillId="7" borderId="7" xfId="0" applyFill="1" applyBorder="1"/>
    <xf numFmtId="2" fontId="0" fillId="7" borderId="16" xfId="0" applyNumberFormat="1" applyFill="1" applyBorder="1"/>
    <xf numFmtId="2" fontId="0" fillId="7" borderId="8" xfId="0" applyNumberFormat="1" applyFill="1" applyBorder="1"/>
    <xf numFmtId="17" fontId="0" fillId="0" borderId="9" xfId="0" applyNumberFormat="1" applyBorder="1"/>
    <xf numFmtId="17" fontId="0" fillId="0" borderId="10" xfId="0" applyNumberFormat="1" applyBorder="1"/>
    <xf numFmtId="17" fontId="0" fillId="0" borderId="11" xfId="0" applyNumberFormat="1" applyBorder="1"/>
    <xf numFmtId="0" fontId="0" fillId="4" borderId="7" xfId="0" applyFill="1" applyBorder="1"/>
    <xf numFmtId="0" fontId="0" fillId="4" borderId="16" xfId="0" applyFill="1" applyBorder="1"/>
    <xf numFmtId="0" fontId="0" fillId="4" borderId="15" xfId="0" applyFill="1" applyBorder="1"/>
    <xf numFmtId="0" fontId="0" fillId="3" borderId="11" xfId="0" applyFill="1" applyBorder="1"/>
    <xf numFmtId="2" fontId="0" fillId="7" borderId="15" xfId="0" applyNumberFormat="1" applyFill="1" applyBorder="1"/>
    <xf numFmtId="0" fontId="3" fillId="3" borderId="11" xfId="0" applyFont="1" applyFill="1" applyBorder="1"/>
    <xf numFmtId="0" fontId="0" fillId="5" borderId="0" xfId="0" applyFill="1"/>
    <xf numFmtId="0" fontId="0" fillId="5" borderId="12" xfId="0" applyFill="1" applyBorder="1"/>
    <xf numFmtId="0" fontId="0" fillId="5" borderId="2" xfId="0" applyFill="1" applyBorder="1"/>
    <xf numFmtId="0" fontId="0" fillId="5" borderId="4" xfId="0" applyFill="1" applyBorder="1"/>
    <xf numFmtId="0" fontId="3" fillId="7" borderId="15" xfId="0" applyFont="1" applyFill="1" applyBorder="1"/>
    <xf numFmtId="0" fontId="0" fillId="8" borderId="15" xfId="0" applyFill="1" applyBorder="1"/>
    <xf numFmtId="0" fontId="0" fillId="0" borderId="7" xfId="0" applyBorder="1"/>
    <xf numFmtId="2" fontId="0" fillId="9" borderId="15" xfId="0" applyNumberFormat="1" applyFill="1" applyBorder="1"/>
    <xf numFmtId="0" fontId="2" fillId="0" borderId="0" xfId="0" applyFont="1"/>
    <xf numFmtId="0" fontId="0" fillId="0" borderId="0" xfId="0" applyAlignment="1">
      <alignment vertical="center"/>
    </xf>
    <xf numFmtId="0" fontId="0" fillId="6" borderId="16" xfId="0" applyFill="1" applyBorder="1" applyAlignment="1">
      <alignment horizontal="center"/>
    </xf>
    <xf numFmtId="0" fontId="0" fillId="4" borderId="0" xfId="0" applyFill="1"/>
    <xf numFmtId="0" fontId="0" fillId="7" borderId="0" xfId="0" applyFill="1"/>
    <xf numFmtId="0" fontId="1" fillId="8" borderId="14" xfId="0" applyFont="1" applyFill="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3" fillId="3" borderId="36" xfId="0" applyFont="1" applyFill="1" applyBorder="1"/>
    <xf numFmtId="0" fontId="3" fillId="3" borderId="37" xfId="0" applyFont="1" applyFill="1" applyBorder="1"/>
    <xf numFmtId="0" fontId="3" fillId="3" borderId="35" xfId="0" applyFont="1" applyFill="1" applyBorder="1"/>
    <xf numFmtId="0" fontId="1" fillId="8" borderId="14" xfId="0" applyFont="1" applyFill="1" applyBorder="1" applyAlignment="1">
      <alignment horizontal="center" vertical="center" wrapText="1"/>
    </xf>
    <xf numFmtId="0" fontId="0" fillId="8" borderId="9" xfId="0" applyFill="1" applyBorder="1" applyAlignment="1">
      <alignment horizontal="center"/>
    </xf>
    <xf numFmtId="0" fontId="1" fillId="8" borderId="40" xfId="0" applyFont="1" applyFill="1" applyBorder="1" applyAlignment="1">
      <alignment horizontal="center" vertical="center" wrapText="1"/>
    </xf>
    <xf numFmtId="0" fontId="0" fillId="5" borderId="27" xfId="0" applyFill="1" applyBorder="1" applyAlignment="1">
      <alignment horizontal="center"/>
    </xf>
    <xf numFmtId="0" fontId="0" fillId="0" borderId="27" xfId="0" applyBorder="1" applyAlignment="1">
      <alignment horizontal="center"/>
    </xf>
    <xf numFmtId="0" fontId="0" fillId="0" borderId="42" xfId="0" applyBorder="1"/>
    <xf numFmtId="0" fontId="0" fillId="5" borderId="23" xfId="0" applyFill="1" applyBorder="1"/>
    <xf numFmtId="0" fontId="0" fillId="5" borderId="25" xfId="0" applyFill="1" applyBorder="1"/>
    <xf numFmtId="0" fontId="0" fillId="5" borderId="28" xfId="0" applyFill="1" applyBorder="1"/>
    <xf numFmtId="0" fontId="0" fillId="5" borderId="20" xfId="0" applyFill="1" applyBorder="1"/>
    <xf numFmtId="0" fontId="0" fillId="5" borderId="21" xfId="0" applyFill="1" applyBorder="1"/>
    <xf numFmtId="0" fontId="2" fillId="3" borderId="7" xfId="0" applyFont="1" applyFill="1" applyBorder="1" applyAlignment="1">
      <alignment horizontal="center"/>
    </xf>
    <xf numFmtId="3" fontId="0" fillId="0" borderId="0" xfId="0" applyNumberFormat="1"/>
    <xf numFmtId="0" fontId="6" fillId="0" borderId="0" xfId="0" applyFont="1"/>
    <xf numFmtId="0" fontId="6" fillId="0" borderId="0" xfId="0" applyFont="1" applyAlignment="1">
      <alignment horizontal="right"/>
    </xf>
    <xf numFmtId="0" fontId="0" fillId="5" borderId="41"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2" fillId="6" borderId="22" xfId="0" applyFont="1" applyFill="1" applyBorder="1" applyAlignment="1">
      <alignment horizontal="center"/>
    </xf>
    <xf numFmtId="0" fontId="0" fillId="5" borderId="9" xfId="0" applyFill="1" applyBorder="1"/>
    <xf numFmtId="0" fontId="0" fillId="5" borderId="10" xfId="0" applyFill="1" applyBorder="1"/>
    <xf numFmtId="0" fontId="0" fillId="11" borderId="43" xfId="0" applyFill="1" applyBorder="1"/>
    <xf numFmtId="0" fontId="0" fillId="11" borderId="44" xfId="0" applyFill="1" applyBorder="1"/>
    <xf numFmtId="0" fontId="0" fillId="11" borderId="44" xfId="0" applyFill="1" applyBorder="1" applyAlignment="1">
      <alignment vertical="center"/>
    </xf>
    <xf numFmtId="0" fontId="0" fillId="11" borderId="45" xfId="0" applyFill="1" applyBorder="1"/>
    <xf numFmtId="0" fontId="0" fillId="11" borderId="46" xfId="0" applyFill="1" applyBorder="1"/>
    <xf numFmtId="0" fontId="0" fillId="11" borderId="0" xfId="0" applyFill="1"/>
    <xf numFmtId="0" fontId="0" fillId="11" borderId="0" xfId="0" applyFill="1" applyAlignment="1">
      <alignment vertical="center"/>
    </xf>
    <xf numFmtId="0" fontId="0" fillId="11" borderId="47" xfId="0" applyFill="1" applyBorder="1"/>
    <xf numFmtId="0" fontId="0" fillId="0" borderId="46" xfId="0" applyBorder="1"/>
    <xf numFmtId="0" fontId="0" fillId="0" borderId="47" xfId="0" applyBorder="1" applyAlignment="1">
      <alignment vertical="center"/>
    </xf>
    <xf numFmtId="0" fontId="0" fillId="11" borderId="48" xfId="0" applyFill="1" applyBorder="1"/>
    <xf numFmtId="0" fontId="0" fillId="11" borderId="49" xfId="0" applyFill="1" applyBorder="1"/>
    <xf numFmtId="0" fontId="0" fillId="11" borderId="49" xfId="0" applyFill="1" applyBorder="1" applyAlignment="1">
      <alignment vertical="center"/>
    </xf>
    <xf numFmtId="0" fontId="0" fillId="11" borderId="50" xfId="0" applyFill="1" applyBorder="1"/>
    <xf numFmtId="0" fontId="0" fillId="0" borderId="43" xfId="0" applyBorder="1"/>
    <xf numFmtId="0" fontId="0" fillId="0" borderId="44" xfId="0" applyBorder="1"/>
    <xf numFmtId="0" fontId="0" fillId="0" borderId="44" xfId="0" applyBorder="1" applyAlignment="1">
      <alignment vertical="center"/>
    </xf>
    <xf numFmtId="0" fontId="0" fillId="0" borderId="45" xfId="0" applyBorder="1"/>
    <xf numFmtId="0" fontId="0" fillId="0" borderId="47" xfId="0" applyBorder="1"/>
    <xf numFmtId="3" fontId="0" fillId="11" borderId="0" xfId="0" applyNumberFormat="1" applyFill="1"/>
    <xf numFmtId="0" fontId="0" fillId="0" borderId="48" xfId="0" applyBorder="1"/>
    <xf numFmtId="0" fontId="0" fillId="0" borderId="49" xfId="0" applyBorder="1"/>
    <xf numFmtId="0" fontId="0" fillId="0" borderId="49" xfId="0" applyBorder="1" applyAlignment="1">
      <alignment vertical="center"/>
    </xf>
    <xf numFmtId="0" fontId="0" fillId="0" borderId="50" xfId="0" applyBorder="1"/>
    <xf numFmtId="0" fontId="6" fillId="10" borderId="44" xfId="0" applyFont="1" applyFill="1" applyBorder="1"/>
    <xf numFmtId="0" fontId="6" fillId="10" borderId="44" xfId="0" applyFont="1" applyFill="1" applyBorder="1" applyAlignment="1">
      <alignment horizontal="right"/>
    </xf>
    <xf numFmtId="0" fontId="6" fillId="10" borderId="0" xfId="0" applyFont="1" applyFill="1"/>
    <xf numFmtId="0" fontId="6" fillId="10" borderId="0" xfId="0" applyFont="1" applyFill="1" applyAlignment="1">
      <alignment horizontal="right"/>
    </xf>
    <xf numFmtId="0" fontId="0" fillId="0" borderId="50" xfId="0" applyBorder="1" applyAlignment="1">
      <alignment vertical="center"/>
    </xf>
    <xf numFmtId="0" fontId="7" fillId="0" borderId="0" xfId="0" applyFont="1"/>
    <xf numFmtId="14" fontId="0" fillId="0" borderId="0" xfId="0" applyNumberFormat="1"/>
    <xf numFmtId="0" fontId="8" fillId="0" borderId="0" xfId="1"/>
    <xf numFmtId="0" fontId="9" fillId="0" borderId="0" xfId="1" applyFont="1"/>
    <xf numFmtId="0" fontId="9" fillId="0" borderId="0" xfId="0" applyFont="1"/>
    <xf numFmtId="0" fontId="10" fillId="0" borderId="0" xfId="0" applyFont="1"/>
    <xf numFmtId="0" fontId="9" fillId="0" borderId="0" xfId="0" applyFont="1" applyAlignment="1">
      <alignment wrapText="1"/>
    </xf>
    <xf numFmtId="0" fontId="0" fillId="12" borderId="14" xfId="0" applyFill="1" applyBorder="1"/>
    <xf numFmtId="0" fontId="0" fillId="12" borderId="27" xfId="0" applyFill="1" applyBorder="1"/>
    <xf numFmtId="0" fontId="0" fillId="12" borderId="28" xfId="0" applyFill="1" applyBorder="1"/>
    <xf numFmtId="0" fontId="0" fillId="12" borderId="20" xfId="0" applyFill="1" applyBorder="1"/>
    <xf numFmtId="0" fontId="0" fillId="0" borderId="3"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left" wrapText="1"/>
    </xf>
    <xf numFmtId="0" fontId="9" fillId="0" borderId="0" xfId="0" applyFont="1" applyAlignment="1">
      <alignment vertical="center"/>
    </xf>
    <xf numFmtId="0" fontId="11" fillId="0" borderId="0" xfId="0" applyFont="1" applyAlignment="1">
      <alignment horizontal="center"/>
    </xf>
    <xf numFmtId="0" fontId="0" fillId="13" borderId="46" xfId="0" applyFill="1" applyBorder="1"/>
    <xf numFmtId="0" fontId="0" fillId="13" borderId="0" xfId="0" applyFill="1"/>
    <xf numFmtId="0" fontId="0" fillId="13" borderId="47" xfId="0" applyFill="1" applyBorder="1"/>
    <xf numFmtId="0" fontId="11" fillId="0" borderId="0" xfId="0" applyFont="1"/>
    <xf numFmtId="0" fontId="12" fillId="0" borderId="0" xfId="0" applyFont="1"/>
    <xf numFmtId="0" fontId="13" fillId="0" borderId="0" xfId="1" applyFont="1" applyAlignment="1">
      <alignment horizontal="left" vertical="center"/>
    </xf>
    <xf numFmtId="0" fontId="13" fillId="0" borderId="0" xfId="1" applyFont="1" applyAlignment="1">
      <alignment horizontal="left"/>
    </xf>
    <xf numFmtId="0" fontId="11"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wrapText="1"/>
    </xf>
    <xf numFmtId="0" fontId="0" fillId="14" borderId="0" xfId="0" applyFill="1"/>
    <xf numFmtId="0" fontId="6" fillId="0" borderId="0" xfId="0" applyFont="1" applyAlignment="1">
      <alignment horizontal="left"/>
    </xf>
    <xf numFmtId="14" fontId="6" fillId="0" borderId="0" xfId="0" applyNumberFormat="1" applyFont="1" applyAlignment="1">
      <alignment horizontal="left"/>
    </xf>
    <xf numFmtId="0" fontId="11" fillId="0" borderId="0" xfId="0" applyFont="1" applyAlignment="1">
      <alignment horizontal="left" vertical="center"/>
    </xf>
    <xf numFmtId="0" fontId="9" fillId="0" borderId="0" xfId="0" applyFont="1" applyAlignment="1">
      <alignment horizontal="left"/>
    </xf>
    <xf numFmtId="0" fontId="0" fillId="0" borderId="0" xfId="0" applyAlignment="1">
      <alignment horizontal="left" vertical="top"/>
    </xf>
    <xf numFmtId="14" fontId="0" fillId="0" borderId="0" xfId="0" applyNumberFormat="1" applyAlignment="1">
      <alignment horizontal="left" vertical="center"/>
    </xf>
    <xf numFmtId="0" fontId="9" fillId="0" borderId="0" xfId="0" applyFont="1" applyAlignment="1">
      <alignment horizontal="right" vertical="center"/>
    </xf>
    <xf numFmtId="0" fontId="13" fillId="0" borderId="0" xfId="1" applyFont="1"/>
    <xf numFmtId="0" fontId="13" fillId="0" borderId="0" xfId="1" applyFont="1" applyAlignment="1"/>
    <xf numFmtId="0" fontId="6" fillId="0" borderId="0" xfId="0" applyFont="1" applyAlignment="1">
      <alignment wrapText="1"/>
    </xf>
    <xf numFmtId="0" fontId="1" fillId="8" borderId="54" xfId="0" applyFont="1" applyFill="1" applyBorder="1" applyAlignment="1">
      <alignment horizontal="center" vertical="center"/>
    </xf>
    <xf numFmtId="0" fontId="16" fillId="0" borderId="0" xfId="0" applyFont="1"/>
    <xf numFmtId="0" fontId="1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xf>
    <xf numFmtId="0" fontId="17" fillId="0" borderId="0" xfId="0" applyFont="1"/>
    <xf numFmtId="0" fontId="18" fillId="0" borderId="0" xfId="0" applyFont="1"/>
    <xf numFmtId="0" fontId="9" fillId="0" borderId="0" xfId="0" applyFont="1" applyAlignment="1">
      <alignment horizontal="center"/>
    </xf>
    <xf numFmtId="14" fontId="9" fillId="0" borderId="0" xfId="0" applyNumberFormat="1" applyFont="1" applyAlignment="1">
      <alignment horizontal="left"/>
    </xf>
    <xf numFmtId="0" fontId="19" fillId="0" borderId="0" xfId="0" applyFont="1" applyAlignment="1">
      <alignment horizontal="left" vertical="top"/>
    </xf>
    <xf numFmtId="0" fontId="2" fillId="3" borderId="7" xfId="0" applyFont="1" applyFill="1" applyBorder="1" applyAlignment="1">
      <alignment horizontal="center"/>
    </xf>
    <xf numFmtId="0" fontId="2" fillId="3" borderId="16" xfId="0" applyFont="1" applyFill="1" applyBorder="1" applyAlignment="1">
      <alignment horizontal="center"/>
    </xf>
    <xf numFmtId="0" fontId="2" fillId="3" borderId="8" xfId="0" applyFont="1" applyFill="1" applyBorder="1" applyAlignment="1">
      <alignment horizontal="center"/>
    </xf>
    <xf numFmtId="0" fontId="0" fillId="3" borderId="7" xfId="0" applyFill="1" applyBorder="1" applyAlignment="1">
      <alignment horizontal="center"/>
    </xf>
    <xf numFmtId="0" fontId="0" fillId="3" borderId="16" xfId="0" applyFill="1" applyBorder="1" applyAlignment="1">
      <alignment horizont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 xfId="0" applyFont="1" applyFill="1" applyBorder="1" applyAlignment="1">
      <alignment horizontal="center" vertical="center"/>
    </xf>
    <xf numFmtId="0" fontId="1" fillId="2" borderId="34" xfId="0" applyFont="1" applyFill="1" applyBorder="1" applyAlignment="1">
      <alignment horizontal="center" vertical="center"/>
    </xf>
    <xf numFmtId="0" fontId="0" fillId="4" borderId="8"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4" borderId="2"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2" xfId="0" applyFill="1" applyBorder="1" applyAlignment="1">
      <alignment horizontal="center"/>
    </xf>
    <xf numFmtId="0" fontId="0" fillId="3" borderId="8" xfId="0"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16" xfId="0" applyFont="1" applyFill="1" applyBorder="1" applyAlignment="1">
      <alignment horizontal="left"/>
    </xf>
    <xf numFmtId="0" fontId="5" fillId="4" borderId="8" xfId="0" applyFont="1" applyFill="1" applyBorder="1" applyAlignment="1">
      <alignment horizontal="left"/>
    </xf>
  </cellXfs>
  <cellStyles count="2">
    <cellStyle name="Hi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Quantidades</a:t>
            </a:r>
            <a:r>
              <a:rPr lang="pt-BR" baseline="0"/>
              <a:t> geradas por Tamanho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Totais'!$B$4</c:f>
              <c:strCache>
                <c:ptCount val="1"/>
                <c:pt idx="0">
                  <c:v>Pequenas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Totais'!$B$5:$B$16</c:f>
              <c:numCache>
                <c:formatCode>General</c:formatCode>
                <c:ptCount val="12"/>
                <c:pt idx="0">
                  <c:v>90</c:v>
                </c:pt>
                <c:pt idx="1">
                  <c:v>105</c:v>
                </c:pt>
                <c:pt idx="2">
                  <c:v>94</c:v>
                </c:pt>
                <c:pt idx="3">
                  <c:v>87</c:v>
                </c:pt>
                <c:pt idx="4">
                  <c:v>6</c:v>
                </c:pt>
                <c:pt idx="5">
                  <c:v>91</c:v>
                </c:pt>
                <c:pt idx="6">
                  <c:v>0</c:v>
                </c:pt>
                <c:pt idx="7">
                  <c:v>0</c:v>
                </c:pt>
                <c:pt idx="8">
                  <c:v>0</c:v>
                </c:pt>
                <c:pt idx="9">
                  <c:v>0</c:v>
                </c:pt>
                <c:pt idx="10">
                  <c:v>0</c:v>
                </c:pt>
                <c:pt idx="11">
                  <c:v>0</c:v>
                </c:pt>
              </c:numCache>
            </c:numRef>
          </c:val>
          <c:extLst>
            <c:ext xmlns:c16="http://schemas.microsoft.com/office/drawing/2014/chart" uri="{C3380CC4-5D6E-409C-BE32-E72D297353CC}">
              <c16:uniqueId val="{00000000-32B7-4955-B895-D8B266062DB0}"/>
            </c:ext>
          </c:extLst>
        </c:ser>
        <c:ser>
          <c:idx val="1"/>
          <c:order val="1"/>
          <c:tx>
            <c:strRef>
              <c:f>'Graficos Totais'!$C$4</c:f>
              <c:strCache>
                <c:ptCount val="1"/>
                <c:pt idx="0">
                  <c:v>Médias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Totais'!$C$5:$C$16</c:f>
              <c:numCache>
                <c:formatCode>General</c:formatCode>
                <c:ptCount val="12"/>
                <c:pt idx="0">
                  <c:v>11</c:v>
                </c:pt>
                <c:pt idx="1">
                  <c:v>8</c:v>
                </c:pt>
                <c:pt idx="2">
                  <c:v>11</c:v>
                </c:pt>
                <c:pt idx="3">
                  <c:v>12</c:v>
                </c:pt>
                <c:pt idx="4">
                  <c:v>0</c:v>
                </c:pt>
                <c:pt idx="5">
                  <c:v>9</c:v>
                </c:pt>
                <c:pt idx="6">
                  <c:v>0</c:v>
                </c:pt>
                <c:pt idx="7">
                  <c:v>0</c:v>
                </c:pt>
                <c:pt idx="8">
                  <c:v>0</c:v>
                </c:pt>
                <c:pt idx="9">
                  <c:v>0</c:v>
                </c:pt>
                <c:pt idx="10">
                  <c:v>0</c:v>
                </c:pt>
                <c:pt idx="11">
                  <c:v>0</c:v>
                </c:pt>
              </c:numCache>
            </c:numRef>
          </c:val>
          <c:extLst>
            <c:ext xmlns:c16="http://schemas.microsoft.com/office/drawing/2014/chart" uri="{C3380CC4-5D6E-409C-BE32-E72D297353CC}">
              <c16:uniqueId val="{00000001-32B7-4955-B895-D8B266062DB0}"/>
            </c:ext>
          </c:extLst>
        </c:ser>
        <c:ser>
          <c:idx val="2"/>
          <c:order val="2"/>
          <c:tx>
            <c:strRef>
              <c:f>'Graficos Totais'!$D$4</c:f>
              <c:strCache>
                <c:ptCount val="1"/>
                <c:pt idx="0">
                  <c:v>Grandes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Totais'!$D$5:$D$16</c:f>
              <c:numCache>
                <c:formatCode>General</c:formatCode>
                <c:ptCount val="12"/>
                <c:pt idx="0">
                  <c:v>0</c:v>
                </c:pt>
                <c:pt idx="1">
                  <c:v>2</c:v>
                </c:pt>
                <c:pt idx="2">
                  <c:v>0</c:v>
                </c:pt>
                <c:pt idx="3">
                  <c:v>1</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2B7-4955-B895-D8B266062DB0}"/>
            </c:ext>
          </c:extLst>
        </c:ser>
        <c:dLbls>
          <c:showLegendKey val="0"/>
          <c:showVal val="0"/>
          <c:showCatName val="0"/>
          <c:showSerName val="0"/>
          <c:showPercent val="0"/>
          <c:showBubbleSize val="0"/>
        </c:dLbls>
        <c:gapWidth val="150"/>
        <c:axId val="993027216"/>
        <c:axId val="992452352"/>
      </c:barChart>
      <c:catAx>
        <c:axId val="99302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2452352"/>
        <c:crosses val="autoZero"/>
        <c:auto val="1"/>
        <c:lblAlgn val="ctr"/>
        <c:lblOffset val="100"/>
        <c:noMultiLvlLbl val="0"/>
      </c:catAx>
      <c:valAx>
        <c:axId val="99245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30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Gráfico por tipo de Implementação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Totais'!$B$21</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Totais'!$B$22:$B$33</c:f>
              <c:numCache>
                <c:formatCode>General</c:formatCode>
                <c:ptCount val="12"/>
                <c:pt idx="0">
                  <c:v>4</c:v>
                </c:pt>
                <c:pt idx="1">
                  <c:v>20</c:v>
                </c:pt>
                <c:pt idx="2">
                  <c:v>16</c:v>
                </c:pt>
                <c:pt idx="3">
                  <c:v>7</c:v>
                </c:pt>
                <c:pt idx="4">
                  <c:v>2</c:v>
                </c:pt>
                <c:pt idx="5">
                  <c:v>4</c:v>
                </c:pt>
                <c:pt idx="6">
                  <c:v>0</c:v>
                </c:pt>
                <c:pt idx="7">
                  <c:v>0</c:v>
                </c:pt>
                <c:pt idx="8">
                  <c:v>0</c:v>
                </c:pt>
                <c:pt idx="9">
                  <c:v>0</c:v>
                </c:pt>
                <c:pt idx="10">
                  <c:v>0</c:v>
                </c:pt>
                <c:pt idx="11">
                  <c:v>0</c:v>
                </c:pt>
              </c:numCache>
            </c:numRef>
          </c:val>
          <c:extLst>
            <c:ext xmlns:c16="http://schemas.microsoft.com/office/drawing/2014/chart" uri="{C3380CC4-5D6E-409C-BE32-E72D297353CC}">
              <c16:uniqueId val="{00000000-829D-44C1-A222-B8B9FCC80655}"/>
            </c:ext>
          </c:extLst>
        </c:ser>
        <c:ser>
          <c:idx val="1"/>
          <c:order val="1"/>
          <c:tx>
            <c:strRef>
              <c:f>'Graficos Totais'!$C$21</c:f>
              <c:strCache>
                <c:ptCount val="1"/>
                <c:pt idx="0">
                  <c:v>SAM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Totais'!$C$22:$C$33</c:f>
              <c:numCache>
                <c:formatCode>General</c:formatCode>
                <c:ptCount val="12"/>
                <c:pt idx="0">
                  <c:v>4</c:v>
                </c:pt>
                <c:pt idx="1">
                  <c:v>46</c:v>
                </c:pt>
                <c:pt idx="2">
                  <c:v>36</c:v>
                </c:pt>
                <c:pt idx="3">
                  <c:v>20</c:v>
                </c:pt>
                <c:pt idx="4">
                  <c:v>1</c:v>
                </c:pt>
                <c:pt idx="5">
                  <c:v>16</c:v>
                </c:pt>
                <c:pt idx="6">
                  <c:v>0</c:v>
                </c:pt>
                <c:pt idx="7">
                  <c:v>0</c:v>
                </c:pt>
                <c:pt idx="8">
                  <c:v>0</c:v>
                </c:pt>
                <c:pt idx="9">
                  <c:v>0</c:v>
                </c:pt>
                <c:pt idx="10">
                  <c:v>0</c:v>
                </c:pt>
                <c:pt idx="11">
                  <c:v>0</c:v>
                </c:pt>
              </c:numCache>
            </c:numRef>
          </c:val>
          <c:extLst>
            <c:ext xmlns:c16="http://schemas.microsoft.com/office/drawing/2014/chart" uri="{C3380CC4-5D6E-409C-BE32-E72D297353CC}">
              <c16:uniqueId val="{00000001-829D-44C1-A222-B8B9FCC80655}"/>
            </c:ext>
          </c:extLst>
        </c:ser>
        <c:ser>
          <c:idx val="2"/>
          <c:order val="2"/>
          <c:tx>
            <c:strRef>
              <c:f>'Graficos Totais'!$D$21</c:f>
              <c:strCache>
                <c:ptCount val="1"/>
                <c:pt idx="0">
                  <c:v>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Totais'!$D$22:$D$33</c:f>
              <c:numCache>
                <c:formatCode>General</c:formatCode>
                <c:ptCount val="12"/>
                <c:pt idx="0">
                  <c:v>3</c:v>
                </c:pt>
                <c:pt idx="1">
                  <c:v>45</c:v>
                </c:pt>
                <c:pt idx="2">
                  <c:v>50</c:v>
                </c:pt>
                <c:pt idx="3">
                  <c:v>62</c:v>
                </c:pt>
                <c:pt idx="4">
                  <c:v>3</c:v>
                </c:pt>
                <c:pt idx="5">
                  <c:v>18</c:v>
                </c:pt>
                <c:pt idx="6">
                  <c:v>0</c:v>
                </c:pt>
                <c:pt idx="7">
                  <c:v>0</c:v>
                </c:pt>
                <c:pt idx="8">
                  <c:v>0</c:v>
                </c:pt>
                <c:pt idx="9">
                  <c:v>0</c:v>
                </c:pt>
                <c:pt idx="10">
                  <c:v>0</c:v>
                </c:pt>
                <c:pt idx="11">
                  <c:v>0</c:v>
                </c:pt>
              </c:numCache>
            </c:numRef>
          </c:val>
          <c:extLst>
            <c:ext xmlns:c16="http://schemas.microsoft.com/office/drawing/2014/chart" uri="{C3380CC4-5D6E-409C-BE32-E72D297353CC}">
              <c16:uniqueId val="{00000002-829D-44C1-A222-B8B9FCC80655}"/>
            </c:ext>
          </c:extLst>
        </c:ser>
        <c:ser>
          <c:idx val="3"/>
          <c:order val="3"/>
          <c:tx>
            <c:strRef>
              <c:f>'Graficos Totais'!$E$21</c:f>
              <c:strCache>
                <c:ptCount val="1"/>
                <c:pt idx="0">
                  <c:v>SAIL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Totais'!$E$22:$E$33</c:f>
              <c:numCache>
                <c:formatCode>General</c:formatCode>
                <c:ptCount val="12"/>
                <c:pt idx="0">
                  <c:v>1</c:v>
                </c:pt>
                <c:pt idx="1">
                  <c:v>5</c:v>
                </c:pt>
                <c:pt idx="2">
                  <c:v>3</c:v>
                </c:pt>
                <c:pt idx="3">
                  <c:v>12</c:v>
                </c:pt>
                <c:pt idx="4">
                  <c:v>0</c:v>
                </c:pt>
                <c:pt idx="5">
                  <c:v>1</c:v>
                </c:pt>
                <c:pt idx="6">
                  <c:v>0</c:v>
                </c:pt>
                <c:pt idx="7">
                  <c:v>0</c:v>
                </c:pt>
                <c:pt idx="8">
                  <c:v>0</c:v>
                </c:pt>
                <c:pt idx="9">
                  <c:v>0</c:v>
                </c:pt>
                <c:pt idx="10">
                  <c:v>0</c:v>
                </c:pt>
                <c:pt idx="11">
                  <c:v>0</c:v>
                </c:pt>
              </c:numCache>
            </c:numRef>
          </c:val>
          <c:extLst>
            <c:ext xmlns:c16="http://schemas.microsoft.com/office/drawing/2014/chart" uri="{C3380CC4-5D6E-409C-BE32-E72D297353CC}">
              <c16:uniqueId val="{00000003-829D-44C1-A222-B8B9FCC80655}"/>
            </c:ext>
          </c:extLst>
        </c:ser>
        <c:dLbls>
          <c:showLegendKey val="0"/>
          <c:showVal val="0"/>
          <c:showCatName val="0"/>
          <c:showSerName val="0"/>
          <c:showPercent val="0"/>
          <c:showBubbleSize val="0"/>
        </c:dLbls>
        <c:gapWidth val="219"/>
        <c:overlap val="-27"/>
        <c:axId val="579415536"/>
        <c:axId val="996262976"/>
      </c:barChart>
      <c:catAx>
        <c:axId val="5794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262976"/>
        <c:crosses val="autoZero"/>
        <c:auto val="1"/>
        <c:lblAlgn val="ctr"/>
        <c:lblOffset val="100"/>
        <c:noMultiLvlLbl val="0"/>
      </c:catAx>
      <c:valAx>
        <c:axId val="9962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941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 por Tipo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2025'!$AM$6</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2025'!$AM$7:$AM$18</c:f>
              <c:numCache>
                <c:formatCode>General</c:formatCode>
                <c:ptCount val="12"/>
                <c:pt idx="0">
                  <c:v>#N/A</c:v>
                </c:pt>
                <c:pt idx="1">
                  <c:v>4</c:v>
                </c:pt>
                <c:pt idx="2">
                  <c:v>2</c:v>
                </c:pt>
                <c:pt idx="3">
                  <c:v>1</c:v>
                </c:pt>
                <c:pt idx="4">
                  <c:v>1</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0AA6-425A-AE28-D5154ADF7B1F}"/>
            </c:ext>
          </c:extLst>
        </c:ser>
        <c:ser>
          <c:idx val="1"/>
          <c:order val="1"/>
          <c:tx>
            <c:strRef>
              <c:f>'Acompanhamento 2025'!$AN$6</c:f>
              <c:strCache>
                <c:ptCount val="1"/>
                <c:pt idx="0">
                  <c:v>SAIL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2025'!$AN$7:$AN$18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0AA6-425A-AE28-D5154ADF7B1F}"/>
            </c:ext>
          </c:extLst>
        </c:ser>
        <c:ser>
          <c:idx val="2"/>
          <c:order val="2"/>
          <c:tx>
            <c:strRef>
              <c:f>'Acompanhamento 2025'!$AO$6</c:f>
              <c:strCache>
                <c:ptCount val="1"/>
                <c:pt idx="0">
                  <c:v>SAM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2025'!$AO$7:$AO$18</c:f>
              <c:numCache>
                <c:formatCode>General</c:formatCode>
                <c:ptCount val="12"/>
                <c:pt idx="0">
                  <c:v>#N/A</c:v>
                </c:pt>
                <c:pt idx="1">
                  <c:v>2</c:v>
                </c:pt>
                <c:pt idx="2">
                  <c:v>#N/A</c:v>
                </c:pt>
                <c:pt idx="3">
                  <c:v>1</c:v>
                </c:pt>
                <c:pt idx="4">
                  <c:v>1</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0AA6-425A-AE28-D5154ADF7B1F}"/>
            </c:ext>
          </c:extLst>
        </c:ser>
        <c:ser>
          <c:idx val="3"/>
          <c:order val="3"/>
          <c:tx>
            <c:strRef>
              <c:f>'Acompanhamento 2025'!$AP$6</c:f>
              <c:strCache>
                <c:ptCount val="1"/>
                <c:pt idx="0">
                  <c:v>NE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2025'!$AP$7:$AP$18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0AA6-425A-AE28-D5154ADF7B1F}"/>
            </c:ext>
          </c:extLst>
        </c:ser>
        <c:dLbls>
          <c:showLegendKey val="0"/>
          <c:showVal val="0"/>
          <c:showCatName val="0"/>
          <c:showSerName val="0"/>
          <c:showPercent val="0"/>
          <c:showBubbleSize val="0"/>
        </c:dLbls>
        <c:gapWidth val="219"/>
        <c:overlap val="-27"/>
        <c:axId val="1405000815"/>
        <c:axId val="1405012335"/>
      </c:barChart>
      <c:dateAx>
        <c:axId val="140500081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12335"/>
        <c:crosses val="autoZero"/>
        <c:auto val="1"/>
        <c:lblOffset val="100"/>
        <c:baseTimeUnit val="months"/>
      </c:dateAx>
      <c:valAx>
        <c:axId val="14050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00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a:t>
            </a:r>
            <a:r>
              <a:rPr lang="pt-BR" baseline="0"/>
              <a:t> por Mês Por Analista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'Acompanhamento 2025'!$AL$23:$AL$34</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2025'!$AM$23:$AM$34</c:f>
              <c:numCache>
                <c:formatCode>General</c:formatCode>
                <c:ptCount val="12"/>
                <c:pt idx="0">
                  <c:v>#N/A</c:v>
                </c:pt>
                <c:pt idx="1">
                  <c:v>6</c:v>
                </c:pt>
                <c:pt idx="2">
                  <c:v>2</c:v>
                </c:pt>
                <c:pt idx="3">
                  <c:v>2</c:v>
                </c:pt>
                <c:pt idx="4">
                  <c:v>2</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F30B-4636-B132-833503AB59DF}"/>
            </c:ext>
          </c:extLst>
        </c:ser>
        <c:dLbls>
          <c:showLegendKey val="0"/>
          <c:showVal val="0"/>
          <c:showCatName val="0"/>
          <c:showSerName val="0"/>
          <c:showPercent val="0"/>
          <c:showBubbleSize val="0"/>
        </c:dLbls>
        <c:gapWidth val="219"/>
        <c:overlap val="-27"/>
        <c:axId val="1405168447"/>
        <c:axId val="1405143967"/>
      </c:barChart>
      <c:dateAx>
        <c:axId val="14051684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43967"/>
        <c:crosses val="autoZero"/>
        <c:auto val="1"/>
        <c:lblOffset val="100"/>
        <c:baseTimeUnit val="months"/>
      </c:dateAx>
      <c:valAx>
        <c:axId val="1405143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684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Tempo trabalhado</a:t>
            </a:r>
            <a:r>
              <a:rPr lang="pt-BR" baseline="0"/>
              <a:t> por Analista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'Acompanhamento 2025'!$C$38</c:f>
              <c:strCache>
                <c:ptCount val="1"/>
                <c:pt idx="0">
                  <c:v>SAL</c:v>
                </c:pt>
              </c:strCache>
            </c:strRef>
          </c:tx>
          <c:spPr>
            <a:solidFill>
              <a:schemeClr val="accent1"/>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2025'!$C$39:$C$50</c:f>
              <c:numCache>
                <c:formatCode>General</c:formatCode>
                <c:ptCount val="12"/>
                <c:pt idx="0">
                  <c:v>0</c:v>
                </c:pt>
                <c:pt idx="1">
                  <c:v>6419</c:v>
                </c:pt>
                <c:pt idx="2">
                  <c:v>1453</c:v>
                </c:pt>
                <c:pt idx="3">
                  <c:v>1615</c:v>
                </c:pt>
                <c:pt idx="4">
                  <c:v>2274</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BB0-48AE-8318-404AE1194911}"/>
            </c:ext>
          </c:extLst>
        </c:ser>
        <c:ser>
          <c:idx val="1"/>
          <c:order val="1"/>
          <c:tx>
            <c:strRef>
              <c:f>'Acompanhamento 2025'!$D$38</c:f>
              <c:strCache>
                <c:ptCount val="1"/>
                <c:pt idx="0">
                  <c:v>SAM</c:v>
                </c:pt>
              </c:strCache>
            </c:strRef>
          </c:tx>
          <c:spPr>
            <a:solidFill>
              <a:schemeClr val="accent2"/>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2025'!$D$39:$D$50</c:f>
              <c:numCache>
                <c:formatCode>General</c:formatCode>
                <c:ptCount val="12"/>
                <c:pt idx="0">
                  <c:v>0</c:v>
                </c:pt>
                <c:pt idx="1">
                  <c:v>928</c:v>
                </c:pt>
                <c:pt idx="2">
                  <c:v>0</c:v>
                </c:pt>
                <c:pt idx="3">
                  <c:v>135</c:v>
                </c:pt>
                <c:pt idx="4">
                  <c:v>256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BB0-48AE-8318-404AE1194911}"/>
            </c:ext>
          </c:extLst>
        </c:ser>
        <c:ser>
          <c:idx val="2"/>
          <c:order val="2"/>
          <c:tx>
            <c:strRef>
              <c:f>'Acompanhamento 2025'!$E$38</c:f>
              <c:strCache>
                <c:ptCount val="1"/>
                <c:pt idx="0">
                  <c:v>NE</c:v>
                </c:pt>
              </c:strCache>
            </c:strRef>
          </c:tx>
          <c:spPr>
            <a:solidFill>
              <a:schemeClr val="accent3"/>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2025'!$E$39:$E$50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B0-48AE-8318-404AE1194911}"/>
            </c:ext>
          </c:extLst>
        </c:ser>
        <c:ser>
          <c:idx val="3"/>
          <c:order val="3"/>
          <c:tx>
            <c:strRef>
              <c:f>'Acompanhamento 2025'!$F$38</c:f>
              <c:strCache>
                <c:ptCount val="1"/>
                <c:pt idx="0">
                  <c:v>SAIL</c:v>
                </c:pt>
              </c:strCache>
            </c:strRef>
          </c:tx>
          <c:spPr>
            <a:solidFill>
              <a:schemeClr val="accent4"/>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2025'!$F$39:$F$50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0BB0-48AE-8318-404AE1194911}"/>
            </c:ext>
          </c:extLst>
        </c:ser>
        <c:dLbls>
          <c:showLegendKey val="0"/>
          <c:showVal val="0"/>
          <c:showCatName val="0"/>
          <c:showSerName val="0"/>
          <c:showPercent val="0"/>
          <c:showBubbleSize val="0"/>
        </c:dLbls>
        <c:gapWidth val="150"/>
        <c:overlap val="100"/>
        <c:axId val="577359792"/>
        <c:axId val="983594400"/>
      </c:barChart>
      <c:catAx>
        <c:axId val="57735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3594400"/>
        <c:crosses val="autoZero"/>
        <c:auto val="1"/>
        <c:lblAlgn val="ctr"/>
        <c:lblOffset val="100"/>
        <c:noMultiLvlLbl val="0"/>
      </c:catAx>
      <c:valAx>
        <c:axId val="9835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735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Analista por pontuação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2025'!$C$69</c:f>
              <c:strCache>
                <c:ptCount val="1"/>
                <c:pt idx="0">
                  <c:v>SAL</c:v>
                </c:pt>
              </c:strCache>
            </c:strRef>
          </c:tx>
          <c:spPr>
            <a:solidFill>
              <a:schemeClr val="accent1"/>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2025'!$C$70:$C$81</c:f>
              <c:numCache>
                <c:formatCode>General</c:formatCode>
                <c:ptCount val="12"/>
                <c:pt idx="0">
                  <c:v>0</c:v>
                </c:pt>
                <c:pt idx="1">
                  <c:v>40</c:v>
                </c:pt>
                <c:pt idx="2">
                  <c:v>20</c:v>
                </c:pt>
                <c:pt idx="3">
                  <c:v>10</c:v>
                </c:pt>
                <c:pt idx="4">
                  <c:v>10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46E-4352-BA32-408FC9638624}"/>
            </c:ext>
          </c:extLst>
        </c:ser>
        <c:ser>
          <c:idx val="1"/>
          <c:order val="1"/>
          <c:tx>
            <c:strRef>
              <c:f>'Acompanhamento 2025'!$D$69</c:f>
              <c:strCache>
                <c:ptCount val="1"/>
                <c:pt idx="0">
                  <c:v>SAM</c:v>
                </c:pt>
              </c:strCache>
            </c:strRef>
          </c:tx>
          <c:spPr>
            <a:solidFill>
              <a:schemeClr val="accent2"/>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2025'!$D$70:$D$81</c:f>
              <c:numCache>
                <c:formatCode>General</c:formatCode>
                <c:ptCount val="12"/>
                <c:pt idx="0">
                  <c:v>0</c:v>
                </c:pt>
                <c:pt idx="1">
                  <c:v>23</c:v>
                </c:pt>
                <c:pt idx="2">
                  <c:v>0</c:v>
                </c:pt>
                <c:pt idx="3">
                  <c:v>11.5</c:v>
                </c:pt>
                <c:pt idx="4">
                  <c:v>11.5</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46E-4352-BA32-408FC9638624}"/>
            </c:ext>
          </c:extLst>
        </c:ser>
        <c:ser>
          <c:idx val="2"/>
          <c:order val="2"/>
          <c:tx>
            <c:strRef>
              <c:f>'Acompanhamento 2025'!$E$69</c:f>
              <c:strCache>
                <c:ptCount val="1"/>
                <c:pt idx="0">
                  <c:v>NE</c:v>
                </c:pt>
              </c:strCache>
            </c:strRef>
          </c:tx>
          <c:spPr>
            <a:solidFill>
              <a:schemeClr val="accent3"/>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2025'!$E$70:$E$81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E46E-4352-BA32-408FC9638624}"/>
            </c:ext>
          </c:extLst>
        </c:ser>
        <c:ser>
          <c:idx val="3"/>
          <c:order val="3"/>
          <c:tx>
            <c:strRef>
              <c:f>'Acompanhamento 2025'!$F$69</c:f>
              <c:strCache>
                <c:ptCount val="1"/>
                <c:pt idx="0">
                  <c:v>SAIL</c:v>
                </c:pt>
              </c:strCache>
            </c:strRef>
          </c:tx>
          <c:spPr>
            <a:solidFill>
              <a:schemeClr val="accent4"/>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2025'!$F$70:$F$81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E46E-4352-BA32-408FC9638624}"/>
            </c:ext>
          </c:extLst>
        </c:ser>
        <c:ser>
          <c:idx val="4"/>
          <c:order val="4"/>
          <c:tx>
            <c:strRef>
              <c:f>'Acompanhamento 2025'!$G$69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2025'!$G$70:$G$81</c:f>
              <c:numCache>
                <c:formatCode>General</c:formatCode>
                <c:ptCount val="12"/>
                <c:pt idx="0">
                  <c:v>0</c:v>
                </c:pt>
                <c:pt idx="1">
                  <c:v>63</c:v>
                </c:pt>
                <c:pt idx="2">
                  <c:v>20</c:v>
                </c:pt>
                <c:pt idx="3">
                  <c:v>21.5</c:v>
                </c:pt>
                <c:pt idx="4">
                  <c:v>21.5</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E46E-4352-BA32-408FC9638624}"/>
            </c:ext>
          </c:extLst>
        </c:ser>
        <c:dLbls>
          <c:showLegendKey val="0"/>
          <c:showVal val="0"/>
          <c:showCatName val="0"/>
          <c:showSerName val="0"/>
          <c:showPercent val="0"/>
          <c:showBubbleSize val="0"/>
        </c:dLbls>
        <c:gapWidth val="219"/>
        <c:overlap val="-27"/>
        <c:axId val="1642505040"/>
        <c:axId val="1642504080"/>
      </c:barChart>
      <c:catAx>
        <c:axId val="164250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4080"/>
        <c:crosses val="autoZero"/>
        <c:auto val="1"/>
        <c:lblAlgn val="ctr"/>
        <c:lblOffset val="100"/>
        <c:noMultiLvlLbl val="0"/>
      </c:catAx>
      <c:valAx>
        <c:axId val="164250408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1781176</xdr:colOff>
      <xdr:row>24</xdr:row>
      <xdr:rowOff>95250</xdr:rowOff>
    </xdr:from>
    <xdr:to>
      <xdr:col>6</xdr:col>
      <xdr:colOff>3819525</xdr:colOff>
      <xdr:row>28</xdr:row>
      <xdr:rowOff>66674</xdr:rowOff>
    </xdr:to>
    <xdr:sp macro="[0]!Macro1_Gravar" textlink="">
      <xdr:nvSpPr>
        <xdr:cNvPr id="4" name="Retângulo: Cantos Arredondados 2">
          <a:extLst>
            <a:ext uri="{FF2B5EF4-FFF2-40B4-BE49-F238E27FC236}">
              <a16:creationId xmlns:a16="http://schemas.microsoft.com/office/drawing/2014/main" id="{4931E585-B5EE-4F52-8EEB-A7DA02A41950}"/>
            </a:ext>
          </a:extLst>
        </xdr:cNvPr>
        <xdr:cNvSpPr/>
      </xdr:nvSpPr>
      <xdr:spPr>
        <a:xfrm>
          <a:off x="10982326" y="4895850"/>
          <a:ext cx="203834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1876426</xdr:colOff>
      <xdr:row>23</xdr:row>
      <xdr:rowOff>171450</xdr:rowOff>
    </xdr:from>
    <xdr:to>
      <xdr:col>6</xdr:col>
      <xdr:colOff>3695700</xdr:colOff>
      <xdr:row>27</xdr:row>
      <xdr:rowOff>142874</xdr:rowOff>
    </xdr:to>
    <xdr:sp macro="[0]!Macro1_Gravar" textlink="">
      <xdr:nvSpPr>
        <xdr:cNvPr id="3" name="Retângulo: Cantos Arredondados 2">
          <a:extLst>
            <a:ext uri="{FF2B5EF4-FFF2-40B4-BE49-F238E27FC236}">
              <a16:creationId xmlns:a16="http://schemas.microsoft.com/office/drawing/2014/main" id="{D9C61667-4B7A-4A3C-9F7B-290D017B670C}"/>
            </a:ext>
          </a:extLst>
        </xdr:cNvPr>
        <xdr:cNvSpPr/>
      </xdr:nvSpPr>
      <xdr:spPr>
        <a:xfrm>
          <a:off x="11077576" y="4772025"/>
          <a:ext cx="18192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1485901</xdr:colOff>
      <xdr:row>24</xdr:row>
      <xdr:rowOff>114300</xdr:rowOff>
    </xdr:from>
    <xdr:to>
      <xdr:col>6</xdr:col>
      <xdr:colOff>3352800</xdr:colOff>
      <xdr:row>28</xdr:row>
      <xdr:rowOff>85724</xdr:rowOff>
    </xdr:to>
    <xdr:sp macro="[0]!Macro1_Gravar" textlink="">
      <xdr:nvSpPr>
        <xdr:cNvPr id="3" name="Retângulo: Cantos Arredondados 2">
          <a:extLst>
            <a:ext uri="{FF2B5EF4-FFF2-40B4-BE49-F238E27FC236}">
              <a16:creationId xmlns:a16="http://schemas.microsoft.com/office/drawing/2014/main" id="{2AD616CD-5FA0-4165-9EF1-076FC4EF183C}"/>
            </a:ext>
          </a:extLst>
        </xdr:cNvPr>
        <xdr:cNvSpPr/>
      </xdr:nvSpPr>
      <xdr:spPr>
        <a:xfrm>
          <a:off x="10725151" y="4914900"/>
          <a:ext cx="186689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1266826</xdr:colOff>
      <xdr:row>24</xdr:row>
      <xdr:rowOff>0</xdr:rowOff>
    </xdr:from>
    <xdr:to>
      <xdr:col>6</xdr:col>
      <xdr:colOff>2990850</xdr:colOff>
      <xdr:row>27</xdr:row>
      <xdr:rowOff>171449</xdr:rowOff>
    </xdr:to>
    <xdr:sp macro="[0]!Macro1_Gravar" textlink="">
      <xdr:nvSpPr>
        <xdr:cNvPr id="3" name="Retângulo: Cantos Arredondados 2">
          <a:extLst>
            <a:ext uri="{FF2B5EF4-FFF2-40B4-BE49-F238E27FC236}">
              <a16:creationId xmlns:a16="http://schemas.microsoft.com/office/drawing/2014/main" id="{7BF838A7-25C1-4451-8134-8CDC37D2ED99}"/>
            </a:ext>
          </a:extLst>
        </xdr:cNvPr>
        <xdr:cNvSpPr/>
      </xdr:nvSpPr>
      <xdr:spPr>
        <a:xfrm>
          <a:off x="10467976" y="4791075"/>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942976</xdr:colOff>
      <xdr:row>24</xdr:row>
      <xdr:rowOff>0</xdr:rowOff>
    </xdr:from>
    <xdr:to>
      <xdr:col>6</xdr:col>
      <xdr:colOff>2667000</xdr:colOff>
      <xdr:row>27</xdr:row>
      <xdr:rowOff>171449</xdr:rowOff>
    </xdr:to>
    <xdr:sp macro="[0]!Macro1_Gravar" textlink="">
      <xdr:nvSpPr>
        <xdr:cNvPr id="3" name="Retângulo: Cantos Arredondados 2">
          <a:extLst>
            <a:ext uri="{FF2B5EF4-FFF2-40B4-BE49-F238E27FC236}">
              <a16:creationId xmlns:a16="http://schemas.microsoft.com/office/drawing/2014/main" id="{C40586E3-C803-4BCF-AD79-DFDE441E5542}"/>
            </a:ext>
          </a:extLst>
        </xdr:cNvPr>
        <xdr:cNvSpPr/>
      </xdr:nvSpPr>
      <xdr:spPr>
        <a:xfrm>
          <a:off x="10144126" y="48006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847726</xdr:colOff>
      <xdr:row>24</xdr:row>
      <xdr:rowOff>95250</xdr:rowOff>
    </xdr:from>
    <xdr:to>
      <xdr:col>6</xdr:col>
      <xdr:colOff>2571750</xdr:colOff>
      <xdr:row>28</xdr:row>
      <xdr:rowOff>66674</xdr:rowOff>
    </xdr:to>
    <xdr:sp macro="[0]!Macro1_Gravar" textlink="">
      <xdr:nvSpPr>
        <xdr:cNvPr id="3" name="Retângulo: Cantos Arredondados 2">
          <a:extLst>
            <a:ext uri="{FF2B5EF4-FFF2-40B4-BE49-F238E27FC236}">
              <a16:creationId xmlns:a16="http://schemas.microsoft.com/office/drawing/2014/main" id="{7769AF82-0F5C-4181-B408-CE9D1686BBBC}"/>
            </a:ext>
          </a:extLst>
        </xdr:cNvPr>
        <xdr:cNvSpPr/>
      </xdr:nvSpPr>
      <xdr:spPr>
        <a:xfrm>
          <a:off x="10048876" y="48958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1028701</xdr:colOff>
      <xdr:row>24</xdr:row>
      <xdr:rowOff>57150</xdr:rowOff>
    </xdr:from>
    <xdr:to>
      <xdr:col>6</xdr:col>
      <xdr:colOff>3000375</xdr:colOff>
      <xdr:row>28</xdr:row>
      <xdr:rowOff>28574</xdr:rowOff>
    </xdr:to>
    <xdr:sp macro="[0]!Macro1_Gravar" textlink="">
      <xdr:nvSpPr>
        <xdr:cNvPr id="5" name="Retângulo: Cantos Arredondados 4">
          <a:extLst>
            <a:ext uri="{FF2B5EF4-FFF2-40B4-BE49-F238E27FC236}">
              <a16:creationId xmlns:a16="http://schemas.microsoft.com/office/drawing/2014/main" id="{FC26BFDE-B523-49FD-A682-13C6794D8A42}"/>
            </a:ext>
          </a:extLst>
        </xdr:cNvPr>
        <xdr:cNvSpPr/>
      </xdr:nvSpPr>
      <xdr:spPr>
        <a:xfrm>
          <a:off x="10125076" y="4857750"/>
          <a:ext cx="19716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990601</xdr:colOff>
      <xdr:row>24</xdr:row>
      <xdr:rowOff>38100</xdr:rowOff>
    </xdr:from>
    <xdr:to>
      <xdr:col>6</xdr:col>
      <xdr:colOff>2714625</xdr:colOff>
      <xdr:row>28</xdr:row>
      <xdr:rowOff>9524</xdr:rowOff>
    </xdr:to>
    <xdr:sp macro="[0]!Macro1_Gravar" textlink="">
      <xdr:nvSpPr>
        <xdr:cNvPr id="3" name="Retângulo: Cantos Arredondados 2">
          <a:extLst>
            <a:ext uri="{FF2B5EF4-FFF2-40B4-BE49-F238E27FC236}">
              <a16:creationId xmlns:a16="http://schemas.microsoft.com/office/drawing/2014/main" id="{7BADF965-99F6-4FCB-AD6D-BA8F693207BF}"/>
            </a:ext>
          </a:extLst>
        </xdr:cNvPr>
        <xdr:cNvSpPr/>
      </xdr:nvSpPr>
      <xdr:spPr>
        <a:xfrm>
          <a:off x="10239376" y="48387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962026</xdr:colOff>
      <xdr:row>24</xdr:row>
      <xdr:rowOff>19050</xdr:rowOff>
    </xdr:from>
    <xdr:to>
      <xdr:col>6</xdr:col>
      <xdr:colOff>2686050</xdr:colOff>
      <xdr:row>27</xdr:row>
      <xdr:rowOff>190499</xdr:rowOff>
    </xdr:to>
    <xdr:sp macro="[0]!Macro1_Gravar" textlink="">
      <xdr:nvSpPr>
        <xdr:cNvPr id="3" name="Retângulo: Cantos Arredondados 2">
          <a:extLst>
            <a:ext uri="{FF2B5EF4-FFF2-40B4-BE49-F238E27FC236}">
              <a16:creationId xmlns:a16="http://schemas.microsoft.com/office/drawing/2014/main" id="{B5899A28-1C04-479A-8FC2-6970B8A109E7}"/>
            </a:ext>
          </a:extLst>
        </xdr:cNvPr>
        <xdr:cNvSpPr/>
      </xdr:nvSpPr>
      <xdr:spPr>
        <a:xfrm>
          <a:off x="10258426"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876301</xdr:colOff>
      <xdr:row>23</xdr:row>
      <xdr:rowOff>123825</xdr:rowOff>
    </xdr:from>
    <xdr:to>
      <xdr:col>6</xdr:col>
      <xdr:colOff>2600325</xdr:colOff>
      <xdr:row>27</xdr:row>
      <xdr:rowOff>95249</xdr:rowOff>
    </xdr:to>
    <xdr:sp macro="[0]!Macro1_Gravar" textlink="">
      <xdr:nvSpPr>
        <xdr:cNvPr id="4" name="Retângulo: Cantos Arredondados 3">
          <a:extLst>
            <a:ext uri="{FF2B5EF4-FFF2-40B4-BE49-F238E27FC236}">
              <a16:creationId xmlns:a16="http://schemas.microsoft.com/office/drawing/2014/main" id="{530EAB19-EE8F-4246-BD9B-A3B648198E95}"/>
            </a:ext>
          </a:extLst>
        </xdr:cNvPr>
        <xdr:cNvSpPr/>
      </xdr:nvSpPr>
      <xdr:spPr>
        <a:xfrm>
          <a:off x="10172701" y="47244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866776</xdr:colOff>
      <xdr:row>24</xdr:row>
      <xdr:rowOff>76200</xdr:rowOff>
    </xdr:from>
    <xdr:to>
      <xdr:col>6</xdr:col>
      <xdr:colOff>2590800</xdr:colOff>
      <xdr:row>28</xdr:row>
      <xdr:rowOff>47624</xdr:rowOff>
    </xdr:to>
    <xdr:sp macro="[0]!Macro1_Gravar" textlink="">
      <xdr:nvSpPr>
        <xdr:cNvPr id="2" name="Retângulo: Cantos Arredondados 3">
          <a:extLst>
            <a:ext uri="{FF2B5EF4-FFF2-40B4-BE49-F238E27FC236}">
              <a16:creationId xmlns:a16="http://schemas.microsoft.com/office/drawing/2014/main" id="{F4DDA597-6C2E-490C-B130-3C873AAC8D55}"/>
            </a:ext>
          </a:extLst>
        </xdr:cNvPr>
        <xdr:cNvSpPr/>
      </xdr:nvSpPr>
      <xdr:spPr>
        <a:xfrm>
          <a:off x="10067926" y="48768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895351</xdr:colOff>
      <xdr:row>24</xdr:row>
      <xdr:rowOff>19050</xdr:rowOff>
    </xdr:from>
    <xdr:to>
      <xdr:col>6</xdr:col>
      <xdr:colOff>2619375</xdr:colOff>
      <xdr:row>27</xdr:row>
      <xdr:rowOff>190499</xdr:rowOff>
    </xdr:to>
    <xdr:sp macro="[0]!Macro1_Gravar" textlink="">
      <xdr:nvSpPr>
        <xdr:cNvPr id="4" name="Retângulo: Cantos Arredondados 3">
          <a:extLst>
            <a:ext uri="{FF2B5EF4-FFF2-40B4-BE49-F238E27FC236}">
              <a16:creationId xmlns:a16="http://schemas.microsoft.com/office/drawing/2014/main" id="{B4B227B9-2A04-4F66-B1DE-CDAA662AC302}"/>
            </a:ext>
          </a:extLst>
        </xdr:cNvPr>
        <xdr:cNvSpPr/>
      </xdr:nvSpPr>
      <xdr:spPr>
        <a:xfrm>
          <a:off x="10096501"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9524</xdr:colOff>
      <xdr:row>1</xdr:row>
      <xdr:rowOff>4761</xdr:rowOff>
    </xdr:from>
    <xdr:to>
      <xdr:col>21</xdr:col>
      <xdr:colOff>609599</xdr:colOff>
      <xdr:row>17</xdr:row>
      <xdr:rowOff>19049</xdr:rowOff>
    </xdr:to>
    <xdr:graphicFrame macro="">
      <xdr:nvGraphicFramePr>
        <xdr:cNvPr id="2" name="Gráfico 1">
          <a:extLst>
            <a:ext uri="{FF2B5EF4-FFF2-40B4-BE49-F238E27FC236}">
              <a16:creationId xmlns:a16="http://schemas.microsoft.com/office/drawing/2014/main" id="{20DEB440-79CB-E895-382C-71216569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19</xdr:row>
      <xdr:rowOff>23812</xdr:rowOff>
    </xdr:from>
    <xdr:to>
      <xdr:col>22</xdr:col>
      <xdr:colOff>0</xdr:colOff>
      <xdr:row>35</xdr:row>
      <xdr:rowOff>38101</xdr:rowOff>
    </xdr:to>
    <xdr:graphicFrame macro="">
      <xdr:nvGraphicFramePr>
        <xdr:cNvPr id="3" name="Gráfico 2">
          <a:extLst>
            <a:ext uri="{FF2B5EF4-FFF2-40B4-BE49-F238E27FC236}">
              <a16:creationId xmlns:a16="http://schemas.microsoft.com/office/drawing/2014/main" id="{6F6E5A74-78BE-EFC9-8431-2C63DE19E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4762</xdr:colOff>
      <xdr:row>4</xdr:row>
      <xdr:rowOff>4761</xdr:rowOff>
    </xdr:from>
    <xdr:to>
      <xdr:col>23</xdr:col>
      <xdr:colOff>0</xdr:colOff>
      <xdr:row>23</xdr:row>
      <xdr:rowOff>0</xdr:rowOff>
    </xdr:to>
    <xdr:graphicFrame macro="">
      <xdr:nvGraphicFramePr>
        <xdr:cNvPr id="4" name="Gráfico 3">
          <a:extLst>
            <a:ext uri="{FF2B5EF4-FFF2-40B4-BE49-F238E27FC236}">
              <a16:creationId xmlns:a16="http://schemas.microsoft.com/office/drawing/2014/main" id="{62FCA0A6-05D1-CD71-C8E4-BA342115D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14286</xdr:colOff>
      <xdr:row>25</xdr:row>
      <xdr:rowOff>4762</xdr:rowOff>
    </xdr:from>
    <xdr:to>
      <xdr:col>23</xdr:col>
      <xdr:colOff>0</xdr:colOff>
      <xdr:row>42</xdr:row>
      <xdr:rowOff>57150</xdr:rowOff>
    </xdr:to>
    <xdr:graphicFrame macro="">
      <xdr:nvGraphicFramePr>
        <xdr:cNvPr id="5" name="Gráfico 4">
          <a:extLst>
            <a:ext uri="{FF2B5EF4-FFF2-40B4-BE49-F238E27FC236}">
              <a16:creationId xmlns:a16="http://schemas.microsoft.com/office/drawing/2014/main" id="{4780862D-4510-F7ED-E1EA-8633CFDB0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9524</xdr:colOff>
      <xdr:row>43</xdr:row>
      <xdr:rowOff>171449</xdr:rowOff>
    </xdr:from>
    <xdr:to>
      <xdr:col>23</xdr:col>
      <xdr:colOff>19050</xdr:colOff>
      <xdr:row>63</xdr:row>
      <xdr:rowOff>19050</xdr:rowOff>
    </xdr:to>
    <xdr:graphicFrame macro="">
      <xdr:nvGraphicFramePr>
        <xdr:cNvPr id="2" name="Gráfico 1">
          <a:extLst>
            <a:ext uri="{FF2B5EF4-FFF2-40B4-BE49-F238E27FC236}">
              <a16:creationId xmlns:a16="http://schemas.microsoft.com/office/drawing/2014/main" id="{87078666-6E7B-7143-4AC3-CA813EBE5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16808</xdr:colOff>
      <xdr:row>64</xdr:row>
      <xdr:rowOff>12325</xdr:rowOff>
    </xdr:from>
    <xdr:to>
      <xdr:col>22</xdr:col>
      <xdr:colOff>593912</xdr:colOff>
      <xdr:row>85</xdr:row>
      <xdr:rowOff>44822</xdr:rowOff>
    </xdr:to>
    <xdr:graphicFrame macro="">
      <xdr:nvGraphicFramePr>
        <xdr:cNvPr id="7" name="Gráfico 6">
          <a:extLst>
            <a:ext uri="{FF2B5EF4-FFF2-40B4-BE49-F238E27FC236}">
              <a16:creationId xmlns:a16="http://schemas.microsoft.com/office/drawing/2014/main" id="{F6C2F198-6C39-8535-D2FD-B355F2294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F629368-2FD2-4827-AFA8-1A0BA571B67F}">
    <nsvFilter filterId="{CC24CF74-001C-48A4-8915-3DD65F22A8CD}" ref="A39:R261"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B6DF594D-A425-4265-9E84-F29F2D5369FA}">
    <nsvFilter filterId="{277BDA72-D029-4611-A96B-1244F2575BB9}" ref="A39:R242" tableId="0"/>
  </namedSheetView>
  <namedSheetView name="Exibição 2" id="{F1259891-BB49-49EB-AAF7-D03B66AC9501}">
    <nsvFilter filterId="{277BDA72-D029-4611-A96B-1244F2575BB9}" ref="A39:R242" tableId="0"/>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C0509ED-E05B-4A9F-9509-884F1CA50718}">
    <nsvFilter filterId="{939F45E2-3E53-400E-A2E9-C302B6D438DB}" ref="A39:R164" tableId="0">
      <sortRules>
        <sortRule colId="7">
          <sortCondition ref="H39:H164"/>
        </sortRule>
      </sortRules>
    </nsvFilter>
  </namedSheetView>
</namedSheetViews>
</file>

<file path=xl/persons/person.xml><?xml version="1.0" encoding="utf-8"?>
<personList xmlns="http://schemas.microsoft.com/office/spreadsheetml/2018/threadedcomments" xmlns:x="http://schemas.openxmlformats.org/spreadsheetml/2006/main">
  <person displayName="Costa, Patricia (TR Product)" id="{131B119C-3C4D-4D6C-A8B8-1E573514D908}" userId="S::patricia.costa@thomsonreuters.com::ef35a65d-edc1-4bee-9a70-9b9ecb4f55e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9" dT="2025-01-17T14:09:49.72" personId="{131B119C-3C4D-4D6C-A8B8-1E573514D908}" id="{F970F9E0-1709-44A4-8878-B7E44CDDCF22}">
    <text>Incluir a data que a PSAI foi colocada como Analisada pela 1ª vez</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9/04/relationships/namedSheetView" Target="../namedSheetViews/namedSheetView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microsoft.com/office/2019/04/relationships/namedSheetView" Target="../namedSheetViews/namedSheetView3.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566B-7201-48CE-A55C-2BDC07C09F89}">
  <sheetPr codeName="Planilha16"/>
  <dimension ref="A1:O47"/>
  <sheetViews>
    <sheetView topLeftCell="A10" workbookViewId="0">
      <selection activeCell="E30" sqref="E30"/>
    </sheetView>
  </sheetViews>
  <sheetFormatPr defaultRowHeight="15"/>
  <cols>
    <col min="1" max="1" width="8.28515625" bestFit="1" customWidth="1"/>
    <col min="3" max="3" width="10.28515625" customWidth="1"/>
    <col min="4" max="4" width="23" bestFit="1" customWidth="1"/>
    <col min="5" max="5" width="10.28515625" bestFit="1" customWidth="1"/>
    <col min="6" max="6" width="19.28515625" bestFit="1" customWidth="1"/>
    <col min="7" max="7" width="14.140625" bestFit="1" customWidth="1"/>
    <col min="9" max="9" width="10.28515625" bestFit="1" customWidth="1"/>
    <col min="11" max="11" width="10.28515625" bestFit="1" customWidth="1"/>
    <col min="12" max="12" width="23" bestFit="1" customWidth="1"/>
    <col min="13" max="13" width="10.28515625" bestFit="1" customWidth="1"/>
    <col min="14" max="14" width="12.85546875" bestFit="1" customWidth="1"/>
    <col min="15" max="15" width="14.140625" bestFit="1" customWidth="1"/>
    <col min="17" max="17" width="17.85546875" customWidth="1"/>
    <col min="18" max="18" width="16" bestFit="1" customWidth="1"/>
    <col min="19" max="19" width="16" customWidth="1"/>
  </cols>
  <sheetData>
    <row r="1" spans="1:15">
      <c r="A1" s="71" t="s">
        <v>0</v>
      </c>
      <c r="B1" s="71" t="s">
        <v>1</v>
      </c>
      <c r="C1" s="71" t="s">
        <v>2</v>
      </c>
      <c r="D1" s="71" t="s">
        <v>3</v>
      </c>
      <c r="E1" s="71" t="s">
        <v>4</v>
      </c>
      <c r="F1" s="71" t="s">
        <v>5</v>
      </c>
      <c r="G1" s="71" t="s">
        <v>6</v>
      </c>
      <c r="H1" s="132"/>
      <c r="I1" s="71"/>
      <c r="J1" s="71"/>
      <c r="K1" s="71"/>
      <c r="L1" s="71"/>
      <c r="M1" s="71"/>
      <c r="N1" s="71"/>
      <c r="O1" s="71"/>
    </row>
    <row r="2" spans="1:15">
      <c r="A2" s="103" t="s">
        <v>7</v>
      </c>
      <c r="B2" s="104" t="s">
        <v>8</v>
      </c>
      <c r="C2" s="104" t="s">
        <v>9</v>
      </c>
      <c r="D2" s="104" t="s">
        <v>10</v>
      </c>
      <c r="E2" s="104">
        <v>10</v>
      </c>
      <c r="F2" s="105">
        <v>8</v>
      </c>
      <c r="G2" s="106">
        <f t="shared" ref="G2:G13" si="0">E2*F2</f>
        <v>80</v>
      </c>
      <c r="H2" s="132"/>
      <c r="N2" s="72"/>
    </row>
    <row r="3" spans="1:15">
      <c r="A3" s="107" t="s">
        <v>7</v>
      </c>
      <c r="B3" s="108" t="s">
        <v>8</v>
      </c>
      <c r="C3" s="108" t="s">
        <v>9</v>
      </c>
      <c r="D3" s="108" t="s">
        <v>11</v>
      </c>
      <c r="E3" s="108">
        <v>20</v>
      </c>
      <c r="F3" s="109">
        <v>4</v>
      </c>
      <c r="G3" s="110">
        <f t="shared" si="0"/>
        <v>80</v>
      </c>
      <c r="H3" s="132"/>
      <c r="N3" s="72"/>
    </row>
    <row r="4" spans="1:15">
      <c r="A4" s="107" t="s">
        <v>7</v>
      </c>
      <c r="B4" s="108" t="s">
        <v>8</v>
      </c>
      <c r="C4" s="108" t="s">
        <v>9</v>
      </c>
      <c r="D4" s="108" t="s">
        <v>12</v>
      </c>
      <c r="E4" s="108">
        <v>40</v>
      </c>
      <c r="F4" s="109">
        <v>2</v>
      </c>
      <c r="G4" s="110">
        <f t="shared" si="0"/>
        <v>80</v>
      </c>
      <c r="H4" s="132"/>
      <c r="N4" s="72"/>
    </row>
    <row r="5" spans="1:15">
      <c r="A5" s="107" t="s">
        <v>7</v>
      </c>
      <c r="B5" s="108" t="s">
        <v>8</v>
      </c>
      <c r="C5" s="108" t="s">
        <v>9</v>
      </c>
      <c r="D5" s="108" t="s">
        <v>13</v>
      </c>
      <c r="E5" s="108">
        <v>160</v>
      </c>
      <c r="F5" s="109">
        <v>0.5</v>
      </c>
      <c r="G5" s="110">
        <f t="shared" si="0"/>
        <v>80</v>
      </c>
      <c r="H5" s="132"/>
      <c r="N5" s="72"/>
    </row>
    <row r="6" spans="1:15">
      <c r="A6" s="111" t="s">
        <v>7</v>
      </c>
      <c r="B6" t="s">
        <v>14</v>
      </c>
      <c r="C6" t="s">
        <v>9</v>
      </c>
      <c r="D6" t="s">
        <v>10</v>
      </c>
      <c r="E6">
        <v>8</v>
      </c>
      <c r="F6" s="72">
        <v>10</v>
      </c>
      <c r="G6" s="112">
        <f t="shared" si="0"/>
        <v>80</v>
      </c>
      <c r="H6" s="132"/>
      <c r="N6" s="72"/>
      <c r="O6" s="72"/>
    </row>
    <row r="7" spans="1:15">
      <c r="A7" s="111" t="s">
        <v>7</v>
      </c>
      <c r="B7" t="s">
        <v>14</v>
      </c>
      <c r="C7" t="s">
        <v>9</v>
      </c>
      <c r="D7" t="s">
        <v>11</v>
      </c>
      <c r="E7">
        <v>13</v>
      </c>
      <c r="F7" s="72">
        <v>6</v>
      </c>
      <c r="G7" s="112">
        <f t="shared" si="0"/>
        <v>78</v>
      </c>
      <c r="H7" s="132"/>
      <c r="N7" s="72"/>
      <c r="O7" s="72"/>
    </row>
    <row r="8" spans="1:15">
      <c r="A8" s="111" t="s">
        <v>7</v>
      </c>
      <c r="B8" t="s">
        <v>14</v>
      </c>
      <c r="C8" t="s">
        <v>9</v>
      </c>
      <c r="D8" t="s">
        <v>12</v>
      </c>
      <c r="E8">
        <v>20</v>
      </c>
      <c r="F8" s="72">
        <v>4</v>
      </c>
      <c r="G8" s="112">
        <f t="shared" si="0"/>
        <v>80</v>
      </c>
      <c r="H8" s="132"/>
      <c r="N8" s="72"/>
      <c r="O8" s="72"/>
    </row>
    <row r="9" spans="1:15">
      <c r="A9" s="111" t="s">
        <v>7</v>
      </c>
      <c r="B9" t="s">
        <v>14</v>
      </c>
      <c r="C9" t="s">
        <v>9</v>
      </c>
      <c r="D9" t="s">
        <v>13</v>
      </c>
      <c r="E9">
        <v>80</v>
      </c>
      <c r="F9" s="72">
        <v>1</v>
      </c>
      <c r="G9" s="112">
        <f t="shared" si="0"/>
        <v>80</v>
      </c>
      <c r="H9" s="132"/>
      <c r="N9" s="72"/>
      <c r="O9" s="72"/>
    </row>
    <row r="10" spans="1:15">
      <c r="A10" s="107" t="s">
        <v>7</v>
      </c>
      <c r="B10" s="108" t="s">
        <v>15</v>
      </c>
      <c r="C10" s="108" t="s">
        <v>9</v>
      </c>
      <c r="D10" s="108" t="s">
        <v>10</v>
      </c>
      <c r="E10" s="108">
        <v>6.5</v>
      </c>
      <c r="F10" s="109">
        <v>12</v>
      </c>
      <c r="G10" s="110">
        <f t="shared" si="0"/>
        <v>78</v>
      </c>
      <c r="H10" s="132"/>
      <c r="N10" s="72"/>
    </row>
    <row r="11" spans="1:15">
      <c r="A11" s="107" t="s">
        <v>7</v>
      </c>
      <c r="B11" s="108" t="s">
        <v>15</v>
      </c>
      <c r="C11" s="108" t="s">
        <v>9</v>
      </c>
      <c r="D11" s="108" t="s">
        <v>11</v>
      </c>
      <c r="E11" s="108">
        <v>10</v>
      </c>
      <c r="F11" s="109">
        <v>8</v>
      </c>
      <c r="G11" s="110">
        <f t="shared" si="0"/>
        <v>80</v>
      </c>
      <c r="H11" s="132"/>
      <c r="N11" s="72"/>
    </row>
    <row r="12" spans="1:15">
      <c r="A12" s="107" t="s">
        <v>7</v>
      </c>
      <c r="B12" s="108" t="s">
        <v>15</v>
      </c>
      <c r="C12" s="108" t="s">
        <v>9</v>
      </c>
      <c r="D12" s="108" t="s">
        <v>12</v>
      </c>
      <c r="E12" s="108">
        <v>13</v>
      </c>
      <c r="F12" s="109">
        <v>6</v>
      </c>
      <c r="G12" s="110">
        <f t="shared" si="0"/>
        <v>78</v>
      </c>
      <c r="H12" s="132"/>
      <c r="N12" s="72"/>
    </row>
    <row r="13" spans="1:15">
      <c r="A13" s="113" t="s">
        <v>7</v>
      </c>
      <c r="B13" s="114" t="s">
        <v>15</v>
      </c>
      <c r="C13" s="114" t="s">
        <v>9</v>
      </c>
      <c r="D13" s="114" t="s">
        <v>13</v>
      </c>
      <c r="E13" s="114">
        <v>40</v>
      </c>
      <c r="F13" s="115">
        <v>2</v>
      </c>
      <c r="G13" s="116">
        <f t="shared" si="0"/>
        <v>80</v>
      </c>
      <c r="H13" s="132"/>
      <c r="N13" s="72"/>
    </row>
    <row r="14" spans="1:15">
      <c r="H14" s="132"/>
    </row>
    <row r="15" spans="1:15">
      <c r="A15" s="117" t="s">
        <v>7</v>
      </c>
      <c r="B15" s="118" t="s">
        <v>8</v>
      </c>
      <c r="C15" s="118" t="s">
        <v>16</v>
      </c>
      <c r="D15" s="118" t="s">
        <v>10</v>
      </c>
      <c r="E15" s="118">
        <v>4</v>
      </c>
      <c r="F15" s="119">
        <v>25</v>
      </c>
      <c r="G15" s="120">
        <f t="shared" ref="G15:G23" si="1">E15*F15</f>
        <v>100</v>
      </c>
      <c r="H15" s="132"/>
      <c r="N15" s="72"/>
    </row>
    <row r="16" spans="1:15">
      <c r="A16" s="111" t="s">
        <v>7</v>
      </c>
      <c r="B16" t="s">
        <v>8</v>
      </c>
      <c r="C16" t="s">
        <v>16</v>
      </c>
      <c r="D16" t="s">
        <v>11</v>
      </c>
      <c r="E16">
        <v>6.5</v>
      </c>
      <c r="F16" s="72">
        <v>15</v>
      </c>
      <c r="G16" s="121">
        <f t="shared" si="1"/>
        <v>97.5</v>
      </c>
      <c r="H16" s="132"/>
      <c r="N16" s="72"/>
    </row>
    <row r="17" spans="1:15">
      <c r="A17" s="111" t="s">
        <v>7</v>
      </c>
      <c r="B17" t="s">
        <v>8</v>
      </c>
      <c r="C17" t="s">
        <v>16</v>
      </c>
      <c r="D17" t="s">
        <v>12</v>
      </c>
      <c r="E17">
        <v>12</v>
      </c>
      <c r="F17" s="72">
        <v>8</v>
      </c>
      <c r="G17" s="121">
        <f t="shared" si="1"/>
        <v>96</v>
      </c>
      <c r="H17" s="132"/>
      <c r="N17" s="72"/>
    </row>
    <row r="18" spans="1:15">
      <c r="A18" s="107" t="s">
        <v>7</v>
      </c>
      <c r="B18" s="108" t="s">
        <v>14</v>
      </c>
      <c r="C18" s="108" t="s">
        <v>16</v>
      </c>
      <c r="D18" s="108" t="s">
        <v>10</v>
      </c>
      <c r="E18" s="108">
        <v>3</v>
      </c>
      <c r="F18" s="122">
        <v>33</v>
      </c>
      <c r="G18" s="110">
        <f t="shared" si="1"/>
        <v>99</v>
      </c>
      <c r="H18" s="132"/>
      <c r="N18" s="94"/>
    </row>
    <row r="19" spans="1:15">
      <c r="A19" s="107" t="s">
        <v>7</v>
      </c>
      <c r="B19" s="108" t="s">
        <v>14</v>
      </c>
      <c r="C19" s="108" t="s">
        <v>16</v>
      </c>
      <c r="D19" s="108" t="s">
        <v>11</v>
      </c>
      <c r="E19" s="108">
        <v>5</v>
      </c>
      <c r="F19" s="108">
        <v>20</v>
      </c>
      <c r="G19" s="110">
        <f t="shared" si="1"/>
        <v>100</v>
      </c>
      <c r="H19" s="132"/>
    </row>
    <row r="20" spans="1:15">
      <c r="A20" s="107" t="s">
        <v>7</v>
      </c>
      <c r="B20" s="108" t="s">
        <v>14</v>
      </c>
      <c r="C20" s="108" t="s">
        <v>16</v>
      </c>
      <c r="D20" s="108" t="s">
        <v>12</v>
      </c>
      <c r="E20" s="108">
        <v>10</v>
      </c>
      <c r="F20" s="108">
        <v>8</v>
      </c>
      <c r="G20" s="110">
        <f t="shared" si="1"/>
        <v>80</v>
      </c>
      <c r="H20" s="132"/>
    </row>
    <row r="21" spans="1:15">
      <c r="A21" s="111" t="s">
        <v>7</v>
      </c>
      <c r="B21" t="s">
        <v>15</v>
      </c>
      <c r="C21" t="s">
        <v>16</v>
      </c>
      <c r="D21" t="s">
        <v>10</v>
      </c>
      <c r="E21">
        <v>2</v>
      </c>
      <c r="F21" s="72">
        <v>50</v>
      </c>
      <c r="G21" s="121">
        <f t="shared" si="1"/>
        <v>100</v>
      </c>
      <c r="H21" s="132"/>
      <c r="N21" s="72"/>
    </row>
    <row r="22" spans="1:15">
      <c r="A22" s="111" t="s">
        <v>7</v>
      </c>
      <c r="B22" t="s">
        <v>15</v>
      </c>
      <c r="C22" t="s">
        <v>16</v>
      </c>
      <c r="D22" t="s">
        <v>11</v>
      </c>
      <c r="E22">
        <v>4</v>
      </c>
      <c r="F22" s="72">
        <v>25</v>
      </c>
      <c r="G22" s="121">
        <f t="shared" si="1"/>
        <v>100</v>
      </c>
      <c r="H22" s="132"/>
      <c r="N22" s="72"/>
    </row>
    <row r="23" spans="1:15">
      <c r="A23" s="123" t="s">
        <v>7</v>
      </c>
      <c r="B23" s="124" t="s">
        <v>15</v>
      </c>
      <c r="C23" s="124" t="s">
        <v>16</v>
      </c>
      <c r="D23" s="124" t="s">
        <v>12</v>
      </c>
      <c r="E23" s="124">
        <v>8</v>
      </c>
      <c r="F23" s="125">
        <v>10</v>
      </c>
      <c r="G23" s="126">
        <f t="shared" si="1"/>
        <v>80</v>
      </c>
      <c r="H23" s="132"/>
      <c r="N23" s="72"/>
    </row>
    <row r="24" spans="1:15">
      <c r="H24" s="132"/>
    </row>
    <row r="25" spans="1:15">
      <c r="A25" s="103" t="s">
        <v>7</v>
      </c>
      <c r="B25" s="104" t="s">
        <v>8</v>
      </c>
      <c r="C25" s="104" t="s">
        <v>17</v>
      </c>
      <c r="D25" s="104" t="s">
        <v>10</v>
      </c>
      <c r="E25" s="127">
        <v>26</v>
      </c>
      <c r="F25" s="128">
        <v>3</v>
      </c>
      <c r="G25" s="106">
        <f t="shared" ref="G25:G35" si="2">E25*F25</f>
        <v>78</v>
      </c>
      <c r="H25" s="132"/>
      <c r="M25" s="95"/>
      <c r="N25" s="96"/>
    </row>
    <row r="26" spans="1:15">
      <c r="A26" s="107" t="s">
        <v>7</v>
      </c>
      <c r="B26" s="108" t="s">
        <v>8</v>
      </c>
      <c r="C26" s="108" t="s">
        <v>17</v>
      </c>
      <c r="D26" s="108" t="s">
        <v>11</v>
      </c>
      <c r="E26" s="129">
        <v>40</v>
      </c>
      <c r="F26" s="130">
        <v>2</v>
      </c>
      <c r="G26" s="110">
        <f t="shared" si="2"/>
        <v>80</v>
      </c>
      <c r="H26" s="132"/>
      <c r="M26" s="95"/>
      <c r="N26" s="96"/>
    </row>
    <row r="27" spans="1:15">
      <c r="A27" s="107" t="s">
        <v>7</v>
      </c>
      <c r="B27" s="108" t="s">
        <v>8</v>
      </c>
      <c r="C27" s="108" t="s">
        <v>17</v>
      </c>
      <c r="D27" s="108" t="s">
        <v>12</v>
      </c>
      <c r="E27" s="129">
        <v>80</v>
      </c>
      <c r="F27" s="130">
        <v>1</v>
      </c>
      <c r="G27" s="110">
        <f t="shared" si="2"/>
        <v>80</v>
      </c>
      <c r="H27" s="132"/>
      <c r="M27" s="95"/>
      <c r="N27" s="96"/>
    </row>
    <row r="28" spans="1:15">
      <c r="A28" s="111" t="s">
        <v>7</v>
      </c>
      <c r="B28" t="s">
        <v>14</v>
      </c>
      <c r="C28" t="s">
        <v>17</v>
      </c>
      <c r="D28" t="s">
        <v>10</v>
      </c>
      <c r="E28">
        <v>20</v>
      </c>
      <c r="F28" s="72">
        <v>4</v>
      </c>
      <c r="G28" s="112">
        <f t="shared" si="2"/>
        <v>80</v>
      </c>
      <c r="H28" s="132"/>
      <c r="N28" s="72"/>
      <c r="O28" s="72"/>
    </row>
    <row r="29" spans="1:15">
      <c r="A29" s="111" t="s">
        <v>7</v>
      </c>
      <c r="B29" t="s">
        <v>14</v>
      </c>
      <c r="C29" t="s">
        <v>17</v>
      </c>
      <c r="D29" t="s">
        <v>11</v>
      </c>
      <c r="E29">
        <v>26</v>
      </c>
      <c r="F29" s="72">
        <v>3</v>
      </c>
      <c r="G29" s="112">
        <f t="shared" si="2"/>
        <v>78</v>
      </c>
      <c r="H29" s="132"/>
      <c r="N29" s="72"/>
      <c r="O29" s="72"/>
    </row>
    <row r="30" spans="1:15">
      <c r="A30" s="111" t="s">
        <v>7</v>
      </c>
      <c r="B30" t="s">
        <v>14</v>
      </c>
      <c r="C30" t="s">
        <v>17</v>
      </c>
      <c r="D30" t="s">
        <v>12</v>
      </c>
      <c r="E30">
        <v>80</v>
      </c>
      <c r="F30" s="72">
        <v>1</v>
      </c>
      <c r="G30" s="112">
        <f t="shared" si="2"/>
        <v>80</v>
      </c>
      <c r="H30" s="132"/>
      <c r="N30" s="72"/>
      <c r="O30" s="72"/>
    </row>
    <row r="31" spans="1:15">
      <c r="A31" s="111" t="s">
        <v>7</v>
      </c>
      <c r="B31" t="s">
        <v>14</v>
      </c>
      <c r="C31" t="s">
        <v>17</v>
      </c>
      <c r="D31" t="s">
        <v>13</v>
      </c>
      <c r="E31">
        <v>160</v>
      </c>
      <c r="F31" s="72">
        <v>0.5</v>
      </c>
      <c r="G31" s="112">
        <f t="shared" si="2"/>
        <v>80</v>
      </c>
      <c r="H31" s="132"/>
      <c r="N31" s="72"/>
      <c r="O31" s="72"/>
    </row>
    <row r="32" spans="1:15">
      <c r="A32" s="107" t="s">
        <v>7</v>
      </c>
      <c r="B32" s="108" t="s">
        <v>15</v>
      </c>
      <c r="C32" s="108" t="s">
        <v>17</v>
      </c>
      <c r="D32" s="108" t="s">
        <v>10</v>
      </c>
      <c r="E32" s="108">
        <v>13</v>
      </c>
      <c r="F32" s="108">
        <v>6</v>
      </c>
      <c r="G32" s="110">
        <f t="shared" si="2"/>
        <v>78</v>
      </c>
      <c r="H32" s="132"/>
    </row>
    <row r="33" spans="1:15">
      <c r="A33" s="107" t="s">
        <v>7</v>
      </c>
      <c r="B33" s="108" t="s">
        <v>15</v>
      </c>
      <c r="C33" s="108" t="s">
        <v>17</v>
      </c>
      <c r="D33" s="108" t="s">
        <v>11</v>
      </c>
      <c r="E33" s="108">
        <v>20</v>
      </c>
      <c r="F33" s="108">
        <v>4</v>
      </c>
      <c r="G33" s="110">
        <f t="shared" si="2"/>
        <v>80</v>
      </c>
      <c r="H33" s="132"/>
    </row>
    <row r="34" spans="1:15">
      <c r="A34" s="107" t="s">
        <v>7</v>
      </c>
      <c r="B34" s="108" t="s">
        <v>15</v>
      </c>
      <c r="C34" s="108" t="s">
        <v>17</v>
      </c>
      <c r="D34" s="108" t="s">
        <v>12</v>
      </c>
      <c r="E34" s="108">
        <v>40</v>
      </c>
      <c r="F34" s="108">
        <v>2</v>
      </c>
      <c r="G34" s="110">
        <f t="shared" si="2"/>
        <v>80</v>
      </c>
      <c r="H34" s="132"/>
    </row>
    <row r="35" spans="1:15">
      <c r="A35" s="113" t="s">
        <v>7</v>
      </c>
      <c r="B35" s="114" t="s">
        <v>15</v>
      </c>
      <c r="C35" s="114" t="s">
        <v>17</v>
      </c>
      <c r="D35" s="114" t="s">
        <v>13</v>
      </c>
      <c r="E35" s="114">
        <v>80</v>
      </c>
      <c r="F35" s="114">
        <v>1</v>
      </c>
      <c r="G35" s="116">
        <f t="shared" si="2"/>
        <v>80</v>
      </c>
      <c r="H35" s="132"/>
    </row>
    <row r="36" spans="1:15">
      <c r="H36" s="132"/>
    </row>
    <row r="37" spans="1:15">
      <c r="A37" s="117" t="s">
        <v>7</v>
      </c>
      <c r="B37" s="118" t="s">
        <v>8</v>
      </c>
      <c r="C37" s="118" t="s">
        <v>18</v>
      </c>
      <c r="D37" s="118" t="s">
        <v>10</v>
      </c>
      <c r="E37" s="118">
        <v>11.5</v>
      </c>
      <c r="F37" s="118">
        <v>7</v>
      </c>
      <c r="G37" s="120">
        <f t="shared" ref="G37:G47" si="3">E37*F37</f>
        <v>80.5</v>
      </c>
      <c r="H37" s="132"/>
    </row>
    <row r="38" spans="1:15">
      <c r="A38" s="111" t="s">
        <v>7</v>
      </c>
      <c r="B38" t="s">
        <v>8</v>
      </c>
      <c r="C38" t="s">
        <v>18</v>
      </c>
      <c r="D38" t="s">
        <v>11</v>
      </c>
      <c r="E38">
        <v>26.5</v>
      </c>
      <c r="F38">
        <v>3</v>
      </c>
      <c r="G38" s="121">
        <f t="shared" si="3"/>
        <v>79.5</v>
      </c>
      <c r="H38" s="132"/>
    </row>
    <row r="39" spans="1:15">
      <c r="A39" s="111" t="s">
        <v>7</v>
      </c>
      <c r="B39" t="s">
        <v>8</v>
      </c>
      <c r="C39" t="s">
        <v>18</v>
      </c>
      <c r="D39" t="s">
        <v>12</v>
      </c>
      <c r="E39">
        <v>40</v>
      </c>
      <c r="F39">
        <v>2</v>
      </c>
      <c r="G39" s="121">
        <f t="shared" si="3"/>
        <v>80</v>
      </c>
      <c r="H39" s="132"/>
    </row>
    <row r="40" spans="1:15">
      <c r="A40" s="164" t="s">
        <v>7</v>
      </c>
      <c r="B40" s="165" t="s">
        <v>14</v>
      </c>
      <c r="C40" s="165" t="s">
        <v>18</v>
      </c>
      <c r="D40" s="165" t="s">
        <v>10</v>
      </c>
      <c r="E40" s="165">
        <v>10</v>
      </c>
      <c r="F40" s="165">
        <v>8</v>
      </c>
      <c r="G40" s="166">
        <f t="shared" si="3"/>
        <v>80</v>
      </c>
      <c r="H40" s="132"/>
    </row>
    <row r="41" spans="1:15">
      <c r="A41" s="107" t="s">
        <v>7</v>
      </c>
      <c r="B41" s="108" t="s">
        <v>14</v>
      </c>
      <c r="C41" s="108" t="s">
        <v>18</v>
      </c>
      <c r="D41" s="108" t="s">
        <v>11</v>
      </c>
      <c r="E41" s="108">
        <v>20</v>
      </c>
      <c r="F41" s="108">
        <v>4</v>
      </c>
      <c r="G41" s="110">
        <f t="shared" si="3"/>
        <v>80</v>
      </c>
      <c r="H41" s="132"/>
    </row>
    <row r="42" spans="1:15">
      <c r="A42" s="107" t="s">
        <v>7</v>
      </c>
      <c r="B42" s="108" t="s">
        <v>14</v>
      </c>
      <c r="C42" s="108" t="s">
        <v>18</v>
      </c>
      <c r="D42" s="108" t="s">
        <v>12</v>
      </c>
      <c r="E42" s="108">
        <v>40</v>
      </c>
      <c r="F42" s="108">
        <v>2</v>
      </c>
      <c r="G42" s="110">
        <f t="shared" si="3"/>
        <v>80</v>
      </c>
      <c r="H42" s="132"/>
    </row>
    <row r="43" spans="1:15">
      <c r="A43" s="107" t="s">
        <v>7</v>
      </c>
      <c r="B43" s="108" t="s">
        <v>14</v>
      </c>
      <c r="C43" s="108" t="s">
        <v>18</v>
      </c>
      <c r="D43" s="108" t="s">
        <v>13</v>
      </c>
      <c r="E43" s="108">
        <v>80</v>
      </c>
      <c r="F43" s="108">
        <v>1</v>
      </c>
      <c r="G43" s="110">
        <f t="shared" si="3"/>
        <v>80</v>
      </c>
      <c r="H43" s="132"/>
    </row>
    <row r="44" spans="1:15">
      <c r="A44" s="111" t="s">
        <v>7</v>
      </c>
      <c r="B44" t="s">
        <v>15</v>
      </c>
      <c r="C44" t="s">
        <v>18</v>
      </c>
      <c r="D44" t="s">
        <v>10</v>
      </c>
      <c r="E44">
        <v>8</v>
      </c>
      <c r="F44">
        <v>10</v>
      </c>
      <c r="G44" s="121">
        <f t="shared" si="3"/>
        <v>80</v>
      </c>
      <c r="H44" s="132"/>
      <c r="N44" s="72"/>
      <c r="O44" s="72"/>
    </row>
    <row r="45" spans="1:15">
      <c r="A45" s="111" t="s">
        <v>7</v>
      </c>
      <c r="B45" t="s">
        <v>15</v>
      </c>
      <c r="C45" t="s">
        <v>18</v>
      </c>
      <c r="D45" t="s">
        <v>11</v>
      </c>
      <c r="E45">
        <v>13</v>
      </c>
      <c r="F45" s="72">
        <v>6</v>
      </c>
      <c r="G45" s="112">
        <f t="shared" si="3"/>
        <v>78</v>
      </c>
      <c r="H45" s="132"/>
      <c r="N45" s="72"/>
      <c r="O45" s="72"/>
    </row>
    <row r="46" spans="1:15">
      <c r="A46" s="111" t="s">
        <v>7</v>
      </c>
      <c r="B46" t="s">
        <v>15</v>
      </c>
      <c r="C46" t="s">
        <v>18</v>
      </c>
      <c r="D46" t="s">
        <v>12</v>
      </c>
      <c r="E46">
        <v>20</v>
      </c>
      <c r="F46" s="72">
        <v>4</v>
      </c>
      <c r="G46" s="112">
        <f t="shared" si="3"/>
        <v>80</v>
      </c>
      <c r="H46" s="132"/>
      <c r="N46" s="72"/>
      <c r="O46" s="72"/>
    </row>
    <row r="47" spans="1:15">
      <c r="A47" s="123" t="s">
        <v>7</v>
      </c>
      <c r="B47" s="124" t="s">
        <v>15</v>
      </c>
      <c r="C47" s="124" t="s">
        <v>18</v>
      </c>
      <c r="D47" s="124" t="s">
        <v>13</v>
      </c>
      <c r="E47" s="124">
        <v>80</v>
      </c>
      <c r="F47" s="125">
        <v>1</v>
      </c>
      <c r="G47" s="131">
        <f t="shared" si="3"/>
        <v>80</v>
      </c>
      <c r="H47" s="132"/>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D1B-D0D7-4FDF-AE3A-1344DB5387CC}">
  <sheetPr codeName="Planilha1"/>
  <dimension ref="A10:S71"/>
  <sheetViews>
    <sheetView topLeftCell="B10" workbookViewId="0">
      <selection activeCell="I37" sqref="I37"/>
    </sheetView>
  </sheetViews>
  <sheetFormatPr defaultRowHeight="15"/>
  <cols>
    <col min="3" max="3" width="17.85546875" bestFit="1" customWidth="1"/>
    <col min="5" max="5" width="10.28515625" bestFit="1" customWidth="1"/>
    <col min="6" max="6" width="19.28515625" bestFit="1" customWidth="1"/>
    <col min="9" max="9" width="21" customWidth="1"/>
    <col min="10" max="12" width="19.28515625" customWidth="1"/>
    <col min="14" max="14" width="10.28515625" bestFit="1" customWidth="1"/>
    <col min="17" max="17" width="21.28515625" bestFit="1" customWidth="1"/>
    <col min="19" max="19" width="17.85546875" customWidth="1"/>
    <col min="20" max="20" width="16" bestFit="1" customWidth="1"/>
    <col min="21" max="21" width="16" customWidth="1"/>
  </cols>
  <sheetData>
    <row r="10" spans="2:19" ht="15.75" thickBot="1"/>
    <row r="11" spans="2:19" ht="15.75" thickBot="1">
      <c r="B11" s="203" t="s">
        <v>19</v>
      </c>
      <c r="C11" s="204"/>
      <c r="E11" s="203" t="s">
        <v>20</v>
      </c>
      <c r="F11" s="204"/>
      <c r="H11" s="203" t="s">
        <v>21</v>
      </c>
      <c r="I11" s="207"/>
      <c r="J11" s="83" t="s">
        <v>22</v>
      </c>
      <c r="K11" s="83" t="s">
        <v>23</v>
      </c>
      <c r="M11" s="203" t="s">
        <v>24</v>
      </c>
      <c r="N11" s="207"/>
      <c r="P11" s="203" t="s">
        <v>25</v>
      </c>
      <c r="Q11" s="204"/>
      <c r="S11" s="68" t="s">
        <v>26</v>
      </c>
    </row>
    <row r="12" spans="2:19">
      <c r="B12" s="7">
        <v>1</v>
      </c>
      <c r="C12" s="2" t="s">
        <v>16</v>
      </c>
      <c r="E12" s="6">
        <v>1</v>
      </c>
      <c r="F12" s="1" t="s">
        <v>7</v>
      </c>
      <c r="H12" s="6">
        <v>1</v>
      </c>
      <c r="I12" s="6" t="s">
        <v>27</v>
      </c>
      <c r="J12" s="26" t="s">
        <v>8</v>
      </c>
      <c r="K12" s="6">
        <v>3</v>
      </c>
      <c r="M12" s="6">
        <v>1</v>
      </c>
      <c r="N12" s="6" t="s">
        <v>28</v>
      </c>
      <c r="P12" s="6">
        <v>1</v>
      </c>
      <c r="Q12" s="1" t="str">
        <f>Tabela!D2</f>
        <v>Baixa</v>
      </c>
      <c r="S12" s="6" t="s">
        <v>29</v>
      </c>
    </row>
    <row r="13" spans="2:19" ht="15.75" thickBot="1">
      <c r="B13" s="7">
        <v>2</v>
      </c>
      <c r="C13" s="2" t="s">
        <v>9</v>
      </c>
      <c r="E13" s="7">
        <v>2</v>
      </c>
      <c r="F13" s="2" t="s">
        <v>30</v>
      </c>
      <c r="H13" s="7">
        <v>2</v>
      </c>
      <c r="I13" s="7" t="s">
        <v>31</v>
      </c>
      <c r="J13" t="s">
        <v>14</v>
      </c>
      <c r="K13" s="7">
        <v>3</v>
      </c>
      <c r="M13" s="7">
        <v>2</v>
      </c>
      <c r="N13" s="7" t="s">
        <v>32</v>
      </c>
      <c r="P13" s="7">
        <v>2</v>
      </c>
      <c r="Q13" s="2" t="str">
        <f>Tabela!D3</f>
        <v>Média</v>
      </c>
      <c r="S13" s="8" t="s">
        <v>33</v>
      </c>
    </row>
    <row r="14" spans="2:19">
      <c r="B14" s="7">
        <v>3</v>
      </c>
      <c r="C14" s="2" t="s">
        <v>18</v>
      </c>
      <c r="E14" s="7">
        <v>3</v>
      </c>
      <c r="F14" s="2" t="s">
        <v>34</v>
      </c>
      <c r="H14" s="7">
        <v>3</v>
      </c>
      <c r="I14" s="7" t="s">
        <v>35</v>
      </c>
      <c r="J14" t="s">
        <v>36</v>
      </c>
      <c r="K14" s="7">
        <v>1</v>
      </c>
      <c r="M14" s="7">
        <v>3</v>
      </c>
      <c r="N14" s="7" t="s">
        <v>37</v>
      </c>
      <c r="P14" s="7">
        <v>3</v>
      </c>
      <c r="Q14" s="2" t="str">
        <f>Tabela!D4</f>
        <v xml:space="preserve">Alta </v>
      </c>
    </row>
    <row r="15" spans="2:19" ht="15.75" thickBot="1">
      <c r="B15" s="7">
        <v>4</v>
      </c>
      <c r="C15" s="2" t="s">
        <v>17</v>
      </c>
      <c r="E15" s="7">
        <v>4</v>
      </c>
      <c r="F15" s="2" t="s">
        <v>38</v>
      </c>
      <c r="H15" s="7">
        <v>4</v>
      </c>
      <c r="I15" s="7" t="s">
        <v>39</v>
      </c>
      <c r="J15" t="s">
        <v>15</v>
      </c>
      <c r="K15" s="7">
        <v>3</v>
      </c>
      <c r="M15" s="7">
        <v>4</v>
      </c>
      <c r="N15" s="7" t="s">
        <v>40</v>
      </c>
      <c r="P15" s="8">
        <v>4</v>
      </c>
      <c r="Q15" s="3" t="str">
        <f>Tabela!D5</f>
        <v>Extra Alta</v>
      </c>
    </row>
    <row r="16" spans="2:19" ht="15.75" thickBot="1">
      <c r="B16" s="8">
        <v>5</v>
      </c>
      <c r="C16" s="3" t="s">
        <v>41</v>
      </c>
      <c r="E16" s="7">
        <v>5</v>
      </c>
      <c r="F16" s="2"/>
      <c r="H16" s="7">
        <v>5</v>
      </c>
      <c r="I16" s="7" t="s">
        <v>42</v>
      </c>
      <c r="J16" t="s">
        <v>15</v>
      </c>
      <c r="K16" s="7">
        <v>1</v>
      </c>
      <c r="M16" s="7">
        <v>5</v>
      </c>
      <c r="N16" s="7" t="s">
        <v>43</v>
      </c>
    </row>
    <row r="17" spans="1:14">
      <c r="E17" s="7">
        <v>6</v>
      </c>
      <c r="F17" s="2"/>
      <c r="H17" s="7">
        <v>6</v>
      </c>
      <c r="I17" s="7" t="s">
        <v>44</v>
      </c>
      <c r="J17" t="s">
        <v>14</v>
      </c>
      <c r="K17" s="7">
        <v>1</v>
      </c>
      <c r="M17" s="7">
        <v>6</v>
      </c>
      <c r="N17" s="7" t="s">
        <v>45</v>
      </c>
    </row>
    <row r="18" spans="1:14">
      <c r="E18" s="7">
        <v>7</v>
      </c>
      <c r="F18" s="2"/>
      <c r="H18" s="27">
        <v>7</v>
      </c>
      <c r="I18" s="7" t="s">
        <v>46</v>
      </c>
      <c r="J18" t="s">
        <v>8</v>
      </c>
      <c r="K18" s="7">
        <v>3</v>
      </c>
      <c r="M18" s="7">
        <v>7</v>
      </c>
      <c r="N18" s="7" t="s">
        <v>35</v>
      </c>
    </row>
    <row r="19" spans="1:14" ht="15.75" thickBot="1">
      <c r="E19" s="7">
        <v>8</v>
      </c>
      <c r="F19" s="2"/>
      <c r="H19" s="27">
        <v>8</v>
      </c>
      <c r="I19" s="7" t="s">
        <v>47</v>
      </c>
      <c r="J19" t="s">
        <v>14</v>
      </c>
      <c r="K19" s="7">
        <v>2</v>
      </c>
      <c r="M19" s="8">
        <v>8</v>
      </c>
      <c r="N19" s="8" t="s">
        <v>48</v>
      </c>
    </row>
    <row r="20" spans="1:14" ht="15.75" thickBot="1">
      <c r="B20" s="205" t="s">
        <v>49</v>
      </c>
      <c r="C20" s="206"/>
      <c r="E20" s="7">
        <v>9</v>
      </c>
      <c r="F20" s="2"/>
      <c r="H20" s="27">
        <v>9</v>
      </c>
      <c r="I20" s="7" t="s">
        <v>50</v>
      </c>
      <c r="J20" t="s">
        <v>14</v>
      </c>
      <c r="K20" s="7">
        <v>2</v>
      </c>
    </row>
    <row r="21" spans="1:14">
      <c r="B21" s="6">
        <v>1</v>
      </c>
      <c r="C21" s="6" t="s">
        <v>51</v>
      </c>
      <c r="E21" s="7">
        <v>10</v>
      </c>
      <c r="F21" s="2"/>
      <c r="H21" s="27">
        <v>10</v>
      </c>
      <c r="I21" s="7" t="s">
        <v>52</v>
      </c>
      <c r="J21" t="s">
        <v>8</v>
      </c>
      <c r="K21" s="7">
        <v>2</v>
      </c>
    </row>
    <row r="22" spans="1:14" ht="15.75" thickBot="1">
      <c r="B22" s="7">
        <v>2</v>
      </c>
      <c r="C22" s="7" t="s">
        <v>53</v>
      </c>
      <c r="E22" s="8">
        <v>11</v>
      </c>
      <c r="F22" s="3"/>
      <c r="H22" s="7">
        <v>11</v>
      </c>
      <c r="I22" s="7" t="s">
        <v>54</v>
      </c>
      <c r="J22" t="s">
        <v>36</v>
      </c>
      <c r="K22" s="7">
        <v>3</v>
      </c>
    </row>
    <row r="23" spans="1:14" ht="15.75" thickBot="1">
      <c r="B23" s="8">
        <v>3</v>
      </c>
      <c r="C23" s="8" t="s">
        <v>55</v>
      </c>
      <c r="H23" s="7">
        <v>12</v>
      </c>
      <c r="I23" s="7" t="s">
        <v>56</v>
      </c>
      <c r="J23" t="s">
        <v>36</v>
      </c>
      <c r="K23" s="7">
        <v>3</v>
      </c>
    </row>
    <row r="24" spans="1:14">
      <c r="H24" s="7">
        <v>13</v>
      </c>
      <c r="I24" s="7" t="s">
        <v>57</v>
      </c>
      <c r="J24" t="s">
        <v>14</v>
      </c>
      <c r="K24" s="7">
        <v>3</v>
      </c>
    </row>
    <row r="25" spans="1:14">
      <c r="H25" s="7">
        <v>14</v>
      </c>
      <c r="I25" s="7" t="s">
        <v>58</v>
      </c>
      <c r="J25" t="s">
        <v>8</v>
      </c>
      <c r="K25" s="7">
        <v>2</v>
      </c>
    </row>
    <row r="26" spans="1:14">
      <c r="H26" s="7">
        <v>15</v>
      </c>
      <c r="I26" s="7" t="s">
        <v>59</v>
      </c>
      <c r="J26" t="s">
        <v>36</v>
      </c>
      <c r="K26" s="7">
        <v>3</v>
      </c>
    </row>
    <row r="27" spans="1:14">
      <c r="H27" s="7">
        <v>16</v>
      </c>
      <c r="I27" s="7" t="s">
        <v>60</v>
      </c>
      <c r="J27" t="s">
        <v>8</v>
      </c>
      <c r="K27" s="7">
        <v>2</v>
      </c>
    </row>
    <row r="28" spans="1:14">
      <c r="A28" s="71"/>
      <c r="B28" s="71"/>
      <c r="C28" s="71"/>
      <c r="D28" s="71"/>
      <c r="E28" s="71"/>
      <c r="F28" s="71"/>
      <c r="G28" s="71"/>
      <c r="H28" s="7">
        <v>17</v>
      </c>
      <c r="I28" s="7" t="s">
        <v>61</v>
      </c>
      <c r="J28" t="s">
        <v>8</v>
      </c>
      <c r="K28" s="7">
        <v>2</v>
      </c>
    </row>
    <row r="29" spans="1:14">
      <c r="F29" s="72"/>
      <c r="H29" s="7">
        <v>18</v>
      </c>
      <c r="I29" s="7" t="s">
        <v>62</v>
      </c>
      <c r="J29" t="s">
        <v>36</v>
      </c>
      <c r="K29" s="7">
        <v>2</v>
      </c>
    </row>
    <row r="30" spans="1:14">
      <c r="F30" s="72"/>
      <c r="H30" s="7">
        <v>19</v>
      </c>
      <c r="I30" s="7" t="s">
        <v>63</v>
      </c>
      <c r="J30" t="s">
        <v>8</v>
      </c>
      <c r="K30" s="7">
        <v>2</v>
      </c>
    </row>
    <row r="31" spans="1:14">
      <c r="F31" s="72"/>
      <c r="H31" s="7">
        <v>20</v>
      </c>
      <c r="I31" s="7" t="s">
        <v>64</v>
      </c>
      <c r="J31" t="s">
        <v>14</v>
      </c>
      <c r="K31" s="7">
        <v>3</v>
      </c>
    </row>
    <row r="32" spans="1:14">
      <c r="F32" s="72"/>
      <c r="H32" s="7">
        <v>21</v>
      </c>
      <c r="I32" s="7" t="s">
        <v>65</v>
      </c>
      <c r="J32" t="s">
        <v>8</v>
      </c>
      <c r="K32" s="7">
        <v>2</v>
      </c>
    </row>
    <row r="33" spans="6:11">
      <c r="F33" s="72"/>
      <c r="G33" s="72"/>
      <c r="H33" s="7">
        <v>22</v>
      </c>
      <c r="I33" s="7" t="s">
        <v>66</v>
      </c>
      <c r="J33" t="s">
        <v>36</v>
      </c>
      <c r="K33" s="7">
        <v>3</v>
      </c>
    </row>
    <row r="34" spans="6:11">
      <c r="F34" s="72"/>
      <c r="G34" s="72"/>
      <c r="H34" s="7">
        <v>23</v>
      </c>
      <c r="I34" s="7" t="s">
        <v>67</v>
      </c>
      <c r="J34" t="s">
        <v>14</v>
      </c>
      <c r="K34" s="7">
        <v>3</v>
      </c>
    </row>
    <row r="35" spans="6:11">
      <c r="F35" s="72"/>
      <c r="G35" s="72"/>
      <c r="H35" s="7">
        <v>24</v>
      </c>
      <c r="I35" s="7" t="s">
        <v>68</v>
      </c>
      <c r="J35" t="s">
        <v>8</v>
      </c>
      <c r="K35" s="7">
        <v>2</v>
      </c>
    </row>
    <row r="36" spans="6:11" ht="15.75" thickBot="1">
      <c r="F36" s="72"/>
      <c r="G36" s="72"/>
      <c r="H36" s="8">
        <v>25</v>
      </c>
      <c r="I36" s="8" t="s">
        <v>69</v>
      </c>
      <c r="J36" s="46" t="s">
        <v>8</v>
      </c>
      <c r="K36" s="8">
        <v>3</v>
      </c>
    </row>
    <row r="37" spans="6:11">
      <c r="F37" s="72"/>
    </row>
    <row r="39" spans="6:11">
      <c r="F39" s="72"/>
    </row>
    <row r="40" spans="6:11">
      <c r="F40" s="72"/>
    </row>
    <row r="41" spans="6:11">
      <c r="F41" s="72"/>
    </row>
    <row r="42" spans="6:11">
      <c r="F42" s="94"/>
    </row>
    <row r="45" spans="6:11">
      <c r="F45" s="72"/>
    </row>
    <row r="46" spans="6:11">
      <c r="F46" s="72"/>
    </row>
    <row r="47" spans="6:11">
      <c r="F47" s="72"/>
    </row>
    <row r="49" spans="5:7">
      <c r="E49" s="95"/>
      <c r="F49" s="96"/>
    </row>
    <row r="50" spans="5:7">
      <c r="E50" s="95"/>
      <c r="F50" s="96"/>
    </row>
    <row r="51" spans="5:7">
      <c r="E51" s="95"/>
      <c r="F51" s="96"/>
    </row>
    <row r="52" spans="5:7">
      <c r="F52" s="72"/>
      <c r="G52" s="72"/>
    </row>
    <row r="53" spans="5:7">
      <c r="F53" s="72"/>
      <c r="G53" s="72"/>
    </row>
    <row r="54" spans="5:7">
      <c r="F54" s="72"/>
      <c r="G54" s="72"/>
    </row>
    <row r="55" spans="5:7">
      <c r="F55" s="72"/>
      <c r="G55" s="72"/>
    </row>
    <row r="69" spans="6:7">
      <c r="F69" s="72"/>
      <c r="G69" s="72"/>
    </row>
    <row r="70" spans="6:7">
      <c r="F70" s="72"/>
      <c r="G70" s="72"/>
    </row>
    <row r="71" spans="6:7">
      <c r="F71" s="72"/>
      <c r="G71" s="72"/>
    </row>
  </sheetData>
  <sortState xmlns:xlrd2="http://schemas.microsoft.com/office/spreadsheetml/2017/richdata2" ref="I12:K33">
    <sortCondition ref="I12:I33"/>
  </sortState>
  <mergeCells count="6">
    <mergeCell ref="P11:Q11"/>
    <mergeCell ref="B20:C20"/>
    <mergeCell ref="B11:C11"/>
    <mergeCell ref="E11:F11"/>
    <mergeCell ref="H11:I11"/>
    <mergeCell ref="M11:N11"/>
  </mergeCells>
  <phoneticPr fontId="4" type="noConversion"/>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F576-EBAF-448A-AEC9-B1C55250FA63}">
  <sheetPr codeName="Planilha4"/>
  <dimension ref="A1:AT396"/>
  <sheetViews>
    <sheetView topLeftCell="A28" zoomScaleNormal="100" workbookViewId="0">
      <selection activeCell="L107" sqref="L107:L135"/>
    </sheetView>
  </sheetViews>
  <sheetFormatPr defaultRowHeight="15"/>
  <cols>
    <col min="1" max="1" width="16.140625" customWidth="1"/>
    <col min="2" max="2" width="15.85546875" customWidth="1"/>
    <col min="3" max="3" width="17.28515625" customWidth="1"/>
    <col min="4" max="4" width="11.28515625" customWidth="1"/>
    <col min="5" max="5" width="26.28515625" bestFit="1" customWidth="1"/>
    <col min="6" max="6" width="29" customWidth="1"/>
    <col min="7" max="7" width="97.28515625" customWidth="1"/>
    <col min="8" max="8" width="19" bestFit="1" customWidth="1"/>
    <col min="9" max="9" width="20" bestFit="1" customWidth="1"/>
    <col min="10" max="10" width="12.28515625" bestFit="1" customWidth="1"/>
    <col min="11" max="11" width="16.28515625" customWidth="1"/>
    <col min="12" max="12" width="13.28515625" customWidth="1"/>
    <col min="13" max="13" width="18.28515625" customWidth="1"/>
    <col min="14" max="14" width="15.85546875" customWidth="1"/>
    <col min="15" max="15" width="15" customWidth="1"/>
    <col min="16" max="16" width="13.28515625" customWidth="1"/>
    <col min="17" max="17" width="12.28515625" customWidth="1"/>
    <col min="19" max="19" width="33.28515625"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COUNTA(B$130:B409)</f>
        <v>12</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COUNTIFS(H$130:H527,U5,K$130:K527,V4)</f>
        <v>0</v>
      </c>
      <c r="W5" s="147">
        <f>COUNTIFS(H$39:H527,U5,K$39:K527,W4)</f>
        <v>1</v>
      </c>
      <c r="X5" s="147">
        <f>COUNTIFS(H$39:H527,U5,K$39:K527,X4)</f>
        <v>0</v>
      </c>
      <c r="Y5" s="148">
        <f t="shared" ref="Y5:Y10" si="0">SUM(V5:X5)</f>
        <v>1</v>
      </c>
      <c r="Z5" s="13"/>
      <c r="AA5" s="88" t="str">
        <f>U5</f>
        <v>Bárbara Leite</v>
      </c>
      <c r="AB5" s="33">
        <f>SUMIFS(J$130:J448,H$130:H448,AA5,E$130:E448,"SAL")</f>
        <v>0</v>
      </c>
      <c r="AC5" s="34">
        <f>SUMIFS(J$130:J522,H$130:H522,AA5,E$130:E522,"SAM")</f>
        <v>0</v>
      </c>
      <c r="AD5" s="34">
        <f>SUMIFS(J$130:J522,H$130:H522,AA5,E$130:E522,"NE")</f>
        <v>0</v>
      </c>
      <c r="AE5" s="34">
        <f>SUMIFS(J$130:J522,H$130:H522,AA5,E$130:E522,"SAIL")</f>
        <v>3175</v>
      </c>
      <c r="AF5" s="35">
        <f t="shared" ref="AF5:AF9" si="1">SUBTOTAL(9,AB5:AE5)</f>
        <v>3175</v>
      </c>
      <c r="AH5" s="88" t="str">
        <f>U5</f>
        <v>Bárbara Leite</v>
      </c>
      <c r="AI5" s="33">
        <f>COUNTIFS(H$130:H522,AH5,E$130:E522,"SAL")</f>
        <v>0</v>
      </c>
      <c r="AJ5" s="34">
        <f t="shared" ref="AJ5:AJ29" si="2">COUNTIFS(H$130:H$522,AH5,E$130:E$522,"SAM")</f>
        <v>0</v>
      </c>
      <c r="AK5" s="34">
        <f>COUNTIFS(H$130:H522,AH5,E$130:E$522,"NE")</f>
        <v>0</v>
      </c>
      <c r="AL5" s="34">
        <f>COUNTIFS(H$130:H522,AH5,E$130:E522,"SAIL")</f>
        <v>1</v>
      </c>
      <c r="AM5" s="35">
        <f t="shared" ref="AM5:AM12" si="3">SUBTOTAL(9,AI5:AL5)</f>
        <v>1</v>
      </c>
      <c r="AO5" s="88" t="str">
        <f>U5</f>
        <v>Bárbara Leite</v>
      </c>
      <c r="AP5" s="33">
        <f t="shared" ref="AP5:AP29" si="4">SUMIFS(Q$130:Q$447,H$130:H$447,AO5,E$130:E$447,"SAL")</f>
        <v>0</v>
      </c>
      <c r="AQ5" s="34">
        <f t="shared" ref="AQ5:AQ29" si="5">SUMIFS(Q$130:Q$447,H$130:H$447,AO5,E$130:E$447,"SAM")</f>
        <v>0</v>
      </c>
      <c r="AR5" s="34">
        <f t="shared" ref="AR5:AR29" si="6">SUMIFS(Q$130:Q$447,H$130:H$447,AO5,E$130:E$447,"NE")</f>
        <v>0</v>
      </c>
      <c r="AS5" s="34">
        <f t="shared" ref="AS5:AS29" si="7">SUMIFS(Q$130:Q$447,H$130:H$447,AO5,E$130:E$447,"SAIL")</f>
        <v>40</v>
      </c>
      <c r="AT5" s="35">
        <f t="shared" ref="AT5:AT10" si="8">SUBTOTAL(9,AP5:AS5)</f>
        <v>40</v>
      </c>
    </row>
    <row r="6" spans="21:46" ht="15.75" thickBot="1">
      <c r="U6" s="87" t="str">
        <f>Cadastros!I13</f>
        <v>Bárbara Teixeira</v>
      </c>
      <c r="V6" s="85">
        <f>COUNTIFS(H$39:H527,U6,K$39:K527,V4)</f>
        <v>2</v>
      </c>
      <c r="W6" s="18">
        <f>COUNTIFS(H$39:H527,U6,K$39:K527,W4)</f>
        <v>2</v>
      </c>
      <c r="X6" s="18">
        <f>COUNTIFS(H$39:H527,U6,K$39:K527,X4)</f>
        <v>0</v>
      </c>
      <c r="Y6" s="19">
        <f t="shared" si="0"/>
        <v>4</v>
      </c>
      <c r="Z6" s="13"/>
      <c r="AA6" s="22" t="str">
        <f>U6</f>
        <v>Bárbara Teixeira</v>
      </c>
      <c r="AB6" s="30">
        <f>SUMIFS(J$130:J449,H$130:H449,AA6,E$130:E449,"SAL")</f>
        <v>0</v>
      </c>
      <c r="AC6" s="29">
        <f>SUMIFS(J$130:J523,H$130:H523,AA6,E$130:E523,"SAM")</f>
        <v>0</v>
      </c>
      <c r="AD6" s="29">
        <f>SUMIFS(J$130:J523,H$130:H523,AA6,E$130:E523,"NE")</f>
        <v>0</v>
      </c>
      <c r="AE6" s="29">
        <f>SUMIFS(J$130:J523,H$130:H523,AA6,E$130:E523,"SAIL")</f>
        <v>0</v>
      </c>
      <c r="AF6" s="31">
        <f t="shared" si="1"/>
        <v>0</v>
      </c>
      <c r="AH6" s="22" t="str">
        <f>U6</f>
        <v>Bárbara Teixeira</v>
      </c>
      <c r="AI6" s="30">
        <f>COUNTIFS(H$130:H523,AH6,E$130:E523,"SAL")</f>
        <v>0</v>
      </c>
      <c r="AJ6" s="29">
        <f t="shared" si="2"/>
        <v>0</v>
      </c>
      <c r="AK6" s="29">
        <f t="shared" ref="AK6:AK29" si="9">COUNTIFS(H$130:H$522,AH6,E$130:E$522,"NE")</f>
        <v>0</v>
      </c>
      <c r="AL6" s="29">
        <f>COUNTIFS(H$130:H523,AH6,E$130:E523,"SAIL")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COUNTIFS(H$39:H527,U7,K$39:K527,V4)</f>
        <v>2</v>
      </c>
      <c r="W7" s="14">
        <f>COUNTIFS(H$39:H527,U7,K$39:K527,W4)</f>
        <v>0</v>
      </c>
      <c r="X7" s="14">
        <f>COUNTIFS(H$39:H527,U7,K$39:K527,X4)</f>
        <v>0</v>
      </c>
      <c r="Y7" s="15">
        <f t="shared" si="0"/>
        <v>2</v>
      </c>
      <c r="Z7" s="13"/>
      <c r="AA7" s="21" t="str">
        <f t="shared" ref="AA7:AA11" si="10">U7</f>
        <v>Bruna Ferro</v>
      </c>
      <c r="AB7" s="37">
        <f>SUMIFS(J$130:J450,H$130:H450,AA7,E$130:E450,"SAL")</f>
        <v>0</v>
      </c>
      <c r="AC7" s="38">
        <f>SUMIFS(J$130:J524,H$130:H524,AA7,E$130:E524,"SAM")</f>
        <v>0</v>
      </c>
      <c r="AD7" s="38">
        <f>SUMIFS(J$130:J524,H$130:H524,AA7,E$130:E524,"NE")</f>
        <v>0</v>
      </c>
      <c r="AE7" s="38">
        <f>SUMIFS(J$130:J524,H$130:H524,AA7,E$130:E524,"SAIL")</f>
        <v>0</v>
      </c>
      <c r="AF7" s="39">
        <f t="shared" si="1"/>
        <v>0</v>
      </c>
      <c r="AH7" s="21" t="str">
        <f t="shared" ref="AH7:AH11" si="11">U7</f>
        <v>Bruna Ferro</v>
      </c>
      <c r="AI7" s="37">
        <f>COUNTIFS(H$130:H524,AH7,E$130:E524,"SAL")</f>
        <v>0</v>
      </c>
      <c r="AJ7" s="38">
        <f t="shared" si="2"/>
        <v>0</v>
      </c>
      <c r="AK7" s="38">
        <f t="shared" si="9"/>
        <v>0</v>
      </c>
      <c r="AL7" s="38">
        <f>COUNTIFS(H$130:H524,AH7,E$130:E524,"SAIL")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COUNTIFS(H$39:H527,U8,K$39:K527,V4)</f>
        <v>7</v>
      </c>
      <c r="W8" s="18">
        <f>COUNTIFS(H$39:H527,U8,K$39:K527,W4)</f>
        <v>0</v>
      </c>
      <c r="X8" s="18">
        <f>COUNTIFS(H$39:H527,U8,K$39:K527,X4)</f>
        <v>0</v>
      </c>
      <c r="Y8" s="19">
        <f t="shared" si="0"/>
        <v>7</v>
      </c>
      <c r="Z8" s="13"/>
      <c r="AA8" s="22" t="str">
        <f t="shared" si="10"/>
        <v>Carolina Esmeraldino</v>
      </c>
      <c r="AB8" s="30">
        <f>SUMIFS(J$130:J451,H$130:H451,AA8,E$130:E451,"SAL")</f>
        <v>0</v>
      </c>
      <c r="AC8" s="29">
        <f>SUMIFS(J$130:J525,H$130:H525,AA8,E$130:E525,"SAM")</f>
        <v>521</v>
      </c>
      <c r="AD8" s="29">
        <f>SUMIFS(J$130:J525,H$130:H525,AA8,E$130:E525,"NE")</f>
        <v>0</v>
      </c>
      <c r="AE8" s="29">
        <f>SUMIFS(J$130:J525,H$130:H525,AA8,E$130:E525,"SAIL")</f>
        <v>0</v>
      </c>
      <c r="AF8" s="31">
        <f t="shared" si="1"/>
        <v>521</v>
      </c>
      <c r="AH8" s="22" t="str">
        <f t="shared" si="11"/>
        <v>Carolina Esmeraldino</v>
      </c>
      <c r="AI8" s="30">
        <f>COUNTIFS(H$130:H525,AH8,E$130:E525,"SAL")</f>
        <v>0</v>
      </c>
      <c r="AJ8" s="29">
        <f t="shared" si="2"/>
        <v>1</v>
      </c>
      <c r="AK8" s="29">
        <f t="shared" si="9"/>
        <v>0</v>
      </c>
      <c r="AL8" s="29">
        <f>COUNTIFS(H$130:H525,AH8,E$130:E525,"SAIL")</f>
        <v>0</v>
      </c>
      <c r="AM8" s="31">
        <f t="shared" si="3"/>
        <v>1</v>
      </c>
      <c r="AO8" s="22" t="str">
        <f>U8</f>
        <v>Carolina Esmeraldino</v>
      </c>
      <c r="AP8" s="30">
        <f t="shared" si="4"/>
        <v>0</v>
      </c>
      <c r="AQ8" s="29">
        <f t="shared" si="5"/>
        <v>8</v>
      </c>
      <c r="AR8" s="29">
        <f t="shared" si="6"/>
        <v>0</v>
      </c>
      <c r="AS8" s="29">
        <f t="shared" si="7"/>
        <v>0</v>
      </c>
      <c r="AT8" s="31">
        <f t="shared" si="8"/>
        <v>8</v>
      </c>
    </row>
    <row r="9" spans="21:46" ht="15.75" thickBot="1">
      <c r="U9" s="87" t="str">
        <f>Cadastros!I16</f>
        <v>Claudia Savois</v>
      </c>
      <c r="V9" s="86">
        <f>COUNTIFS(H$39:H527,U9,K$39:K527,V4)</f>
        <v>0</v>
      </c>
      <c r="W9" s="14">
        <f>COUNTIFS(H$39:H527,U9,K$39:K527,W4)</f>
        <v>0</v>
      </c>
      <c r="X9" s="14">
        <f>COUNTIFS(H$39:H527,U9,K$39:K527,X4)</f>
        <v>0</v>
      </c>
      <c r="Y9" s="15">
        <f t="shared" si="0"/>
        <v>0</v>
      </c>
      <c r="Z9" s="13"/>
      <c r="AA9" s="21" t="str">
        <f t="shared" si="10"/>
        <v>Claudia Savois</v>
      </c>
      <c r="AB9" s="37">
        <f>SUMIFS(J$130:J452,H$130:H452,AA9,E$130:E452,"SAL")</f>
        <v>0</v>
      </c>
      <c r="AC9" s="38">
        <f>SUMIFS(J$130:J526,H$130:H526,AA9,E$130:E526,"SAM")</f>
        <v>0</v>
      </c>
      <c r="AD9" s="38">
        <f>SUMIFS(J$130:J526,H$130:H526,AA9,E$130:E526,"NE")</f>
        <v>0</v>
      </c>
      <c r="AE9" s="38">
        <f>SUMIFS(J$130:J526,H$130:H526,AA9,E$130:E526,"SAIL")</f>
        <v>0</v>
      </c>
      <c r="AF9" s="39">
        <f t="shared" si="1"/>
        <v>0</v>
      </c>
      <c r="AH9" s="21" t="str">
        <f t="shared" si="11"/>
        <v>Claudia Savois</v>
      </c>
      <c r="AI9" s="37">
        <f>COUNTIFS(H$130:H526,AH9,E$130:E526,"SAL")</f>
        <v>0</v>
      </c>
      <c r="AJ9" s="38">
        <f t="shared" si="2"/>
        <v>0</v>
      </c>
      <c r="AK9" s="38">
        <f t="shared" si="9"/>
        <v>0</v>
      </c>
      <c r="AL9" s="38">
        <f>COUNTIFS(H$130:H526,AH9,E$130:E526,"SAIL")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COUNTIFS(H$39:H528,U10,K$39:K528,V4)</f>
        <v>2</v>
      </c>
      <c r="W10" s="14">
        <f>COUNTIFS(H$39:H528,U10,K$39:K528,W4)</f>
        <v>1</v>
      </c>
      <c r="X10" s="14">
        <f>COUNTIFS(H$39:H528,U10,K$39:K528,X4)</f>
        <v>0</v>
      </c>
      <c r="Y10" s="15">
        <f t="shared" si="0"/>
        <v>3</v>
      </c>
      <c r="Z10" s="13"/>
      <c r="AA10" s="22" t="str">
        <f t="shared" si="10"/>
        <v>Daniela Stupp</v>
      </c>
      <c r="AB10" s="30">
        <f>SUMIFS(J$130:J453,H$130:H453,AA10,E$130:E453,"SAL")</f>
        <v>0</v>
      </c>
      <c r="AC10" s="29">
        <f>SUMIFS(J$130:J527,H$130:H527,AA10,E$130:E527,"SAM")</f>
        <v>0</v>
      </c>
      <c r="AD10" s="29">
        <f>SUMIFS(J$130:J527,H$130:H527,AA10,E$130:E527,"NE")</f>
        <v>0</v>
      </c>
      <c r="AE10" s="29">
        <f>SUMIFS(J$130:J527,H$130:H527,AA10,E$130:E527,"SAIL")</f>
        <v>0</v>
      </c>
      <c r="AF10" s="31">
        <f>SUBTOTAL(9,AB10:AE10)</f>
        <v>0</v>
      </c>
      <c r="AH10" s="22" t="str">
        <f t="shared" si="11"/>
        <v>Daniela Stupp</v>
      </c>
      <c r="AI10" s="30">
        <f>COUNTIFS(H$130:H527,AH10,E$130:E527,"SAL")</f>
        <v>0</v>
      </c>
      <c r="AJ10" s="29">
        <f t="shared" si="2"/>
        <v>0</v>
      </c>
      <c r="AK10" s="29">
        <f t="shared" si="9"/>
        <v>0</v>
      </c>
      <c r="AL10" s="29">
        <f>COUNTIFS(H$130:H527,AH10,E$130:E527,"SAIL")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COUNTIFS(H$39:H527,U11,K$39:K527,V4)</f>
        <v>0</v>
      </c>
      <c r="W11" s="18">
        <f>COUNTIFS(H$39:H527,U11,K$39:K527,W4)</f>
        <v>0</v>
      </c>
      <c r="X11" s="18">
        <f>COUNTIFS(H$39:H527,U11,K$39:K527,X4)</f>
        <v>0</v>
      </c>
      <c r="Y11" s="19">
        <f>SUM(V11:X11)</f>
        <v>0</v>
      </c>
      <c r="Z11" s="13"/>
      <c r="AA11" s="21" t="str">
        <f t="shared" si="10"/>
        <v>Gabriely</v>
      </c>
      <c r="AB11" s="37">
        <f>SUMIFS(J$130:J454,H$130:H454,AA11,E$130:E454,"SAL")</f>
        <v>0</v>
      </c>
      <c r="AC11" s="38">
        <f>SUMIFS(J$130:J528,H$130:H528,AA11,E$130:E528,"SAM")</f>
        <v>0</v>
      </c>
      <c r="AD11" s="38">
        <f>SUMIFS(J$130:J528,H$130:H528,AA11,E$130:E528,"NE")</f>
        <v>0</v>
      </c>
      <c r="AE11" s="38">
        <f>SUMIFS(J$130:J528,H$130:H528,AA11,E$130:E528,"SAIL")</f>
        <v>0</v>
      </c>
      <c r="AF11" s="39">
        <f>SUBTOTAL(9,AB11:AE11)</f>
        <v>0</v>
      </c>
      <c r="AH11" s="21" t="str">
        <f t="shared" si="11"/>
        <v>Gabriely</v>
      </c>
      <c r="AI11" s="37">
        <f>COUNTIFS(H$130:H528,AH11,E$130:E528,"SAL")</f>
        <v>0</v>
      </c>
      <c r="AJ11" s="38">
        <f t="shared" si="2"/>
        <v>0</v>
      </c>
      <c r="AK11" s="38">
        <f t="shared" si="9"/>
        <v>0</v>
      </c>
      <c r="AL11" s="38">
        <f>COUNTIFS(H$130:H528,AH11,E$130:E528,"SAIL")</f>
        <v>0</v>
      </c>
      <c r="AM11" s="39">
        <f t="shared" si="3"/>
        <v>0</v>
      </c>
      <c r="AO11" s="21" t="str">
        <f t="shared" si="12"/>
        <v>Gabriely</v>
      </c>
      <c r="AP11" s="37">
        <f t="shared" si="4"/>
        <v>0</v>
      </c>
      <c r="AQ11" s="38">
        <f t="shared" si="5"/>
        <v>0</v>
      </c>
      <c r="AR11" s="38">
        <f t="shared" si="6"/>
        <v>0</v>
      </c>
      <c r="AS11" s="38">
        <f t="shared" si="7"/>
        <v>0</v>
      </c>
      <c r="AT11" s="39">
        <f t="shared" ref="AT11:AT29" si="13">SUBTOTAL(9,AP11:AS11)</f>
        <v>0</v>
      </c>
    </row>
    <row r="12" spans="21:46" ht="15.75" thickBot="1">
      <c r="U12" s="87" t="str">
        <f>Cadastros!I19</f>
        <v>Fabio Sasso</v>
      </c>
      <c r="V12" s="86">
        <f>COUNTIFS(H$39:H528,U12,K$39:K528,V4)</f>
        <v>1</v>
      </c>
      <c r="W12" s="14">
        <f>COUNTIFS(H$39:H528,U12,K$39:K528,W4)</f>
        <v>1</v>
      </c>
      <c r="X12" s="14">
        <f>COUNTIFS(H$39:H528,U12,K$39:K528,X4)</f>
        <v>0</v>
      </c>
      <c r="Y12" s="15">
        <f t="shared" ref="Y12" si="14">SUM(V12:X12)</f>
        <v>2</v>
      </c>
      <c r="AA12" s="22" t="str">
        <f>U12</f>
        <v>Fabio Sasso</v>
      </c>
      <c r="AB12" s="30">
        <f>SUMIFS(J$130:J455,H$130:H455,AA12,E$130:E455,"SAL")</f>
        <v>0</v>
      </c>
      <c r="AC12" s="29">
        <f>SUMIFS(J$130:J529,H$130:H529,AA12,E$130:E529,"SAM")</f>
        <v>0</v>
      </c>
      <c r="AD12" s="29">
        <f>SUMIFS(J$130:J529,H$130:H529,AA12,E$130:E529,"NE")</f>
        <v>0</v>
      </c>
      <c r="AE12" s="29">
        <f>SUMIFS(J$130:J529,H$130:H529,AA12,E$130:E529,"SAIL")</f>
        <v>0</v>
      </c>
      <c r="AF12" s="31">
        <f>SUBTOTAL(9,AB12:AE12)</f>
        <v>0</v>
      </c>
      <c r="AH12" s="22" t="str">
        <f>U12</f>
        <v>Fabio Sasso</v>
      </c>
      <c r="AI12" s="30">
        <f>COUNTIFS(H$130:H529,AH12,E$130:E529,"SAL")</f>
        <v>0</v>
      </c>
      <c r="AJ12" s="29">
        <f t="shared" si="2"/>
        <v>0</v>
      </c>
      <c r="AK12" s="29">
        <f t="shared" si="9"/>
        <v>0</v>
      </c>
      <c r="AL12" s="29">
        <f>COUNTIFS(H$130:H529,AH12,E$130:E529,"SAIL")</f>
        <v>0</v>
      </c>
      <c r="AM12" s="31">
        <f t="shared" si="3"/>
        <v>0</v>
      </c>
      <c r="AO12" s="22" t="str">
        <f t="shared" si="12"/>
        <v>Fabio Sasso</v>
      </c>
      <c r="AP12" s="30">
        <f t="shared" si="4"/>
        <v>0</v>
      </c>
      <c r="AQ12" s="29">
        <f t="shared" si="5"/>
        <v>0</v>
      </c>
      <c r="AR12" s="29">
        <f t="shared" si="6"/>
        <v>0</v>
      </c>
      <c r="AS12" s="29">
        <f t="shared" si="7"/>
        <v>0</v>
      </c>
      <c r="AT12" s="31">
        <f t="shared" si="13"/>
        <v>0</v>
      </c>
    </row>
    <row r="13" spans="21:46" ht="15.75" thickBot="1">
      <c r="U13" s="87" t="str">
        <f>Cadastros!I20</f>
        <v>Felipi Ferreira</v>
      </c>
      <c r="V13" s="85">
        <f>COUNTIFS(H$39:H529,U13,K$39:K529,V$4)</f>
        <v>5</v>
      </c>
      <c r="W13" s="18">
        <f>COUNTIFS(H$39:H529,U13,K$39:K529,W$4)</f>
        <v>2</v>
      </c>
      <c r="X13" s="18">
        <f>COUNTIFS(H$39:H529,U13,K$39:K529,X$4)</f>
        <v>0</v>
      </c>
      <c r="Y13" s="19">
        <f t="shared" ref="Y13:Y29" si="15">SUM(V13:X13)</f>
        <v>7</v>
      </c>
      <c r="AA13" s="21" t="str">
        <f t="shared" ref="AA13:AA29" si="16">U13</f>
        <v>Felipi Ferreira</v>
      </c>
      <c r="AB13" s="37">
        <f>SUMIFS(J$130:J456,H$130:H456,AA13,E$130:E456,"SAL")</f>
        <v>2271</v>
      </c>
      <c r="AC13" s="38">
        <f>SUMIFS(J$130:J530,H$130:H530,AA13,E$130:E530,"SAM")</f>
        <v>332</v>
      </c>
      <c r="AD13" s="38">
        <f>SUMIFS(J$130:J530,H$130:H530,AA13,E$130:E530,"NE")</f>
        <v>0</v>
      </c>
      <c r="AE13" s="38">
        <f>SUMIFS(J$130:J530,H$130:H530,AA13,E$130:E530,"SAIL")</f>
        <v>0</v>
      </c>
      <c r="AF13" s="39">
        <f t="shared" ref="AF13:AF29" si="17">SUBTOTAL(9,AB13:AE13)</f>
        <v>2603</v>
      </c>
      <c r="AH13" s="21" t="str">
        <f t="shared" ref="AH13:AH29" si="18">U13</f>
        <v>Felipi Ferreira</v>
      </c>
      <c r="AI13" s="37">
        <f>COUNTIFS(H$130:H530,AH13,E$130:E530,"SAL")</f>
        <v>2</v>
      </c>
      <c r="AJ13" s="38">
        <f t="shared" si="2"/>
        <v>1</v>
      </c>
      <c r="AK13" s="38">
        <f t="shared" si="9"/>
        <v>0</v>
      </c>
      <c r="AL13" s="38">
        <f>COUNTIFS(H$130:H530,AH13,E$130:E530,"SAIL")</f>
        <v>0</v>
      </c>
      <c r="AM13" s="39">
        <f t="shared" ref="AM13:AM29" si="19">SUBTOTAL(9,AI13:AL13)</f>
        <v>3</v>
      </c>
      <c r="AO13" s="21" t="str">
        <f t="shared" si="12"/>
        <v>Felipi Ferreira</v>
      </c>
      <c r="AP13" s="37">
        <f t="shared" si="4"/>
        <v>16</v>
      </c>
      <c r="AQ13" s="139">
        <f t="shared" si="5"/>
        <v>10</v>
      </c>
      <c r="AR13" s="139">
        <f t="shared" si="6"/>
        <v>0</v>
      </c>
      <c r="AS13" s="38">
        <f t="shared" si="7"/>
        <v>0</v>
      </c>
      <c r="AT13" s="39">
        <f t="shared" si="13"/>
        <v>26</v>
      </c>
    </row>
    <row r="14" spans="21:46" ht="15.75" thickBot="1">
      <c r="U14" s="87" t="str">
        <f>Cadastros!I21</f>
        <v>Flávia Cardoso</v>
      </c>
      <c r="V14" s="86">
        <f>COUNTIFS(H$39:H530,U14,K$39:K530,V$4)</f>
        <v>3</v>
      </c>
      <c r="W14" s="14">
        <f>COUNTIFS(H$39:H530,U14,K$39:K530,W$4)</f>
        <v>1</v>
      </c>
      <c r="X14" s="14">
        <f>COUNTIFS(H$39:H530,U14,K$39:K530,X$4)</f>
        <v>0</v>
      </c>
      <c r="Y14" s="15">
        <f t="shared" si="15"/>
        <v>4</v>
      </c>
      <c r="AA14" s="22" t="str">
        <f t="shared" si="16"/>
        <v>Flávia Cardoso</v>
      </c>
      <c r="AB14" s="30">
        <f>SUMIFS(J$130:J457,H$130:H457,AA14,E$130:E457,"SAL")</f>
        <v>0</v>
      </c>
      <c r="AC14" s="29">
        <f>SUMIFS(J$130:J531,H$130:H531,AA14,E$130:E531,"SAM")</f>
        <v>0</v>
      </c>
      <c r="AD14" s="29">
        <f>SUMIFS(J$130:J531,H$130:H531,AA14,E$130:E531,"NE")</f>
        <v>0</v>
      </c>
      <c r="AE14" s="29">
        <f>SUMIFS(J$130:J531,H$130:H531,AA14,E$130:E531,"SAIL")</f>
        <v>0</v>
      </c>
      <c r="AF14" s="31">
        <f t="shared" si="17"/>
        <v>0</v>
      </c>
      <c r="AH14" s="22" t="str">
        <f t="shared" si="18"/>
        <v>Flávia Cardoso</v>
      </c>
      <c r="AI14" s="30">
        <f>COUNTIFS(H$130:H531,AH14,E$130:E531,"SAL")</f>
        <v>0</v>
      </c>
      <c r="AJ14" s="29">
        <f t="shared" si="2"/>
        <v>0</v>
      </c>
      <c r="AK14" s="29">
        <f t="shared" si="9"/>
        <v>0</v>
      </c>
      <c r="AL14" s="29">
        <f>COUNTIFS(H$130:H531,AH14,E$130:E531,"SAIL")</f>
        <v>0</v>
      </c>
      <c r="AM14" s="31">
        <f t="shared" si="19"/>
        <v>0</v>
      </c>
      <c r="AO14" s="22" t="str">
        <f t="shared" si="12"/>
        <v>Flávia Cardoso</v>
      </c>
      <c r="AP14" s="30">
        <f t="shared" si="4"/>
        <v>0</v>
      </c>
      <c r="AQ14" s="29">
        <f t="shared" si="5"/>
        <v>0</v>
      </c>
      <c r="AR14" s="38">
        <f t="shared" si="6"/>
        <v>0</v>
      </c>
      <c r="AS14" s="29">
        <f t="shared" si="7"/>
        <v>0</v>
      </c>
      <c r="AT14" s="31">
        <f t="shared" si="13"/>
        <v>0</v>
      </c>
    </row>
    <row r="15" spans="21:46" ht="15.75" thickBot="1">
      <c r="U15" s="87" t="str">
        <f>Cadastros!I22</f>
        <v>Giovani cunha</v>
      </c>
      <c r="V15" s="85">
        <f>COUNTIFS(H$39:H531,U15,K$39:K531,V$4)</f>
        <v>1</v>
      </c>
      <c r="W15" s="18">
        <f>COUNTIFS(H$39:H531,U15,K$39:K531,W$4)</f>
        <v>0</v>
      </c>
      <c r="X15" s="18">
        <f>COUNTIFS(H$39:H531,U15,K$39:K531,X$4)</f>
        <v>0</v>
      </c>
      <c r="Y15" s="19">
        <f t="shared" si="15"/>
        <v>1</v>
      </c>
      <c r="AA15" s="21" t="str">
        <f t="shared" si="16"/>
        <v>Giovani cunha</v>
      </c>
      <c r="AB15" s="37">
        <f>SUMIFS(J$130:J458,H$130:H458,AA15,E$130:E458,"SAL")</f>
        <v>0</v>
      </c>
      <c r="AC15" s="38">
        <f>SUMIFS(J$130:J532,H$130:H532,AA15,E$130:E532,"SAM")</f>
        <v>0</v>
      </c>
      <c r="AD15" s="38">
        <f>SUMIFS(J$130:J532,H$130:H532,AA15,E$130:E532,"NE")</f>
        <v>0</v>
      </c>
      <c r="AE15" s="38">
        <f>SUMIFS(J$130:J532,H$130:H532,AA15,E$130:E532,"SAIL")</f>
        <v>0</v>
      </c>
      <c r="AF15" s="39">
        <f t="shared" si="17"/>
        <v>0</v>
      </c>
      <c r="AH15" s="21" t="str">
        <f t="shared" si="18"/>
        <v>Giovani cunha</v>
      </c>
      <c r="AI15" s="37">
        <f>COUNTIFS(H$130:H532,AH15,E$130:E532,"SAL")</f>
        <v>0</v>
      </c>
      <c r="AJ15" s="38">
        <f t="shared" si="2"/>
        <v>0</v>
      </c>
      <c r="AK15" s="38">
        <f t="shared" si="9"/>
        <v>0</v>
      </c>
      <c r="AL15" s="38">
        <f>COUNTIFS(H$130:H532,AH15,E$130:E532,"SAIL")</f>
        <v>0</v>
      </c>
      <c r="AM15" s="39">
        <f t="shared" si="19"/>
        <v>0</v>
      </c>
      <c r="AO15" s="21" t="str">
        <f t="shared" si="12"/>
        <v>Giovani cunha</v>
      </c>
      <c r="AP15" s="37">
        <f t="shared" si="4"/>
        <v>0</v>
      </c>
      <c r="AQ15" s="139">
        <f t="shared" si="5"/>
        <v>0</v>
      </c>
      <c r="AR15" s="38">
        <f t="shared" si="6"/>
        <v>0</v>
      </c>
      <c r="AS15" s="38">
        <f t="shared" si="7"/>
        <v>0</v>
      </c>
      <c r="AT15" s="39">
        <f t="shared" si="13"/>
        <v>0</v>
      </c>
    </row>
    <row r="16" spans="21:46" ht="15.75" thickBot="1">
      <c r="U16" s="87" t="str">
        <f>Cadastros!I23</f>
        <v>Jennifer Rodrigues</v>
      </c>
      <c r="V16" s="86">
        <f>COUNTIFS(H$39:H532,U16,K$39:K532,V$4)</f>
        <v>13</v>
      </c>
      <c r="W16" s="14">
        <f>COUNTIFS(H$39:H532,U16,K$39:K532,W$4)</f>
        <v>0</v>
      </c>
      <c r="X16" s="14">
        <f>COUNTIFS(H$39:H532,U16,K$39:K532,X$4)</f>
        <v>0</v>
      </c>
      <c r="Y16" s="15">
        <f t="shared" si="15"/>
        <v>13</v>
      </c>
      <c r="AA16" s="22" t="str">
        <f t="shared" si="16"/>
        <v>Jennifer Rodrigues</v>
      </c>
      <c r="AB16" s="30">
        <f>SUMIFS(J$130:J459,H$130:H459,AA16,E$130:E459,"SAL")</f>
        <v>0</v>
      </c>
      <c r="AC16" s="29">
        <f>SUMIFS(J$130:J533,H$130:H533,AA16,E$130:E533,"SAM")</f>
        <v>0</v>
      </c>
      <c r="AD16" s="29">
        <f>SUMIFS(J$130:J533,H$130:H533,AA16,E$130:E533,"NE")</f>
        <v>0</v>
      </c>
      <c r="AE16" s="29">
        <f>SUMIFS(J$130:J533,H$130:H533,AA16,E$130:E533,"SAIL")</f>
        <v>0</v>
      </c>
      <c r="AF16" s="31">
        <f t="shared" si="17"/>
        <v>0</v>
      </c>
      <c r="AH16" s="22" t="str">
        <f t="shared" si="18"/>
        <v>Jennifer Rodrigues</v>
      </c>
      <c r="AI16" s="30">
        <f>COUNTIFS(H$130:H533,AH16,E$130:E533,"SAL")</f>
        <v>0</v>
      </c>
      <c r="AJ16" s="29">
        <f t="shared" si="2"/>
        <v>0</v>
      </c>
      <c r="AK16" s="29">
        <f t="shared" si="9"/>
        <v>0</v>
      </c>
      <c r="AL16" s="29">
        <f>COUNTIFS(H$130:H533,AH16,E$130:E533,"SAIL")</f>
        <v>0</v>
      </c>
      <c r="AM16" s="31">
        <f t="shared" si="19"/>
        <v>0</v>
      </c>
      <c r="AO16" s="22" t="str">
        <f t="shared" si="12"/>
        <v>Jennifer Rodrigues</v>
      </c>
      <c r="AP16" s="30">
        <f t="shared" si="4"/>
        <v>0</v>
      </c>
      <c r="AQ16" s="29">
        <f t="shared" si="5"/>
        <v>0</v>
      </c>
      <c r="AR16" s="29">
        <f t="shared" si="6"/>
        <v>0</v>
      </c>
      <c r="AS16" s="29">
        <f t="shared" si="7"/>
        <v>0</v>
      </c>
      <c r="AT16" s="31">
        <f t="shared" si="13"/>
        <v>0</v>
      </c>
    </row>
    <row r="17" spans="2:46" ht="15.75" thickBot="1">
      <c r="U17" s="87" t="str">
        <f>Cadastros!I24</f>
        <v>Juliana Guizoni</v>
      </c>
      <c r="V17" s="85">
        <f>COUNTIFS(H$39:H533,U17,K$39:K533,V$4)</f>
        <v>0</v>
      </c>
      <c r="W17" s="18">
        <f>COUNTIFS(H$39:H533,U17,K$39:K533,W$4)</f>
        <v>1</v>
      </c>
      <c r="X17" s="18">
        <f>COUNTIFS(H$39:H533,U17,K$39:K533,X$4)</f>
        <v>0</v>
      </c>
      <c r="Y17" s="19">
        <f t="shared" si="15"/>
        <v>1</v>
      </c>
      <c r="AA17" s="21" t="str">
        <f t="shared" si="16"/>
        <v>Juliana Guizoni</v>
      </c>
      <c r="AB17" s="37">
        <f>SUMIFS(J$130:J460,H$130:H460,AA17,E$130:E460,"SAL")</f>
        <v>0</v>
      </c>
      <c r="AC17" s="38">
        <f>SUMIFS(J$130:J534,H$130:H534,AA17,E$130:E534,"SAM")</f>
        <v>0</v>
      </c>
      <c r="AD17" s="38">
        <f>SUMIFS(J$130:J534,H$130:H534,AA17,E$130:E534,"NE")</f>
        <v>0</v>
      </c>
      <c r="AE17" s="38">
        <f>SUMIFS(J$130:J534,H$130:H534,AA17,E$130:E534,"SAIL")</f>
        <v>0</v>
      </c>
      <c r="AF17" s="39">
        <f t="shared" si="17"/>
        <v>0</v>
      </c>
      <c r="AH17" s="21" t="str">
        <f t="shared" si="18"/>
        <v>Juliana Guizoni</v>
      </c>
      <c r="AI17" s="37">
        <f>COUNTIFS(H$130:H534,AH17,E$130:E534,"SAL")</f>
        <v>0</v>
      </c>
      <c r="AJ17" s="38">
        <f t="shared" si="2"/>
        <v>0</v>
      </c>
      <c r="AK17" s="38">
        <f t="shared" si="9"/>
        <v>0</v>
      </c>
      <c r="AL17" s="38">
        <f>COUNTIFS(H$130:H534,AH17,E$130:E534,"SAIL")</f>
        <v>0</v>
      </c>
      <c r="AM17" s="39">
        <f t="shared" si="19"/>
        <v>0</v>
      </c>
      <c r="AO17" s="21" t="str">
        <f t="shared" si="12"/>
        <v>Juliana Guizoni</v>
      </c>
      <c r="AP17" s="140">
        <f t="shared" si="4"/>
        <v>0</v>
      </c>
      <c r="AQ17" s="139">
        <f t="shared" si="5"/>
        <v>0</v>
      </c>
      <c r="AR17" s="38">
        <f t="shared" si="6"/>
        <v>0</v>
      </c>
      <c r="AS17" s="38">
        <f t="shared" si="7"/>
        <v>0</v>
      </c>
      <c r="AT17" s="39">
        <f t="shared" si="13"/>
        <v>0</v>
      </c>
    </row>
    <row r="18" spans="2:46" ht="15.75" thickBot="1">
      <c r="B18" s="24" t="s">
        <v>76</v>
      </c>
      <c r="C18" s="73" t="s">
        <v>77</v>
      </c>
      <c r="D18" s="10"/>
      <c r="E18" s="74" t="s">
        <v>78</v>
      </c>
      <c r="F18" s="158"/>
      <c r="G18" s="11"/>
      <c r="K18" s="4"/>
      <c r="U18" s="87" t="str">
        <f>Cadastros!I25</f>
        <v>Vinicyos Maguns</v>
      </c>
      <c r="V18" s="86">
        <f>COUNTIFS(H$39:H534,U18,K$39:K534,V$4)</f>
        <v>7</v>
      </c>
      <c r="W18" s="14">
        <f>COUNTIFS(H$39:H534,U18,K$39:K534,W$4)</f>
        <v>0</v>
      </c>
      <c r="X18" s="14">
        <f>COUNTIFS(H$39:H534,U18,K$39:K534,X$4)</f>
        <v>0</v>
      </c>
      <c r="Y18" s="15">
        <f t="shared" si="15"/>
        <v>7</v>
      </c>
      <c r="AA18" s="22" t="str">
        <f t="shared" si="16"/>
        <v>Vinicyos Maguns</v>
      </c>
      <c r="AB18" s="30">
        <f>SUMIFS(J$130:J461,H$130:H461,AA18,E$130:E461,"SAL")</f>
        <v>1487</v>
      </c>
      <c r="AC18" s="29">
        <f>SUMIFS(J$130:J535,H$130:H535,AA18,E$130:E535,"SAM")</f>
        <v>0</v>
      </c>
      <c r="AD18" s="29">
        <f>SUMIFS(J$130:J535,H$130:H535,AA18,E$130:E535,"NE")</f>
        <v>0</v>
      </c>
      <c r="AE18" s="29">
        <f>SUMIFS(J$130:J535,H$130:H535,AA18,E$130:E535,"SAIL")</f>
        <v>0</v>
      </c>
      <c r="AF18" s="31">
        <f t="shared" si="17"/>
        <v>1487</v>
      </c>
      <c r="AH18" s="22" t="str">
        <f t="shared" si="18"/>
        <v>Vinicyos Maguns</v>
      </c>
      <c r="AI18" s="30">
        <f>COUNTIFS(H$130:H535,AH18,E$130:E535,"SAL")</f>
        <v>1</v>
      </c>
      <c r="AJ18" s="29">
        <f t="shared" si="2"/>
        <v>0</v>
      </c>
      <c r="AK18" s="29">
        <f t="shared" si="9"/>
        <v>0</v>
      </c>
      <c r="AL18" s="29">
        <f>COUNTIFS(H$130:H535,AH18,E$130:E535,"SAIL")</f>
        <v>0</v>
      </c>
      <c r="AM18" s="31">
        <f t="shared" si="19"/>
        <v>1</v>
      </c>
      <c r="AO18" s="22" t="str">
        <f t="shared" si="12"/>
        <v>Vinicyos Maguns</v>
      </c>
      <c r="AP18" s="30">
        <f t="shared" si="4"/>
        <v>10</v>
      </c>
      <c r="AQ18" s="29">
        <f t="shared" si="5"/>
        <v>0</v>
      </c>
      <c r="AR18" s="29">
        <f t="shared" si="6"/>
        <v>0</v>
      </c>
      <c r="AS18" s="29">
        <f t="shared" si="7"/>
        <v>0</v>
      </c>
      <c r="AT18" s="31">
        <f t="shared" si="13"/>
        <v>10</v>
      </c>
    </row>
    <row r="19" spans="2:46" ht="15.75" thickBot="1">
      <c r="B19" s="23">
        <v>126580</v>
      </c>
      <c r="C19" s="45">
        <v>99360</v>
      </c>
      <c r="D19" s="10"/>
      <c r="E19" s="74" t="s">
        <v>79</v>
      </c>
      <c r="F19" s="192"/>
      <c r="G19" s="11"/>
      <c r="K19" s="5"/>
      <c r="U19" s="87" t="str">
        <f>Cadastros!I26</f>
        <v>Laís Andrade</v>
      </c>
      <c r="V19" s="85">
        <f>COUNTIFS(H$39:H535,U19,K$39:K535,V$4)</f>
        <v>0</v>
      </c>
      <c r="W19" s="18">
        <f>COUNTIFS(H$39:H535,U19,K$39:K535,W$4)</f>
        <v>0</v>
      </c>
      <c r="X19" s="18">
        <f>COUNTIFS(H$39:H535,U19,K$39:K535,X$4)</f>
        <v>0</v>
      </c>
      <c r="Y19" s="19">
        <f t="shared" si="15"/>
        <v>0</v>
      </c>
      <c r="AA19" s="21" t="str">
        <f t="shared" si="16"/>
        <v>Laís Andrade</v>
      </c>
      <c r="AB19" s="37">
        <f>SUMIFS(J$130:J462,H$130:H462,AA19,E$130:E462,"SAL")</f>
        <v>0</v>
      </c>
      <c r="AC19" s="38">
        <f>SUMIFS(J$130:J536,H$130:H536,AA19,E$130:E536,"SAM")</f>
        <v>0</v>
      </c>
      <c r="AD19" s="38">
        <f>SUMIFS(J$130:J536,H$130:H536,AA19,E$130:E536,"NE")</f>
        <v>0</v>
      </c>
      <c r="AE19" s="38">
        <f>SUMIFS(J$130:J536,H$130:H536,AA19,E$130:E536,"SAIL")</f>
        <v>0</v>
      </c>
      <c r="AF19" s="39">
        <f t="shared" si="17"/>
        <v>0</v>
      </c>
      <c r="AH19" s="21" t="str">
        <f t="shared" si="18"/>
        <v>Laís Andrade</v>
      </c>
      <c r="AI19" s="37">
        <f>COUNTIFS(H$130:H536,AH19,E$130:E536,"SAL")</f>
        <v>0</v>
      </c>
      <c r="AJ19" s="38">
        <f t="shared" si="2"/>
        <v>0</v>
      </c>
      <c r="AK19" s="38">
        <f t="shared" si="9"/>
        <v>0</v>
      </c>
      <c r="AL19" s="38">
        <f>COUNTIFS(H$130:H536,AH19,E$130:E536,"SAIL")</f>
        <v>0</v>
      </c>
      <c r="AM19" s="39">
        <f t="shared" si="19"/>
        <v>0</v>
      </c>
      <c r="AO19" s="21" t="str">
        <f t="shared" si="12"/>
        <v>Laís Andrade</v>
      </c>
      <c r="AP19" s="140">
        <f t="shared" si="4"/>
        <v>0</v>
      </c>
      <c r="AQ19" s="139">
        <f t="shared" si="5"/>
        <v>0</v>
      </c>
      <c r="AR19" s="38">
        <f t="shared" si="6"/>
        <v>0</v>
      </c>
      <c r="AS19" s="38">
        <f t="shared" si="7"/>
        <v>0</v>
      </c>
      <c r="AT19" s="39">
        <f t="shared" si="13"/>
        <v>0</v>
      </c>
    </row>
    <row r="20" spans="2:46" ht="15.75" thickBot="1">
      <c r="D20" s="10"/>
      <c r="E20" s="74" t="s">
        <v>80</v>
      </c>
      <c r="F20" s="158"/>
      <c r="G20" s="11"/>
      <c r="K20" s="4"/>
      <c r="U20" s="87" t="str">
        <f>Cadastros!I27</f>
        <v>Luciana Mercante</v>
      </c>
      <c r="V20" s="86">
        <f>COUNTIFS(H$39:H536,U20,K$39:K536,V$4)</f>
        <v>0</v>
      </c>
      <c r="W20" s="14">
        <f>COUNTIFS(H$39:H536,U20,K$39:K536,W$4)</f>
        <v>0</v>
      </c>
      <c r="X20" s="14">
        <f>COUNTIFS(H$39:H536,U20,K$39:K536,X$4)</f>
        <v>0</v>
      </c>
      <c r="Y20" s="15">
        <f t="shared" si="15"/>
        <v>0</v>
      </c>
      <c r="AA20" s="22" t="str">
        <f t="shared" si="16"/>
        <v>Luciana Mercante</v>
      </c>
      <c r="AB20" s="30">
        <f>SUMIFS(J$130:J463,H$130:H463,AA20,E$130:E463,"SAL")</f>
        <v>0</v>
      </c>
      <c r="AC20" s="29">
        <f>SUMIFS(J$130:J537,H$130:H537,AA20,E$130:E537,"SAM")</f>
        <v>0</v>
      </c>
      <c r="AD20" s="29">
        <f>SUMIFS(J$130:J537,H$130:H537,AA20,E$130:E537,"NE")</f>
        <v>0</v>
      </c>
      <c r="AE20" s="29">
        <f>SUMIFS(J$130:J537,H$130:H537,AA20,E$130:E537,"SAIL")</f>
        <v>0</v>
      </c>
      <c r="AF20" s="31">
        <f t="shared" si="17"/>
        <v>0</v>
      </c>
      <c r="AH20" s="22" t="str">
        <f t="shared" si="18"/>
        <v>Luciana Mercante</v>
      </c>
      <c r="AI20" s="30">
        <f>COUNTIFS(H$130:H537,AH20,E$130:E537,"SAL")</f>
        <v>0</v>
      </c>
      <c r="AJ20" s="29">
        <f t="shared" si="2"/>
        <v>0</v>
      </c>
      <c r="AK20" s="29">
        <f t="shared" si="9"/>
        <v>0</v>
      </c>
      <c r="AL20" s="29">
        <f>COUNTIFS(H$130:H537,AH20,E$130:E537,"SAIL")</f>
        <v>0</v>
      </c>
      <c r="AM20" s="31">
        <f t="shared" si="19"/>
        <v>0</v>
      </c>
      <c r="AO20" s="22" t="str">
        <f t="shared" si="12"/>
        <v>Luciana Mercante</v>
      </c>
      <c r="AP20" s="30">
        <f t="shared" si="4"/>
        <v>0</v>
      </c>
      <c r="AQ20" s="29">
        <f t="shared" si="5"/>
        <v>0</v>
      </c>
      <c r="AR20" s="29">
        <f t="shared" si="6"/>
        <v>0</v>
      </c>
      <c r="AS20" s="29">
        <f t="shared" si="7"/>
        <v>0</v>
      </c>
      <c r="AT20" s="31">
        <f t="shared" si="13"/>
        <v>0</v>
      </c>
    </row>
    <row r="21" spans="2:46">
      <c r="D21" s="10"/>
      <c r="E21" s="74" t="s">
        <v>77</v>
      </c>
      <c r="F21" s="153"/>
      <c r="G21" s="11"/>
      <c r="K21" s="5"/>
      <c r="U21" s="87" t="str">
        <f>Cadastros!I28</f>
        <v>Mateus Alves</v>
      </c>
      <c r="V21" s="85">
        <f>COUNTIFS(H$39:H537,U21,K$39:K537,V$4)</f>
        <v>0</v>
      </c>
      <c r="W21" s="18">
        <f>COUNTIFS(H$39:H537,U21,K$39:K537,W$4)</f>
        <v>1</v>
      </c>
      <c r="X21" s="18">
        <f>COUNTIFS(H$39:H537,U21,K$39:K537,X$4)</f>
        <v>0</v>
      </c>
      <c r="Y21" s="19">
        <f t="shared" si="15"/>
        <v>1</v>
      </c>
      <c r="AA21" s="21" t="str">
        <f t="shared" si="16"/>
        <v>Mateus Alves</v>
      </c>
      <c r="AB21" s="37">
        <f>SUMIFS(J$130:J464,H$130:H464,AA21,E$130:E464,"SAL")</f>
        <v>0</v>
      </c>
      <c r="AC21" s="38">
        <f>SUMIFS(J$130:J538,H$130:H538,AA21,E$130:E538,"SAM")</f>
        <v>0</v>
      </c>
      <c r="AD21" s="38">
        <f>SUMIFS(J$130:J538,H$130:H538,AA21,E$130:E538,"NE")</f>
        <v>0</v>
      </c>
      <c r="AE21" s="38">
        <f>SUMIFS(J$130:J538,H$130:H538,AA21,E$130:E538,"SAIL")</f>
        <v>0</v>
      </c>
      <c r="AF21" s="39">
        <f t="shared" si="17"/>
        <v>0</v>
      </c>
      <c r="AH21" s="21" t="str">
        <f t="shared" si="18"/>
        <v>Mateus Alves</v>
      </c>
      <c r="AI21" s="37">
        <f>COUNTIFS(H$130:H538,AH21,E$130:E538,"SAL")</f>
        <v>0</v>
      </c>
      <c r="AJ21" s="38">
        <f t="shared" si="2"/>
        <v>0</v>
      </c>
      <c r="AK21" s="38">
        <f t="shared" si="9"/>
        <v>0</v>
      </c>
      <c r="AL21" s="38">
        <f>COUNTIFS(H$130:H538,AH21,E$130:E538,"SAIL")</f>
        <v>0</v>
      </c>
      <c r="AM21" s="39">
        <f t="shared" si="19"/>
        <v>0</v>
      </c>
      <c r="AO21" s="21" t="str">
        <f t="shared" si="12"/>
        <v>Mateus Alves</v>
      </c>
      <c r="AP21" s="140">
        <f t="shared" si="4"/>
        <v>0</v>
      </c>
      <c r="AQ21" s="139">
        <f t="shared" si="5"/>
        <v>0</v>
      </c>
      <c r="AR21" s="38">
        <f t="shared" si="6"/>
        <v>0</v>
      </c>
      <c r="AS21" s="38">
        <f t="shared" si="7"/>
        <v>0</v>
      </c>
      <c r="AT21" s="39">
        <f t="shared" si="13"/>
        <v>0</v>
      </c>
    </row>
    <row r="22" spans="2:46" ht="15.75" thickBot="1">
      <c r="D22" s="10"/>
      <c r="E22" s="74" t="s">
        <v>81</v>
      </c>
      <c r="F22" s="155"/>
      <c r="G22" s="11"/>
      <c r="K22" s="5"/>
      <c r="U22" s="87" t="str">
        <f>Cadastros!I29</f>
        <v>Patricia Costa</v>
      </c>
      <c r="V22" s="86">
        <f>COUNTIFS(H$39:H538,U22,K$39:K538,V$4)</f>
        <v>0</v>
      </c>
      <c r="W22" s="14">
        <f>COUNTIFS(H$39:H538,U22,K$39:K538,W$4)</f>
        <v>0</v>
      </c>
      <c r="X22" s="14">
        <f>COUNTIFS(H$39:H538,U22,K$39:K538,X$4)</f>
        <v>0</v>
      </c>
      <c r="Y22" s="15">
        <f t="shared" si="15"/>
        <v>0</v>
      </c>
      <c r="AA22" s="22" t="str">
        <f t="shared" si="16"/>
        <v>Patricia Costa</v>
      </c>
      <c r="AB22" s="30">
        <f>SUMIFS(J$130:J465,H$130:H465,AA22,E$130:E465,"SAL")</f>
        <v>0</v>
      </c>
      <c r="AC22" s="29">
        <f>SUMIFS(J$130:J539,H$130:H539,AA22,E$130:E539,"SAM")</f>
        <v>0</v>
      </c>
      <c r="AD22" s="29">
        <f>SUMIFS(J$130:J539,H$130:H539,AA22,E$130:E539,"NE")</f>
        <v>0</v>
      </c>
      <c r="AE22" s="29">
        <f>SUMIFS(J$130:J539,H$130:H539,AA22,E$130:E539,"SAIL")</f>
        <v>0</v>
      </c>
      <c r="AF22" s="31">
        <f t="shared" si="17"/>
        <v>0</v>
      </c>
      <c r="AH22" s="22" t="str">
        <f t="shared" si="18"/>
        <v>Patricia Costa</v>
      </c>
      <c r="AI22" s="30">
        <f>COUNTIFS(H$130:H539,AH22,E$130:E539,"SAL")</f>
        <v>0</v>
      </c>
      <c r="AJ22" s="29">
        <f t="shared" si="2"/>
        <v>0</v>
      </c>
      <c r="AK22" s="29">
        <f t="shared" si="9"/>
        <v>0</v>
      </c>
      <c r="AL22" s="29">
        <f>COUNTIFS(H$130:H539,AH22,E$130:E539,"SAIL")</f>
        <v>0</v>
      </c>
      <c r="AM22" s="31">
        <f t="shared" si="19"/>
        <v>0</v>
      </c>
      <c r="AO22" s="22" t="str">
        <f t="shared" si="12"/>
        <v>Patricia Costa</v>
      </c>
      <c r="AP22" s="30">
        <f t="shared" si="4"/>
        <v>0</v>
      </c>
      <c r="AQ22" s="29">
        <f t="shared" si="5"/>
        <v>0</v>
      </c>
      <c r="AR22" s="29">
        <f t="shared" si="6"/>
        <v>0</v>
      </c>
      <c r="AS22" s="29">
        <f t="shared" si="7"/>
        <v>0</v>
      </c>
      <c r="AT22" s="31">
        <f t="shared" si="13"/>
        <v>0</v>
      </c>
    </row>
    <row r="23" spans="2:46" ht="15.75" thickBot="1">
      <c r="D23" s="10"/>
      <c r="E23" s="74" t="s">
        <v>82</v>
      </c>
      <c r="F23" s="155"/>
      <c r="G23" s="11"/>
      <c r="K23" s="77"/>
      <c r="U23" s="87" t="str">
        <f>Cadastros!I30</f>
        <v>Rafaela Ribeiro</v>
      </c>
      <c r="V23" s="85">
        <f>COUNTIFS(H$39:H539,U23,K$39:K539,V$4)</f>
        <v>18</v>
      </c>
      <c r="W23" s="18">
        <f>COUNTIFS(H$39:H539,U23,K$39:K539,W$4)</f>
        <v>0</v>
      </c>
      <c r="X23" s="18">
        <f>COUNTIFS(H$39:H539,U23,K$39:K539,X$4)</f>
        <v>0</v>
      </c>
      <c r="Y23" s="19">
        <f t="shared" si="15"/>
        <v>18</v>
      </c>
      <c r="AA23" s="21" t="str">
        <f t="shared" si="16"/>
        <v>Rafaela Ribeiro</v>
      </c>
      <c r="AB23" s="37">
        <f>SUMIFS(J$130:J466,H$130:H466,AA23,E$130:E466,"SAL")</f>
        <v>0</v>
      </c>
      <c r="AC23" s="38">
        <f>SUMIFS(J$130:J540,H$130:H540,AA23,E$130:E540,"SAM")</f>
        <v>0</v>
      </c>
      <c r="AD23" s="38">
        <f>SUMIFS(J$130:J540,H$130:H540,AA23,E$130:E540,"NE")</f>
        <v>217</v>
      </c>
      <c r="AE23" s="38">
        <f>SUMIFS(J$130:J540,H$130:H540,AA23,E$130:E540,"SAIL")</f>
        <v>0</v>
      </c>
      <c r="AF23" s="39">
        <f t="shared" si="17"/>
        <v>217</v>
      </c>
      <c r="AH23" s="21" t="str">
        <f t="shared" si="18"/>
        <v>Rafaela Ribeiro</v>
      </c>
      <c r="AI23" s="37">
        <f>COUNTIFS(H$130:H540,AH23,E$130:E540,"SAL")</f>
        <v>0</v>
      </c>
      <c r="AJ23" s="38">
        <f t="shared" si="2"/>
        <v>0</v>
      </c>
      <c r="AK23" s="38">
        <f t="shared" si="9"/>
        <v>2</v>
      </c>
      <c r="AL23" s="38">
        <f>COUNTIFS(H$130:H540,AH23,E$130:E540,"SAIL")</f>
        <v>0</v>
      </c>
      <c r="AM23" s="39">
        <f t="shared" si="19"/>
        <v>2</v>
      </c>
      <c r="AO23" s="21" t="str">
        <f t="shared" si="12"/>
        <v>Rafaela Ribeiro</v>
      </c>
      <c r="AP23" s="140">
        <f t="shared" si="4"/>
        <v>0</v>
      </c>
      <c r="AQ23" s="139">
        <f t="shared" si="5"/>
        <v>0</v>
      </c>
      <c r="AR23" s="38">
        <f t="shared" si="6"/>
        <v>8</v>
      </c>
      <c r="AS23" s="38">
        <f t="shared" si="7"/>
        <v>0</v>
      </c>
      <c r="AT23" s="39">
        <f t="shared" si="13"/>
        <v>8</v>
      </c>
    </row>
    <row r="24" spans="2:46" ht="15.75" thickBot="1">
      <c r="D24" s="10"/>
      <c r="E24" s="74" t="s">
        <v>83</v>
      </c>
      <c r="G24" s="11"/>
      <c r="K24" s="5"/>
      <c r="U24" s="87" t="str">
        <f>Cadastros!I31</f>
        <v>Renan Maiato</v>
      </c>
      <c r="V24" s="86">
        <f>COUNTIFS(H$39:H540,U24,K$39:K540,V$4)</f>
        <v>2</v>
      </c>
      <c r="W24" s="14">
        <f>COUNTIFS(H$39:H540,U24,K$39:K540,W$4)</f>
        <v>1</v>
      </c>
      <c r="X24" s="14">
        <f>COUNTIFS(H$39:H540,U24,K$39:K540,X$4)</f>
        <v>0</v>
      </c>
      <c r="Y24" s="15">
        <f t="shared" si="15"/>
        <v>3</v>
      </c>
      <c r="AA24" s="22" t="str">
        <f t="shared" si="16"/>
        <v>Renan Maiato</v>
      </c>
      <c r="AB24" s="30">
        <f>SUMIFS(J$130:J467,H$130:H467,AA24,E$130:E467,"SAL")</f>
        <v>0</v>
      </c>
      <c r="AC24" s="29">
        <f>SUMIFS(J$130:J541,H$130:H541,AA24,E$130:E541,"SAM")</f>
        <v>0</v>
      </c>
      <c r="AD24" s="29">
        <f>SUMIFS(J$130:J541,H$130:H541,AA24,E$130:E541,"NE")</f>
        <v>0</v>
      </c>
      <c r="AE24" s="29">
        <f>SUMIFS(J$130:J541,H$130:H541,AA24,E$130:E541,"SAIL")</f>
        <v>0</v>
      </c>
      <c r="AF24" s="31">
        <f t="shared" si="17"/>
        <v>0</v>
      </c>
      <c r="AH24" s="22" t="str">
        <f t="shared" si="18"/>
        <v>Renan Maiato</v>
      </c>
      <c r="AI24" s="30">
        <f>COUNTIFS(H$130:H541,AH24,E$130:E541,"SAL")</f>
        <v>0</v>
      </c>
      <c r="AJ24" s="29">
        <f t="shared" si="2"/>
        <v>0</v>
      </c>
      <c r="AK24" s="29">
        <f t="shared" si="9"/>
        <v>0</v>
      </c>
      <c r="AL24" s="29">
        <f>COUNTIFS(H$130:H541,AH24,E$130:E541,"SAIL")</f>
        <v>0</v>
      </c>
      <c r="AM24" s="31">
        <f t="shared" si="19"/>
        <v>0</v>
      </c>
      <c r="AO24" s="22" t="str">
        <f t="shared" si="12"/>
        <v>Renan Maiato</v>
      </c>
      <c r="AP24" s="30">
        <f t="shared" si="4"/>
        <v>0</v>
      </c>
      <c r="AQ24" s="29">
        <f t="shared" si="5"/>
        <v>0</v>
      </c>
      <c r="AR24" s="29">
        <f t="shared" si="6"/>
        <v>0</v>
      </c>
      <c r="AS24" s="29">
        <f t="shared" si="7"/>
        <v>0</v>
      </c>
      <c r="AT24" s="31">
        <f t="shared" si="13"/>
        <v>0</v>
      </c>
    </row>
    <row r="25" spans="2:46" ht="15.75" thickBot="1">
      <c r="D25" s="10"/>
      <c r="E25" s="74" t="s">
        <v>84</v>
      </c>
      <c r="F25" s="155"/>
      <c r="G25" s="11"/>
      <c r="K25" s="5"/>
      <c r="U25" s="87" t="str">
        <f>Cadastros!I32</f>
        <v>Sabrine Neves</v>
      </c>
      <c r="V25" s="85">
        <f>COUNTIFS(H$39:H541,U25,K$39:K541,V$4)</f>
        <v>3</v>
      </c>
      <c r="W25" s="18">
        <f>COUNTIFS(H$39:H541,U25,K$39:K541,W$4)</f>
        <v>0</v>
      </c>
      <c r="X25" s="18">
        <f>COUNTIFS(H$39:H541,U25,K$39:K541,X$4)</f>
        <v>0</v>
      </c>
      <c r="Y25" s="19">
        <f t="shared" si="15"/>
        <v>3</v>
      </c>
      <c r="AA25" s="21" t="str">
        <f t="shared" si="16"/>
        <v>Sabrine Neves</v>
      </c>
      <c r="AB25" s="37">
        <f>SUMIFS(J$130:J468,H$130:H468,AA25,E$130:E468,"SAL")</f>
        <v>706</v>
      </c>
      <c r="AC25" s="38">
        <f>SUMIFS(J$130:J542,H$130:H542,AA25,E$130:E542,"SAM")</f>
        <v>0</v>
      </c>
      <c r="AD25" s="38">
        <f>SUMIFS(J$130:J542,H$130:H542,AA25,E$130:E542,"NE")</f>
        <v>0</v>
      </c>
      <c r="AE25" s="38">
        <f>SUMIFS(J$130:J542,H$130:H542,AA25,E$130:E542,"SAIL")</f>
        <v>0</v>
      </c>
      <c r="AF25" s="39">
        <f t="shared" si="17"/>
        <v>706</v>
      </c>
      <c r="AH25" s="21" t="str">
        <f t="shared" si="18"/>
        <v>Sabrine Neves</v>
      </c>
      <c r="AI25" s="37">
        <f>COUNTIFS(H$130:H542,AH25,E$130:E542,"SAL")</f>
        <v>1</v>
      </c>
      <c r="AJ25" s="38">
        <f t="shared" si="2"/>
        <v>0</v>
      </c>
      <c r="AK25" s="38">
        <f t="shared" si="9"/>
        <v>0</v>
      </c>
      <c r="AL25" s="38">
        <f>COUNTIFS(H$130:H542,AH25,E$130:E542,"SAIL")</f>
        <v>0</v>
      </c>
      <c r="AM25" s="39">
        <f t="shared" si="19"/>
        <v>1</v>
      </c>
      <c r="AO25" s="21" t="str">
        <f t="shared" si="12"/>
        <v>Sabrine Neves</v>
      </c>
      <c r="AP25" s="140">
        <f t="shared" si="4"/>
        <v>10</v>
      </c>
      <c r="AQ25" s="139">
        <f t="shared" si="5"/>
        <v>0</v>
      </c>
      <c r="AR25" s="38">
        <f t="shared" si="6"/>
        <v>0</v>
      </c>
      <c r="AS25" s="38">
        <f t="shared" si="7"/>
        <v>0</v>
      </c>
      <c r="AT25" s="39">
        <f t="shared" si="13"/>
        <v>10</v>
      </c>
    </row>
    <row r="26" spans="2:46" ht="15.75" thickBot="1">
      <c r="D26" s="10"/>
      <c r="E26" s="74" t="s">
        <v>24</v>
      </c>
      <c r="F26" s="155"/>
      <c r="G26" s="11"/>
      <c r="K26" s="5"/>
      <c r="U26" s="87" t="str">
        <f>Cadastros!I33</f>
        <v>Victor Ferreira</v>
      </c>
      <c r="V26" s="86">
        <f>COUNTIFS(H$39:H542,U26,K$39:K542,V$4)</f>
        <v>5</v>
      </c>
      <c r="W26" s="14">
        <f>COUNTIFS(H$39:H542,U26,K$39:K542,W$4)</f>
        <v>0</v>
      </c>
      <c r="X26" s="14">
        <f>COUNTIFS(H$39:H542,U26,K$39:K542,X$4)</f>
        <v>0</v>
      </c>
      <c r="Y26" s="15">
        <f t="shared" si="15"/>
        <v>5</v>
      </c>
      <c r="AA26" s="22" t="str">
        <f t="shared" si="16"/>
        <v>Victor Ferreira</v>
      </c>
      <c r="AB26" s="30">
        <f>SUMIFS(J$130:J469,H$130:H469,AA26,E$130:E469,"SAL")</f>
        <v>0</v>
      </c>
      <c r="AC26" s="29">
        <f>SUMIFS(J$130:J543,H$130:H543,AA26,E$130:E543,"SAM")</f>
        <v>39</v>
      </c>
      <c r="AD26" s="29">
        <f>SUMIFS(J$130:J543,H$130:H543,AA26,E$130:E543,"NE")</f>
        <v>0</v>
      </c>
      <c r="AE26" s="29">
        <f>SUMIFS(J$130:J543,H$130:H543,AA26,E$130:E543,"SAIL")</f>
        <v>0</v>
      </c>
      <c r="AF26" s="31">
        <f t="shared" si="17"/>
        <v>39</v>
      </c>
      <c r="AH26" s="22" t="str">
        <f t="shared" si="18"/>
        <v>Victor Ferreira</v>
      </c>
      <c r="AI26" s="30">
        <f>COUNTIFS(H$130:H543,AH26,E$130:E543,"SAL")</f>
        <v>0</v>
      </c>
      <c r="AJ26" s="29">
        <f t="shared" si="2"/>
        <v>1</v>
      </c>
      <c r="AK26" s="29">
        <f t="shared" si="9"/>
        <v>0</v>
      </c>
      <c r="AL26" s="29">
        <f>COUNTIFS(H$130:H543,AH26,E$130:E543,"SAIL")</f>
        <v>0</v>
      </c>
      <c r="AM26" s="31">
        <f t="shared" si="19"/>
        <v>1</v>
      </c>
      <c r="AO26" s="22" t="str">
        <f t="shared" si="12"/>
        <v>Victor Ferreira</v>
      </c>
      <c r="AP26" s="30">
        <f t="shared" si="4"/>
        <v>0</v>
      </c>
      <c r="AQ26" s="29">
        <f t="shared" si="5"/>
        <v>0</v>
      </c>
      <c r="AR26" s="29">
        <f t="shared" si="6"/>
        <v>0</v>
      </c>
      <c r="AS26" s="29">
        <f t="shared" si="7"/>
        <v>0</v>
      </c>
      <c r="AT26" s="31">
        <f t="shared" si="13"/>
        <v>0</v>
      </c>
    </row>
    <row r="27" spans="2:46" ht="15.75" thickBot="1">
      <c r="D27" s="10"/>
      <c r="E27" s="74" t="s">
        <v>85</v>
      </c>
      <c r="F27" s="13"/>
      <c r="G27" s="11"/>
      <c r="K27" s="5"/>
      <c r="U27" s="87" t="str">
        <f>Cadastros!I34</f>
        <v>Erick Vicente</v>
      </c>
      <c r="V27" s="85">
        <f>COUNTIFS(H$39:H543,U27,K$39:K543,V$4)</f>
        <v>15</v>
      </c>
      <c r="W27" s="18">
        <f>COUNTIFS(H$39:H543,U27,K$39:K543,W$4)</f>
        <v>0</v>
      </c>
      <c r="X27" s="18">
        <f>COUNTIFS(H$39:H543,U27,K$39:K543,X$4)</f>
        <v>0</v>
      </c>
      <c r="Y27" s="19">
        <f t="shared" si="15"/>
        <v>15</v>
      </c>
      <c r="AA27" s="21" t="str">
        <f t="shared" si="16"/>
        <v>Erick Vicente</v>
      </c>
      <c r="AB27" s="37">
        <f>SUMIFS(J$130:J470,H$130:H470,AA27,E$130:E470,"SAL")</f>
        <v>0</v>
      </c>
      <c r="AC27" s="38">
        <f>SUMIFS(J$130:J544,H$130:H544,AA27,E$130:E544,"SAM")</f>
        <v>352</v>
      </c>
      <c r="AD27" s="38">
        <f>SUMIFS(J$130:J544,H$130:H544,AA27,E$130:E544,"NE")</f>
        <v>87</v>
      </c>
      <c r="AE27" s="38">
        <f>SUMIFS(J$130:J544,H$130:H544,AA27,E$130:E544,"SAIL")</f>
        <v>0</v>
      </c>
      <c r="AF27" s="39">
        <f t="shared" si="17"/>
        <v>439</v>
      </c>
      <c r="AH27" s="21" t="str">
        <f t="shared" si="18"/>
        <v>Erick Vicente</v>
      </c>
      <c r="AI27" s="37">
        <f>COUNTIFS(H$130:H544,AH27,E$130:E544,"SAL")</f>
        <v>0</v>
      </c>
      <c r="AJ27" s="38">
        <f t="shared" si="2"/>
        <v>1</v>
      </c>
      <c r="AK27" s="38">
        <f t="shared" si="9"/>
        <v>1</v>
      </c>
      <c r="AL27" s="38">
        <f>COUNTIFS(H$130:H544,AH27,E$130:E544,"SAIL")</f>
        <v>0</v>
      </c>
      <c r="AM27" s="39">
        <f t="shared" si="19"/>
        <v>2</v>
      </c>
      <c r="AO27" s="21" t="str">
        <f t="shared" si="12"/>
        <v>Erick Vicente</v>
      </c>
      <c r="AP27" s="140">
        <f t="shared" si="4"/>
        <v>0</v>
      </c>
      <c r="AQ27" s="139">
        <f t="shared" si="5"/>
        <v>10</v>
      </c>
      <c r="AR27" s="38">
        <f t="shared" si="6"/>
        <v>3</v>
      </c>
      <c r="AS27" s="38">
        <f t="shared" si="7"/>
        <v>0</v>
      </c>
      <c r="AT27" s="39">
        <f t="shared" si="13"/>
        <v>13</v>
      </c>
    </row>
    <row r="28" spans="2:46" ht="15.75" thickBot="1">
      <c r="D28" s="10"/>
      <c r="E28" s="74" t="s">
        <v>25</v>
      </c>
      <c r="F28" s="155"/>
      <c r="G28" s="11"/>
      <c r="K28" s="5"/>
      <c r="U28" s="87" t="str">
        <f>Cadastros!I35</f>
        <v>Rafaela Sampaio</v>
      </c>
      <c r="V28" s="86">
        <f>COUNTIFS(H$39:H544,U28,K$39:K544,V$4)</f>
        <v>1</v>
      </c>
      <c r="W28" s="14">
        <f>COUNTIFS(H$39:H544,U28,K$39:K544,W$4)</f>
        <v>0</v>
      </c>
      <c r="X28" s="14">
        <f>COUNTIFS(H$39:H544,U28,K$39:K544,X$4)</f>
        <v>0</v>
      </c>
      <c r="Y28" s="15">
        <f t="shared" si="15"/>
        <v>1</v>
      </c>
      <c r="AA28" s="22" t="str">
        <f t="shared" si="16"/>
        <v>Rafaela Sampaio</v>
      </c>
      <c r="AB28" s="30">
        <f>SUMIFS(J$130:J471,H$130:H471,AA28,E$130:E471,"SAL")</f>
        <v>0</v>
      </c>
      <c r="AC28" s="29">
        <f>SUMIFS(J$130:J545,H$130:H545,AA28,E$130:E545,"SAM")</f>
        <v>0</v>
      </c>
      <c r="AD28" s="29">
        <f>SUMIFS(J$130:J545,H$130:H545,AA28,E$130:E545,"NE")</f>
        <v>0</v>
      </c>
      <c r="AE28" s="29">
        <f>SUMIFS(J$130:J545,H$130:H545,AA28,E$130:E545,"SAIL")</f>
        <v>0</v>
      </c>
      <c r="AF28" s="31">
        <f t="shared" si="17"/>
        <v>0</v>
      </c>
      <c r="AH28" s="22" t="str">
        <f t="shared" si="18"/>
        <v>Rafaela Sampaio</v>
      </c>
      <c r="AI28" s="30">
        <f>COUNTIFS(H$130:H545,AH28,E$130:E545,"SAL")</f>
        <v>0</v>
      </c>
      <c r="AJ28" s="29">
        <f t="shared" si="2"/>
        <v>0</v>
      </c>
      <c r="AK28" s="29">
        <f t="shared" si="9"/>
        <v>0</v>
      </c>
      <c r="AL28" s="29">
        <f>COUNTIFS(H$130:H545,AH28,E$130:E545,"SAIL")</f>
        <v>0</v>
      </c>
      <c r="AM28" s="31">
        <f t="shared" si="19"/>
        <v>0</v>
      </c>
      <c r="AO28" s="22" t="str">
        <f t="shared" si="12"/>
        <v>Rafaela Sampaio</v>
      </c>
      <c r="AP28" s="30">
        <f t="shared" si="4"/>
        <v>0</v>
      </c>
      <c r="AQ28" s="29">
        <f t="shared" si="5"/>
        <v>0</v>
      </c>
      <c r="AR28" s="29">
        <f t="shared" si="6"/>
        <v>0</v>
      </c>
      <c r="AS28" s="29">
        <f t="shared" si="7"/>
        <v>0</v>
      </c>
      <c r="AT28" s="31">
        <f t="shared" si="13"/>
        <v>0</v>
      </c>
    </row>
    <row r="29" spans="2:46" ht="15.75" thickBot="1">
      <c r="D29" s="10"/>
      <c r="E29" s="74" t="s">
        <v>86</v>
      </c>
      <c r="F29" s="153"/>
      <c r="G29" s="11"/>
      <c r="K29" s="5"/>
      <c r="U29" s="87" t="str">
        <f>Cadastros!I36</f>
        <v>Laysa Gabriela</v>
      </c>
      <c r="V29" s="97">
        <f>COUNTIFS(H$39:H545,U29,K$39:K545,V$4)</f>
        <v>3</v>
      </c>
      <c r="W29" s="98">
        <f>COUNTIFS(H$39:H545,U29,K$39:K545,W$4)</f>
        <v>0</v>
      </c>
      <c r="X29" s="98">
        <f>COUNTIFS(H$39:H545,U29,K$39:K545,X$4)</f>
        <v>0</v>
      </c>
      <c r="Y29" s="99">
        <f t="shared" si="15"/>
        <v>3</v>
      </c>
      <c r="AA29" s="89" t="str">
        <f t="shared" si="16"/>
        <v>Laysa Gabriela</v>
      </c>
      <c r="AB29" s="90">
        <f>SUMIFS(J$130:J472,H$130:H472,AA29,E$130:E472,"SAL")</f>
        <v>0</v>
      </c>
      <c r="AC29" s="91">
        <f>SUMIFS(J$130:J546,H$130:H546,AA29,E$130:E546,"SAM")</f>
        <v>0</v>
      </c>
      <c r="AD29" s="91">
        <f>SUMIFS(J$130:J546,H$130:H546,AA29,E$130:E546,"NE")</f>
        <v>0</v>
      </c>
      <c r="AE29" s="91">
        <f>SUMIFS(J$130:J546,H$130:H546,AA29,E$130:E546,"SAIL")</f>
        <v>0</v>
      </c>
      <c r="AF29" s="92">
        <f t="shared" si="17"/>
        <v>0</v>
      </c>
      <c r="AH29" s="89" t="str">
        <f t="shared" si="18"/>
        <v>Laysa Gabriela</v>
      </c>
      <c r="AI29" s="90">
        <f>COUNTIFS(H$130:H546,AH29,E$130:E546,"SAL")</f>
        <v>0</v>
      </c>
      <c r="AJ29" s="91">
        <f t="shared" si="2"/>
        <v>0</v>
      </c>
      <c r="AK29" s="91">
        <f t="shared" si="9"/>
        <v>0</v>
      </c>
      <c r="AL29" s="91">
        <f>COUNTIFS(H$130:H546,AH29,E$130:E546,"SAIL")</f>
        <v>0</v>
      </c>
      <c r="AM29" s="92">
        <f t="shared" si="19"/>
        <v>0</v>
      </c>
      <c r="AO29" s="89" t="str">
        <f t="shared" si="12"/>
        <v>Laysa Gabriela</v>
      </c>
      <c r="AP29" s="141">
        <f t="shared" si="4"/>
        <v>0</v>
      </c>
      <c r="AQ29" s="142">
        <f t="shared" si="5"/>
        <v>0</v>
      </c>
      <c r="AR29" s="142">
        <f t="shared" si="6"/>
        <v>0</v>
      </c>
      <c r="AS29" s="91">
        <f t="shared" si="7"/>
        <v>0</v>
      </c>
      <c r="AT29" s="92">
        <f t="shared" si="13"/>
        <v>0</v>
      </c>
    </row>
    <row r="30" spans="2:46" ht="15.75" thickBot="1">
      <c r="D30" s="10"/>
      <c r="E30" s="74" t="s">
        <v>87</v>
      </c>
      <c r="F30" s="155"/>
      <c r="G30" s="11"/>
      <c r="K30" s="5"/>
      <c r="U30" s="62" t="s">
        <v>88</v>
      </c>
      <c r="V30" s="93">
        <f>SUM(V5:V29)</f>
        <v>90</v>
      </c>
      <c r="W30" s="20">
        <f>SUM(W5:W29)</f>
        <v>11</v>
      </c>
      <c r="X30" s="20">
        <f>SUM(X5:X29)</f>
        <v>0</v>
      </c>
      <c r="Y30" s="100">
        <f>SUM(Y5:Y29)</f>
        <v>101</v>
      </c>
      <c r="AA30" s="62" t="s">
        <v>88</v>
      </c>
      <c r="AB30" s="79">
        <f>SUM(AB5:AB29)</f>
        <v>4464</v>
      </c>
      <c r="AC30" s="80">
        <f>SUM(AC5:AC29)</f>
        <v>1244</v>
      </c>
      <c r="AD30" s="80">
        <f>SUM(AD5:AD29)</f>
        <v>304</v>
      </c>
      <c r="AE30" s="81">
        <f>SUM(AE5:AE29)</f>
        <v>3175</v>
      </c>
      <c r="AF30" s="62">
        <f>SUM(AB30:AE30)</f>
        <v>9187</v>
      </c>
      <c r="AH30" s="62" t="s">
        <v>88</v>
      </c>
      <c r="AI30" s="79">
        <f>SUM(AI5:AI29)</f>
        <v>4</v>
      </c>
      <c r="AJ30" s="80">
        <f>SUM(AJ5:AJ29)</f>
        <v>4</v>
      </c>
      <c r="AK30" s="80">
        <f>SUM(AK5:AK29)</f>
        <v>3</v>
      </c>
      <c r="AL30" s="81">
        <f>SUM(AL5:AL29)</f>
        <v>1</v>
      </c>
      <c r="AM30" s="62">
        <f>SUM(AI30:AL30)</f>
        <v>12</v>
      </c>
      <c r="AO30" s="62" t="s">
        <v>88</v>
      </c>
      <c r="AP30" s="79">
        <f>SUM(AP5:AP29)</f>
        <v>36</v>
      </c>
      <c r="AQ30" s="80">
        <f>SUM(AQ5:AQ29)</f>
        <v>28</v>
      </c>
      <c r="AR30" s="80">
        <f>SUM(AR5:AR29)</f>
        <v>11</v>
      </c>
      <c r="AS30" s="81">
        <f>SUM(AS5:AS29)</f>
        <v>40</v>
      </c>
      <c r="AT30" s="62">
        <f>SUM(AT5:AT29)</f>
        <v>115</v>
      </c>
    </row>
    <row r="31" spans="2:46">
      <c r="D31" s="10"/>
      <c r="E31" s="74" t="s">
        <v>89</v>
      </c>
      <c r="F31" s="155"/>
      <c r="G31" s="11"/>
      <c r="K31" s="5"/>
    </row>
    <row r="32" spans="2:46">
      <c r="D32" s="10"/>
      <c r="E32" s="75" t="s">
        <v>90</v>
      </c>
      <c r="F32" s="153"/>
      <c r="G32" s="11"/>
      <c r="K32" s="5"/>
    </row>
    <row r="33" spans="1:18">
      <c r="D33" s="10"/>
      <c r="E33" s="75" t="s">
        <v>91</v>
      </c>
      <c r="F33" s="153"/>
      <c r="G33" s="11"/>
      <c r="K33" s="5"/>
    </row>
    <row r="34" spans="1:18">
      <c r="D34" s="10"/>
      <c r="E34" s="75" t="s">
        <v>92</v>
      </c>
      <c r="F34" s="153"/>
      <c r="G34" s="11"/>
    </row>
    <row r="35" spans="1:18">
      <c r="D35" s="10"/>
      <c r="E35" s="75" t="s">
        <v>93</v>
      </c>
      <c r="F35" s="153"/>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c r="A40" s="158">
        <v>46027</v>
      </c>
      <c r="B40" s="13">
        <v>126047</v>
      </c>
      <c r="C40" s="158">
        <v>46031</v>
      </c>
      <c r="D40" s="192">
        <v>99063</v>
      </c>
      <c r="E40" s="13" t="s">
        <v>18</v>
      </c>
      <c r="F40" s="13" t="s">
        <v>38</v>
      </c>
      <c r="G40" s="168" t="s">
        <v>103</v>
      </c>
      <c r="H40" s="13" t="s">
        <v>52</v>
      </c>
      <c r="I40" s="13" t="s">
        <v>32</v>
      </c>
      <c r="J40" s="13">
        <v>29</v>
      </c>
      <c r="K40" s="13" t="s">
        <v>10</v>
      </c>
      <c r="L40" s="13">
        <v>0</v>
      </c>
      <c r="M40" s="13" t="s">
        <v>33</v>
      </c>
      <c r="N40" s="13" t="s">
        <v>33</v>
      </c>
      <c r="O40" s="13">
        <v>4</v>
      </c>
      <c r="P40" s="13" t="s">
        <v>8</v>
      </c>
      <c r="Q40" s="13">
        <v>11.5</v>
      </c>
      <c r="R40" s="13">
        <v>2</v>
      </c>
    </row>
    <row r="41" spans="1:18">
      <c r="A41" s="158">
        <v>46043</v>
      </c>
      <c r="B41" s="192">
        <v>126580</v>
      </c>
      <c r="C41" s="158">
        <v>46043</v>
      </c>
      <c r="D41" s="153">
        <v>99360</v>
      </c>
      <c r="E41" s="155" t="s">
        <v>16</v>
      </c>
      <c r="F41" s="155" t="s">
        <v>34</v>
      </c>
      <c r="H41" s="155" t="s">
        <v>63</v>
      </c>
      <c r="I41" s="155" t="s">
        <v>48</v>
      </c>
      <c r="J41" s="13">
        <v>79</v>
      </c>
      <c r="K41" s="155" t="s">
        <v>10</v>
      </c>
      <c r="L41" s="153">
        <v>1</v>
      </c>
      <c r="M41" s="155" t="s">
        <v>33</v>
      </c>
      <c r="N41" s="155" t="s">
        <v>33</v>
      </c>
      <c r="O41" s="153">
        <v>0</v>
      </c>
      <c r="P41" s="153" t="s">
        <v>8</v>
      </c>
      <c r="Q41" s="153">
        <v>4</v>
      </c>
      <c r="R41" s="153">
        <v>2</v>
      </c>
    </row>
    <row r="42" spans="1:18">
      <c r="A42" s="158">
        <v>46043</v>
      </c>
      <c r="B42" s="192">
        <v>126093</v>
      </c>
      <c r="C42" s="158">
        <v>46043</v>
      </c>
      <c r="D42" s="153">
        <v>99359</v>
      </c>
      <c r="E42" s="155" t="s">
        <v>16</v>
      </c>
      <c r="F42" s="155" t="s">
        <v>34</v>
      </c>
      <c r="H42" s="155" t="s">
        <v>63</v>
      </c>
      <c r="I42" s="155" t="s">
        <v>48</v>
      </c>
      <c r="J42" s="13">
        <v>178</v>
      </c>
      <c r="K42" s="155" t="s">
        <v>10</v>
      </c>
      <c r="L42" s="153">
        <v>1</v>
      </c>
      <c r="M42" s="155" t="s">
        <v>33</v>
      </c>
      <c r="N42" s="155" t="s">
        <v>33</v>
      </c>
      <c r="O42" s="153">
        <v>0</v>
      </c>
      <c r="P42" s="153" t="s">
        <v>8</v>
      </c>
      <c r="Q42" s="153">
        <v>4</v>
      </c>
      <c r="R42" s="153">
        <v>2</v>
      </c>
    </row>
    <row r="43" spans="1:18">
      <c r="A43" s="158">
        <v>46041</v>
      </c>
      <c r="B43" s="192">
        <v>126522</v>
      </c>
      <c r="C43" s="158">
        <v>46041</v>
      </c>
      <c r="D43" s="153">
        <v>99307</v>
      </c>
      <c r="E43" s="155" t="s">
        <v>16</v>
      </c>
      <c r="F43" s="155" t="s">
        <v>34</v>
      </c>
      <c r="H43" s="155" t="s">
        <v>63</v>
      </c>
      <c r="I43" s="155" t="s">
        <v>48</v>
      </c>
      <c r="J43" s="13">
        <v>117</v>
      </c>
      <c r="K43" s="155" t="s">
        <v>10</v>
      </c>
      <c r="L43" s="153">
        <v>1</v>
      </c>
      <c r="M43" s="155" t="s">
        <v>33</v>
      </c>
      <c r="N43" s="155" t="s">
        <v>33</v>
      </c>
      <c r="O43" s="153">
        <v>0</v>
      </c>
      <c r="P43" s="153" t="s">
        <v>8</v>
      </c>
      <c r="Q43" s="153">
        <v>4</v>
      </c>
      <c r="R43" s="153">
        <v>2</v>
      </c>
    </row>
    <row r="44" spans="1:18">
      <c r="A44" s="158">
        <v>46041</v>
      </c>
      <c r="B44" s="192">
        <v>125947</v>
      </c>
      <c r="C44" s="158">
        <v>46041</v>
      </c>
      <c r="D44" s="153">
        <v>99308</v>
      </c>
      <c r="E44" s="155" t="s">
        <v>16</v>
      </c>
      <c r="F44" s="155" t="s">
        <v>34</v>
      </c>
      <c r="H44" s="155" t="s">
        <v>63</v>
      </c>
      <c r="I44" s="155" t="s">
        <v>48</v>
      </c>
      <c r="J44" s="13">
        <v>305</v>
      </c>
      <c r="K44" s="155" t="s">
        <v>10</v>
      </c>
      <c r="L44" s="153">
        <v>1</v>
      </c>
      <c r="M44" s="155" t="s">
        <v>33</v>
      </c>
      <c r="N44" s="155" t="s">
        <v>33</v>
      </c>
      <c r="O44" s="153">
        <v>0</v>
      </c>
      <c r="P44" s="153" t="s">
        <v>8</v>
      </c>
      <c r="Q44" s="153">
        <v>4</v>
      </c>
      <c r="R44" s="153">
        <v>2</v>
      </c>
    </row>
    <row r="45" spans="1:18">
      <c r="A45" s="158">
        <v>46041</v>
      </c>
      <c r="B45" s="192">
        <v>126094</v>
      </c>
      <c r="C45" s="158">
        <v>46041</v>
      </c>
      <c r="D45" s="153">
        <v>99301</v>
      </c>
      <c r="E45" s="155" t="s">
        <v>16</v>
      </c>
      <c r="F45" s="155" t="s">
        <v>34</v>
      </c>
      <c r="H45" s="155" t="s">
        <v>63</v>
      </c>
      <c r="I45" s="155" t="s">
        <v>48</v>
      </c>
      <c r="J45" s="13">
        <v>272</v>
      </c>
      <c r="K45" s="155" t="s">
        <v>10</v>
      </c>
      <c r="L45" s="153">
        <v>0</v>
      </c>
      <c r="M45" s="155" t="s">
        <v>33</v>
      </c>
      <c r="N45" s="155" t="s">
        <v>33</v>
      </c>
      <c r="O45" s="153">
        <v>0</v>
      </c>
      <c r="P45" s="153" t="s">
        <v>8</v>
      </c>
      <c r="Q45" s="153">
        <v>4</v>
      </c>
      <c r="R45" s="153">
        <v>2</v>
      </c>
    </row>
    <row r="46" spans="1:18">
      <c r="A46" s="158">
        <v>46038</v>
      </c>
      <c r="B46" s="192">
        <v>126347</v>
      </c>
      <c r="C46" s="158">
        <v>46038</v>
      </c>
      <c r="D46" s="153">
        <v>99247</v>
      </c>
      <c r="E46" s="155" t="s">
        <v>16</v>
      </c>
      <c r="F46" s="155" t="s">
        <v>34</v>
      </c>
      <c r="H46" s="155" t="s">
        <v>63</v>
      </c>
      <c r="I46" s="155" t="s">
        <v>48</v>
      </c>
      <c r="J46" s="13">
        <v>315</v>
      </c>
      <c r="K46" s="155" t="s">
        <v>10</v>
      </c>
      <c r="L46" s="153">
        <v>1</v>
      </c>
      <c r="M46" s="155" t="s">
        <v>33</v>
      </c>
      <c r="N46" s="155" t="s">
        <v>33</v>
      </c>
      <c r="O46" s="153">
        <v>0</v>
      </c>
      <c r="P46" s="153" t="s">
        <v>8</v>
      </c>
      <c r="Q46" s="153">
        <v>4</v>
      </c>
      <c r="R46" s="153">
        <v>2</v>
      </c>
    </row>
    <row r="47" spans="1:18">
      <c r="A47" s="158">
        <v>46037</v>
      </c>
      <c r="B47" s="192">
        <v>126417</v>
      </c>
      <c r="C47" s="158">
        <v>46037</v>
      </c>
      <c r="D47" s="153">
        <v>99218</v>
      </c>
      <c r="E47" s="155" t="s">
        <v>16</v>
      </c>
      <c r="F47" s="155" t="s">
        <v>34</v>
      </c>
      <c r="H47" s="155" t="s">
        <v>63</v>
      </c>
      <c r="I47" s="155" t="s">
        <v>48</v>
      </c>
      <c r="J47" s="13">
        <v>27</v>
      </c>
      <c r="K47" s="155" t="s">
        <v>10</v>
      </c>
      <c r="L47" s="153">
        <v>1</v>
      </c>
      <c r="M47" s="155" t="s">
        <v>33</v>
      </c>
      <c r="N47" s="155" t="s">
        <v>33</v>
      </c>
      <c r="O47" s="153">
        <v>0</v>
      </c>
      <c r="P47" s="153" t="s">
        <v>8</v>
      </c>
      <c r="Q47" s="153">
        <v>4</v>
      </c>
      <c r="R47" s="153">
        <v>2</v>
      </c>
    </row>
    <row r="48" spans="1:18">
      <c r="A48" s="158">
        <v>46037</v>
      </c>
      <c r="B48" s="192">
        <v>126500</v>
      </c>
      <c r="C48" s="158">
        <v>46037</v>
      </c>
      <c r="D48" s="153">
        <v>99222</v>
      </c>
      <c r="E48" s="155" t="s">
        <v>16</v>
      </c>
      <c r="F48" s="155" t="s">
        <v>34</v>
      </c>
      <c r="H48" s="155" t="s">
        <v>63</v>
      </c>
      <c r="I48" s="155" t="s">
        <v>48</v>
      </c>
      <c r="J48" s="13">
        <v>233</v>
      </c>
      <c r="K48" s="155" t="s">
        <v>10</v>
      </c>
      <c r="L48" s="153">
        <v>1</v>
      </c>
      <c r="M48" s="155" t="s">
        <v>33</v>
      </c>
      <c r="N48" s="155" t="s">
        <v>33</v>
      </c>
      <c r="O48" s="153">
        <v>0</v>
      </c>
      <c r="P48" s="153" t="s">
        <v>8</v>
      </c>
      <c r="Q48" s="153">
        <v>4</v>
      </c>
      <c r="R48" s="153">
        <v>2</v>
      </c>
    </row>
    <row r="49" spans="1:18">
      <c r="A49" s="158">
        <v>46037</v>
      </c>
      <c r="B49" s="192">
        <v>126358</v>
      </c>
      <c r="C49" s="158">
        <v>46037</v>
      </c>
      <c r="D49" s="153">
        <v>99215</v>
      </c>
      <c r="E49" s="155" t="s">
        <v>16</v>
      </c>
      <c r="F49" s="155" t="s">
        <v>34</v>
      </c>
      <c r="H49" s="155" t="s">
        <v>63</v>
      </c>
      <c r="I49" s="155" t="s">
        <v>48</v>
      </c>
      <c r="J49" s="13">
        <v>159</v>
      </c>
      <c r="K49" s="155" t="s">
        <v>10</v>
      </c>
      <c r="L49" s="153">
        <v>1</v>
      </c>
      <c r="M49" s="155" t="s">
        <v>33</v>
      </c>
      <c r="N49" s="155" t="s">
        <v>33</v>
      </c>
      <c r="O49" s="153">
        <v>0</v>
      </c>
      <c r="P49" s="153" t="s">
        <v>8</v>
      </c>
      <c r="Q49" s="153">
        <v>4</v>
      </c>
      <c r="R49" s="153">
        <v>2</v>
      </c>
    </row>
    <row r="50" spans="1:18">
      <c r="A50" s="158">
        <v>46036</v>
      </c>
      <c r="B50" s="192">
        <v>126441</v>
      </c>
      <c r="C50" s="158">
        <v>46034</v>
      </c>
      <c r="D50" s="153">
        <v>99203</v>
      </c>
      <c r="E50" s="155" t="s">
        <v>16</v>
      </c>
      <c r="F50" s="155" t="s">
        <v>34</v>
      </c>
      <c r="H50" s="155" t="s">
        <v>63</v>
      </c>
      <c r="I50" s="155" t="s">
        <v>48</v>
      </c>
      <c r="J50" s="13">
        <v>74</v>
      </c>
      <c r="K50" s="155" t="s">
        <v>10</v>
      </c>
      <c r="L50" s="153">
        <v>1</v>
      </c>
      <c r="M50" s="155" t="s">
        <v>33</v>
      </c>
      <c r="N50" s="155" t="s">
        <v>33</v>
      </c>
      <c r="O50" s="153">
        <v>-2</v>
      </c>
      <c r="P50" s="153" t="s">
        <v>8</v>
      </c>
      <c r="Q50" s="153">
        <v>4</v>
      </c>
      <c r="R50" s="153">
        <v>2</v>
      </c>
    </row>
    <row r="51" spans="1:18">
      <c r="A51" s="158">
        <v>46031</v>
      </c>
      <c r="B51" s="192">
        <v>126260</v>
      </c>
      <c r="C51" s="158">
        <v>46031</v>
      </c>
      <c r="D51" s="153">
        <v>99079</v>
      </c>
      <c r="E51" s="155" t="s">
        <v>18</v>
      </c>
      <c r="F51" s="155" t="s">
        <v>34</v>
      </c>
      <c r="H51" s="155" t="s">
        <v>63</v>
      </c>
      <c r="I51" s="155" t="s">
        <v>48</v>
      </c>
      <c r="J51" s="13">
        <v>44</v>
      </c>
      <c r="K51" s="155" t="s">
        <v>10</v>
      </c>
      <c r="L51" s="153">
        <v>1</v>
      </c>
      <c r="M51" s="155" t="s">
        <v>33</v>
      </c>
      <c r="N51" s="155" t="s">
        <v>33</v>
      </c>
      <c r="O51" s="153">
        <v>0</v>
      </c>
      <c r="P51" s="153" t="s">
        <v>8</v>
      </c>
      <c r="Q51" s="153">
        <v>11.5</v>
      </c>
      <c r="R51" s="153">
        <v>2</v>
      </c>
    </row>
    <row r="52" spans="1:18">
      <c r="A52" s="158">
        <v>46029</v>
      </c>
      <c r="B52" s="192">
        <v>126089</v>
      </c>
      <c r="C52" s="158">
        <v>46029</v>
      </c>
      <c r="D52" s="153">
        <v>98974</v>
      </c>
      <c r="E52" s="155" t="s">
        <v>16</v>
      </c>
      <c r="F52" s="155" t="s">
        <v>34</v>
      </c>
      <c r="H52" s="155" t="s">
        <v>63</v>
      </c>
      <c r="I52" s="155" t="s">
        <v>48</v>
      </c>
      <c r="J52" s="13">
        <v>33</v>
      </c>
      <c r="K52" s="155" t="s">
        <v>10</v>
      </c>
      <c r="L52" s="153">
        <v>1</v>
      </c>
      <c r="M52" s="155" t="s">
        <v>33</v>
      </c>
      <c r="N52" s="155" t="s">
        <v>33</v>
      </c>
      <c r="O52" s="153">
        <v>0</v>
      </c>
      <c r="P52" s="153" t="s">
        <v>8</v>
      </c>
      <c r="Q52" s="153">
        <v>4</v>
      </c>
      <c r="R52" s="153">
        <v>2</v>
      </c>
    </row>
    <row r="53" spans="1:18">
      <c r="A53" s="158">
        <v>46204</v>
      </c>
      <c r="B53" s="192">
        <v>125322</v>
      </c>
      <c r="C53" s="158">
        <v>46204</v>
      </c>
      <c r="D53" s="153">
        <v>98961</v>
      </c>
      <c r="E53" s="155" t="s">
        <v>16</v>
      </c>
      <c r="F53" s="155" t="s">
        <v>34</v>
      </c>
      <c r="H53" s="155" t="s">
        <v>63</v>
      </c>
      <c r="I53" s="155" t="s">
        <v>48</v>
      </c>
      <c r="J53" s="13">
        <v>110</v>
      </c>
      <c r="K53" s="155" t="s">
        <v>10</v>
      </c>
      <c r="L53" s="153">
        <v>2</v>
      </c>
      <c r="M53" s="155" t="s">
        <v>33</v>
      </c>
      <c r="N53" s="155" t="s">
        <v>33</v>
      </c>
      <c r="O53" s="153">
        <v>0</v>
      </c>
      <c r="P53" s="153" t="s">
        <v>8</v>
      </c>
      <c r="Q53" s="153">
        <v>4</v>
      </c>
      <c r="R53" s="153">
        <v>2</v>
      </c>
    </row>
    <row r="54" spans="1:18">
      <c r="A54" s="158">
        <v>46052</v>
      </c>
      <c r="B54" s="192">
        <v>126540</v>
      </c>
      <c r="C54" s="158">
        <v>46052</v>
      </c>
      <c r="D54" s="153">
        <v>99627</v>
      </c>
      <c r="E54" s="155" t="s">
        <v>18</v>
      </c>
      <c r="F54" s="155" t="s">
        <v>38</v>
      </c>
      <c r="G54" t="s">
        <v>104</v>
      </c>
      <c r="H54" s="155" t="s">
        <v>39</v>
      </c>
      <c r="I54" s="155" t="s">
        <v>43</v>
      </c>
      <c r="J54" s="13">
        <v>865</v>
      </c>
      <c r="K54" s="155" t="s">
        <v>13</v>
      </c>
      <c r="L54" s="153">
        <v>1</v>
      </c>
      <c r="M54" s="155" t="s">
        <v>33</v>
      </c>
      <c r="N54" s="155" t="s">
        <v>33</v>
      </c>
      <c r="O54" s="153">
        <v>0</v>
      </c>
      <c r="P54" s="153" t="s">
        <v>15</v>
      </c>
      <c r="Q54" s="153">
        <v>80</v>
      </c>
      <c r="R54" s="153">
        <v>3</v>
      </c>
    </row>
    <row r="55" spans="1:18">
      <c r="A55" s="158">
        <v>46052</v>
      </c>
      <c r="B55" s="192">
        <v>127328</v>
      </c>
      <c r="C55" s="158">
        <v>46052</v>
      </c>
      <c r="D55" s="153">
        <v>99624</v>
      </c>
      <c r="E55" s="155" t="s">
        <v>16</v>
      </c>
      <c r="F55" s="155" t="s">
        <v>34</v>
      </c>
      <c r="G55" t="s">
        <v>105</v>
      </c>
      <c r="H55" s="155" t="s">
        <v>63</v>
      </c>
      <c r="I55" s="155" t="s">
        <v>28</v>
      </c>
      <c r="J55" s="13">
        <v>124</v>
      </c>
      <c r="K55" s="155" t="s">
        <v>10</v>
      </c>
      <c r="L55" s="153">
        <v>0</v>
      </c>
      <c r="M55" s="155" t="s">
        <v>33</v>
      </c>
      <c r="N55" s="155" t="s">
        <v>33</v>
      </c>
      <c r="O55" s="153">
        <v>0</v>
      </c>
      <c r="P55" s="153" t="s">
        <v>8</v>
      </c>
      <c r="Q55" s="153">
        <v>4</v>
      </c>
      <c r="R55" s="153">
        <v>2</v>
      </c>
    </row>
    <row r="56" spans="1:18">
      <c r="A56" s="158">
        <v>46052</v>
      </c>
      <c r="B56" s="192">
        <v>127313</v>
      </c>
      <c r="C56" s="158">
        <v>46052</v>
      </c>
      <c r="D56" s="153">
        <v>99612</v>
      </c>
      <c r="E56" s="155" t="s">
        <v>18</v>
      </c>
      <c r="F56" s="155" t="s">
        <v>34</v>
      </c>
      <c r="G56" t="s">
        <v>106</v>
      </c>
      <c r="H56" s="155" t="s">
        <v>47</v>
      </c>
      <c r="I56" s="155" t="s">
        <v>32</v>
      </c>
      <c r="J56" s="13">
        <v>215</v>
      </c>
      <c r="K56" s="155" t="s">
        <v>10</v>
      </c>
      <c r="L56" s="153">
        <v>0</v>
      </c>
      <c r="M56" s="155" t="s">
        <v>33</v>
      </c>
      <c r="N56" s="155" t="s">
        <v>33</v>
      </c>
      <c r="O56" s="153">
        <v>0</v>
      </c>
      <c r="P56" s="153" t="s">
        <v>14</v>
      </c>
      <c r="Q56" s="153">
        <v>10</v>
      </c>
      <c r="R56" s="153">
        <v>2</v>
      </c>
    </row>
    <row r="57" spans="1:18">
      <c r="A57" s="158">
        <v>46052</v>
      </c>
      <c r="B57" s="192">
        <v>126999</v>
      </c>
      <c r="C57" s="158">
        <v>46052</v>
      </c>
      <c r="D57" s="153">
        <v>99594</v>
      </c>
      <c r="E57" s="155" t="s">
        <v>16</v>
      </c>
      <c r="F57" s="155" t="s">
        <v>34</v>
      </c>
      <c r="G57" t="s">
        <v>107</v>
      </c>
      <c r="H57" s="155" t="s">
        <v>56</v>
      </c>
      <c r="I57" s="155" t="s">
        <v>28</v>
      </c>
      <c r="J57" s="13">
        <v>130</v>
      </c>
      <c r="K57" s="155" t="s">
        <v>10</v>
      </c>
      <c r="L57" s="153">
        <v>0</v>
      </c>
      <c r="M57" s="155" t="s">
        <v>33</v>
      </c>
      <c r="N57" s="155" t="s">
        <v>33</v>
      </c>
      <c r="O57" s="153">
        <v>0</v>
      </c>
      <c r="P57" s="153" t="s">
        <v>36</v>
      </c>
      <c r="Q57" s="153">
        <v>0</v>
      </c>
      <c r="R57" s="153">
        <v>3</v>
      </c>
    </row>
    <row r="58" spans="1:18">
      <c r="A58" s="158">
        <v>46052</v>
      </c>
      <c r="B58" s="192">
        <v>127274</v>
      </c>
      <c r="C58" s="158">
        <v>46052</v>
      </c>
      <c r="D58" s="153">
        <v>99601</v>
      </c>
      <c r="E58" s="155" t="s">
        <v>16</v>
      </c>
      <c r="F58" s="155" t="s">
        <v>34</v>
      </c>
      <c r="G58" t="s">
        <v>108</v>
      </c>
      <c r="H58" s="155" t="s">
        <v>56</v>
      </c>
      <c r="I58" s="155" t="s">
        <v>28</v>
      </c>
      <c r="J58" s="13">
        <v>22</v>
      </c>
      <c r="K58" s="155" t="s">
        <v>10</v>
      </c>
      <c r="L58" s="153">
        <v>0</v>
      </c>
      <c r="M58" s="155" t="s">
        <v>33</v>
      </c>
      <c r="N58" s="155" t="s">
        <v>33</v>
      </c>
      <c r="O58" s="153">
        <v>0</v>
      </c>
      <c r="P58" s="153" t="s">
        <v>36</v>
      </c>
      <c r="Q58" s="153">
        <v>0</v>
      </c>
      <c r="R58" s="153">
        <v>3</v>
      </c>
    </row>
    <row r="59" spans="1:18">
      <c r="A59" s="158">
        <v>46049</v>
      </c>
      <c r="B59" s="192">
        <v>127001</v>
      </c>
      <c r="C59" s="158">
        <v>46052</v>
      </c>
      <c r="D59" s="153">
        <v>99603</v>
      </c>
      <c r="E59" s="155" t="s">
        <v>16</v>
      </c>
      <c r="F59" s="155" t="s">
        <v>34</v>
      </c>
      <c r="G59" t="s">
        <v>109</v>
      </c>
      <c r="H59" s="155" t="s">
        <v>56</v>
      </c>
      <c r="I59" s="155" t="s">
        <v>28</v>
      </c>
      <c r="J59" s="13">
        <v>142</v>
      </c>
      <c r="K59" s="155" t="s">
        <v>10</v>
      </c>
      <c r="L59" s="153">
        <v>0</v>
      </c>
      <c r="M59" s="155" t="s">
        <v>33</v>
      </c>
      <c r="N59" s="155" t="s">
        <v>33</v>
      </c>
      <c r="O59" s="153">
        <v>3</v>
      </c>
      <c r="P59" s="153" t="s">
        <v>36</v>
      </c>
      <c r="Q59" s="153">
        <v>0</v>
      </c>
      <c r="R59" s="153">
        <v>3</v>
      </c>
    </row>
    <row r="60" spans="1:18">
      <c r="A60" s="158">
        <v>46050</v>
      </c>
      <c r="B60" s="192">
        <v>126616</v>
      </c>
      <c r="C60" s="158">
        <v>46052</v>
      </c>
      <c r="D60" s="153">
        <v>99610</v>
      </c>
      <c r="E60" s="155" t="s">
        <v>16</v>
      </c>
      <c r="F60" s="155" t="s">
        <v>34</v>
      </c>
      <c r="G60" t="s">
        <v>110</v>
      </c>
      <c r="H60" s="155" t="s">
        <v>56</v>
      </c>
      <c r="I60" s="155" t="s">
        <v>28</v>
      </c>
      <c r="J60" s="13">
        <v>149</v>
      </c>
      <c r="K60" s="155" t="s">
        <v>10</v>
      </c>
      <c r="L60" s="153">
        <v>0</v>
      </c>
      <c r="M60" s="155" t="s">
        <v>33</v>
      </c>
      <c r="N60" s="155" t="s">
        <v>33</v>
      </c>
      <c r="O60" s="153">
        <v>2</v>
      </c>
      <c r="P60" s="153" t="s">
        <v>36</v>
      </c>
      <c r="Q60" s="153">
        <v>0</v>
      </c>
      <c r="R60" s="153">
        <v>3</v>
      </c>
    </row>
    <row r="61" spans="1:18">
      <c r="A61" s="158">
        <v>46051</v>
      </c>
      <c r="B61" s="192">
        <v>126998</v>
      </c>
      <c r="C61" s="158">
        <v>46052</v>
      </c>
      <c r="D61" s="153">
        <v>99609</v>
      </c>
      <c r="E61" s="155" t="s">
        <v>16</v>
      </c>
      <c r="F61" s="155" t="s">
        <v>34</v>
      </c>
      <c r="G61" t="s">
        <v>111</v>
      </c>
      <c r="H61" s="155" t="s">
        <v>56</v>
      </c>
      <c r="I61" s="155" t="s">
        <v>28</v>
      </c>
      <c r="J61" s="13">
        <v>61</v>
      </c>
      <c r="K61" s="155" t="s">
        <v>10</v>
      </c>
      <c r="L61" s="153">
        <v>0</v>
      </c>
      <c r="M61" s="155" t="s">
        <v>33</v>
      </c>
      <c r="N61" s="155" t="s">
        <v>33</v>
      </c>
      <c r="O61" s="153">
        <v>1</v>
      </c>
      <c r="P61" s="153" t="s">
        <v>36</v>
      </c>
      <c r="Q61" s="153">
        <v>0</v>
      </c>
      <c r="R61" s="153">
        <v>3</v>
      </c>
    </row>
    <row r="62" spans="1:18">
      <c r="A62" s="158">
        <v>46049</v>
      </c>
      <c r="B62" s="192">
        <v>126617</v>
      </c>
      <c r="C62" s="158">
        <v>46052</v>
      </c>
      <c r="D62" s="153">
        <v>99608</v>
      </c>
      <c r="E62" s="155" t="s">
        <v>16</v>
      </c>
      <c r="F62" s="155" t="s">
        <v>34</v>
      </c>
      <c r="G62" t="s">
        <v>112</v>
      </c>
      <c r="H62" s="155" t="s">
        <v>56</v>
      </c>
      <c r="I62" s="155" t="s">
        <v>28</v>
      </c>
      <c r="J62" s="13">
        <v>122</v>
      </c>
      <c r="K62" s="155" t="s">
        <v>10</v>
      </c>
      <c r="L62" s="153">
        <v>0</v>
      </c>
      <c r="M62" s="155" t="s">
        <v>33</v>
      </c>
      <c r="N62" s="155" t="s">
        <v>33</v>
      </c>
      <c r="O62" s="153">
        <v>3</v>
      </c>
      <c r="P62" s="153" t="s">
        <v>36</v>
      </c>
      <c r="Q62" s="153">
        <v>0</v>
      </c>
      <c r="R62" s="153">
        <v>3</v>
      </c>
    </row>
    <row r="63" spans="1:18">
      <c r="A63" s="158">
        <v>46048</v>
      </c>
      <c r="B63" s="192">
        <v>126845</v>
      </c>
      <c r="C63" s="158">
        <v>46052</v>
      </c>
      <c r="D63" s="153">
        <v>99607</v>
      </c>
      <c r="E63" s="155" t="s">
        <v>16</v>
      </c>
      <c r="F63" s="155" t="s">
        <v>34</v>
      </c>
      <c r="G63" t="s">
        <v>113</v>
      </c>
      <c r="H63" s="155" t="s">
        <v>56</v>
      </c>
      <c r="I63" s="155" t="s">
        <v>28</v>
      </c>
      <c r="J63" s="13">
        <v>27</v>
      </c>
      <c r="K63" s="155" t="s">
        <v>10</v>
      </c>
      <c r="L63" s="153">
        <v>0</v>
      </c>
      <c r="M63" s="155" t="s">
        <v>29</v>
      </c>
      <c r="N63" s="155" t="s">
        <v>33</v>
      </c>
      <c r="O63" s="153">
        <v>4</v>
      </c>
      <c r="P63" s="153" t="s">
        <v>36</v>
      </c>
      <c r="Q63" s="153">
        <v>0</v>
      </c>
      <c r="R63" s="153">
        <v>3</v>
      </c>
    </row>
    <row r="64" spans="1:18">
      <c r="A64" s="158">
        <v>46045</v>
      </c>
      <c r="B64" s="192">
        <v>126934</v>
      </c>
      <c r="C64" s="158">
        <v>46052</v>
      </c>
      <c r="D64" s="153">
        <v>99606</v>
      </c>
      <c r="E64" s="155" t="s">
        <v>16</v>
      </c>
      <c r="F64" s="155" t="s">
        <v>34</v>
      </c>
      <c r="G64" t="s">
        <v>114</v>
      </c>
      <c r="H64" s="155" t="s">
        <v>56</v>
      </c>
      <c r="I64" s="155" t="s">
        <v>28</v>
      </c>
      <c r="J64" s="13">
        <v>59</v>
      </c>
      <c r="K64" s="155" t="s">
        <v>10</v>
      </c>
      <c r="L64" s="153">
        <v>0</v>
      </c>
      <c r="M64" s="155" t="s">
        <v>33</v>
      </c>
      <c r="N64" s="155" t="s">
        <v>33</v>
      </c>
      <c r="O64" s="153">
        <v>5</v>
      </c>
      <c r="P64" s="153" t="s">
        <v>36</v>
      </c>
      <c r="Q64" s="153">
        <v>0</v>
      </c>
      <c r="R64" s="153">
        <v>3</v>
      </c>
    </row>
    <row r="65" spans="1:18">
      <c r="A65" s="158">
        <v>46044</v>
      </c>
      <c r="B65" s="192">
        <v>125725</v>
      </c>
      <c r="C65" s="158">
        <v>46052</v>
      </c>
      <c r="D65" s="153">
        <v>99605</v>
      </c>
      <c r="E65" s="155" t="s">
        <v>16</v>
      </c>
      <c r="F65" s="155" t="s">
        <v>34</v>
      </c>
      <c r="G65" t="s">
        <v>115</v>
      </c>
      <c r="H65" s="155" t="s">
        <v>56</v>
      </c>
      <c r="I65" s="155" t="s">
        <v>28</v>
      </c>
      <c r="J65" s="13">
        <v>125</v>
      </c>
      <c r="K65" s="155" t="s">
        <v>10</v>
      </c>
      <c r="L65" s="153">
        <v>0</v>
      </c>
      <c r="M65" s="155" t="s">
        <v>33</v>
      </c>
      <c r="N65" s="155" t="s">
        <v>33</v>
      </c>
      <c r="O65" s="153">
        <v>-357</v>
      </c>
      <c r="P65" s="153" t="s">
        <v>36</v>
      </c>
      <c r="Q65" s="153">
        <v>0</v>
      </c>
      <c r="R65" s="153">
        <v>3</v>
      </c>
    </row>
    <row r="66" spans="1:18">
      <c r="A66" s="158">
        <v>46048</v>
      </c>
      <c r="B66" s="192">
        <v>126614</v>
      </c>
      <c r="C66" s="158">
        <v>46052</v>
      </c>
      <c r="D66" s="153">
        <v>99604</v>
      </c>
      <c r="E66" s="155" t="s">
        <v>16</v>
      </c>
      <c r="F66" s="155" t="s">
        <v>34</v>
      </c>
      <c r="G66" t="s">
        <v>116</v>
      </c>
      <c r="H66" s="155" t="s">
        <v>63</v>
      </c>
      <c r="I66" s="155" t="s">
        <v>28</v>
      </c>
      <c r="J66" s="13">
        <v>321</v>
      </c>
      <c r="K66" s="155" t="s">
        <v>10</v>
      </c>
      <c r="L66" s="153">
        <v>0</v>
      </c>
      <c r="M66" s="155" t="s">
        <v>33</v>
      </c>
      <c r="N66" s="155" t="s">
        <v>33</v>
      </c>
      <c r="O66" s="153">
        <v>4</v>
      </c>
      <c r="P66" s="153" t="s">
        <v>8</v>
      </c>
      <c r="Q66" s="153">
        <v>4</v>
      </c>
      <c r="R66" s="153">
        <v>2</v>
      </c>
    </row>
    <row r="67" spans="1:18">
      <c r="A67" s="158">
        <v>45986</v>
      </c>
      <c r="B67" s="192">
        <v>124647</v>
      </c>
      <c r="C67" s="158">
        <v>46051</v>
      </c>
      <c r="D67" s="153">
        <v>99583</v>
      </c>
      <c r="E67" s="155" t="s">
        <v>9</v>
      </c>
      <c r="F67" s="155" t="s">
        <v>34</v>
      </c>
      <c r="G67" t="s">
        <v>117</v>
      </c>
      <c r="H67" s="155" t="s">
        <v>47</v>
      </c>
      <c r="I67" s="155" t="s">
        <v>32</v>
      </c>
      <c r="J67" s="13">
        <v>1461</v>
      </c>
      <c r="K67" s="155" t="s">
        <v>11</v>
      </c>
      <c r="L67" s="153">
        <v>0</v>
      </c>
      <c r="M67" s="155" t="s">
        <v>33</v>
      </c>
      <c r="N67" s="155" t="s">
        <v>33</v>
      </c>
      <c r="O67" s="153">
        <v>47</v>
      </c>
      <c r="P67" s="153" t="s">
        <v>14</v>
      </c>
      <c r="Q67" s="153">
        <v>13</v>
      </c>
      <c r="R67" s="153">
        <v>2</v>
      </c>
    </row>
    <row r="68" spans="1:18">
      <c r="A68" s="158">
        <v>46043</v>
      </c>
      <c r="B68" s="192">
        <v>125353</v>
      </c>
      <c r="C68" s="158">
        <v>46051</v>
      </c>
      <c r="D68" s="153">
        <v>99579</v>
      </c>
      <c r="E68" s="155" t="s">
        <v>9</v>
      </c>
      <c r="F68" s="155" t="s">
        <v>34</v>
      </c>
      <c r="G68" t="s">
        <v>118</v>
      </c>
      <c r="H68" s="155" t="s">
        <v>58</v>
      </c>
      <c r="I68" s="155" t="s">
        <v>40</v>
      </c>
      <c r="J68" s="13">
        <f>539+181</f>
        <v>720</v>
      </c>
      <c r="K68" s="155" t="s">
        <v>10</v>
      </c>
      <c r="L68" s="153">
        <v>1</v>
      </c>
      <c r="M68" s="155" t="s">
        <v>33</v>
      </c>
      <c r="N68" s="155" t="s">
        <v>33</v>
      </c>
      <c r="O68" s="153">
        <v>6</v>
      </c>
      <c r="P68" s="153" t="s">
        <v>8</v>
      </c>
      <c r="Q68" s="153">
        <v>10</v>
      </c>
      <c r="R68" s="153">
        <v>2</v>
      </c>
    </row>
    <row r="69" spans="1:18">
      <c r="A69" s="158">
        <v>46050</v>
      </c>
      <c r="B69" s="192">
        <v>126632</v>
      </c>
      <c r="C69" s="158">
        <v>46051</v>
      </c>
      <c r="D69" s="153">
        <v>99569</v>
      </c>
      <c r="E69" s="155" t="s">
        <v>9</v>
      </c>
      <c r="F69" s="155" t="s">
        <v>34</v>
      </c>
      <c r="G69" t="s">
        <v>119</v>
      </c>
      <c r="H69" s="155" t="s">
        <v>69</v>
      </c>
      <c r="I69" s="155" t="s">
        <v>40</v>
      </c>
      <c r="J69" s="13">
        <f>195+346</f>
        <v>541</v>
      </c>
      <c r="K69" s="155" t="s">
        <v>10</v>
      </c>
      <c r="L69" s="153">
        <v>0</v>
      </c>
      <c r="M69" s="155" t="s">
        <v>33</v>
      </c>
      <c r="N69" s="155" t="s">
        <v>33</v>
      </c>
      <c r="O69" s="153">
        <v>1</v>
      </c>
      <c r="P69" s="153" t="s">
        <v>8</v>
      </c>
      <c r="Q69" s="153">
        <v>10</v>
      </c>
      <c r="R69" s="153">
        <v>3</v>
      </c>
    </row>
    <row r="70" spans="1:18">
      <c r="A70" s="158">
        <v>46050</v>
      </c>
      <c r="B70" s="192">
        <v>127159</v>
      </c>
      <c r="C70" s="158">
        <v>46051</v>
      </c>
      <c r="D70" s="153">
        <v>99549</v>
      </c>
      <c r="E70" s="155" t="s">
        <v>9</v>
      </c>
      <c r="F70" s="155" t="s">
        <v>34</v>
      </c>
      <c r="G70" t="s">
        <v>120</v>
      </c>
      <c r="H70" s="155" t="s">
        <v>64</v>
      </c>
      <c r="I70" s="155" t="s">
        <v>40</v>
      </c>
      <c r="J70" s="13">
        <v>166</v>
      </c>
      <c r="K70" s="155" t="s">
        <v>10</v>
      </c>
      <c r="L70" s="153">
        <v>0</v>
      </c>
      <c r="M70" s="155" t="s">
        <v>33</v>
      </c>
      <c r="N70" s="155" t="s">
        <v>33</v>
      </c>
      <c r="O70" s="153">
        <v>1</v>
      </c>
      <c r="P70" s="153" t="s">
        <v>14</v>
      </c>
      <c r="Q70" s="153">
        <v>8</v>
      </c>
      <c r="R70" s="153">
        <v>3</v>
      </c>
    </row>
    <row r="71" spans="1:18">
      <c r="A71" s="158">
        <v>46051</v>
      </c>
      <c r="B71" s="192">
        <v>127220</v>
      </c>
      <c r="C71" s="158">
        <v>46051</v>
      </c>
      <c r="D71" s="153">
        <v>99547</v>
      </c>
      <c r="E71" s="155" t="s">
        <v>16</v>
      </c>
      <c r="F71" s="155" t="s">
        <v>30</v>
      </c>
      <c r="G71" t="s">
        <v>121</v>
      </c>
      <c r="H71" s="155" t="s">
        <v>66</v>
      </c>
      <c r="I71" s="155" t="s">
        <v>43</v>
      </c>
      <c r="J71" s="13">
        <v>67</v>
      </c>
      <c r="K71" s="155" t="s">
        <v>10</v>
      </c>
      <c r="L71" s="153">
        <v>0</v>
      </c>
      <c r="M71" s="155" t="s">
        <v>33</v>
      </c>
      <c r="N71" s="155" t="s">
        <v>33</v>
      </c>
      <c r="O71" s="153">
        <v>0</v>
      </c>
      <c r="P71" s="153" t="s">
        <v>36</v>
      </c>
      <c r="Q71" s="153">
        <v>0</v>
      </c>
      <c r="R71" s="153">
        <v>3</v>
      </c>
    </row>
    <row r="72" spans="1:18">
      <c r="A72" s="158">
        <v>46051</v>
      </c>
      <c r="B72" s="192">
        <v>127206</v>
      </c>
      <c r="C72" s="158">
        <v>46051</v>
      </c>
      <c r="D72" s="153">
        <v>99545</v>
      </c>
      <c r="E72" s="155" t="s">
        <v>16</v>
      </c>
      <c r="F72" s="155" t="s">
        <v>34</v>
      </c>
      <c r="G72" t="s">
        <v>122</v>
      </c>
      <c r="H72" s="155" t="s">
        <v>56</v>
      </c>
      <c r="I72" s="155" t="s">
        <v>28</v>
      </c>
      <c r="J72" s="13">
        <v>23</v>
      </c>
      <c r="K72" s="155" t="s">
        <v>10</v>
      </c>
      <c r="L72" s="153">
        <v>0</v>
      </c>
      <c r="M72" s="155" t="s">
        <v>33</v>
      </c>
      <c r="N72" s="155" t="s">
        <v>33</v>
      </c>
      <c r="O72" s="153">
        <v>0</v>
      </c>
      <c r="P72" s="153" t="s">
        <v>36</v>
      </c>
      <c r="Q72" s="153">
        <v>0</v>
      </c>
      <c r="R72" s="153">
        <v>3</v>
      </c>
    </row>
    <row r="73" spans="1:18">
      <c r="A73" s="158">
        <v>45685</v>
      </c>
      <c r="B73" s="192">
        <v>127128</v>
      </c>
      <c r="C73" s="158">
        <v>45685</v>
      </c>
      <c r="D73" s="153">
        <v>99526</v>
      </c>
      <c r="E73" s="155" t="s">
        <v>18</v>
      </c>
      <c r="F73" s="155" t="s">
        <v>34</v>
      </c>
      <c r="G73" t="s">
        <v>123</v>
      </c>
      <c r="H73" s="155" t="s">
        <v>63</v>
      </c>
      <c r="I73" s="155" t="s">
        <v>32</v>
      </c>
      <c r="J73" s="13">
        <v>56</v>
      </c>
      <c r="K73" s="155" t="s">
        <v>10</v>
      </c>
      <c r="L73" s="153">
        <v>0</v>
      </c>
      <c r="M73" s="155" t="s">
        <v>33</v>
      </c>
      <c r="N73" s="155" t="s">
        <v>33</v>
      </c>
      <c r="O73" s="153">
        <v>0</v>
      </c>
      <c r="P73" s="153" t="s">
        <v>8</v>
      </c>
      <c r="Q73" s="153">
        <v>11.5</v>
      </c>
      <c r="R73" s="153">
        <v>2</v>
      </c>
    </row>
    <row r="74" spans="1:18">
      <c r="A74" s="158">
        <v>45866</v>
      </c>
      <c r="B74" s="192">
        <v>121260</v>
      </c>
      <c r="C74" s="158">
        <v>46050</v>
      </c>
      <c r="D74" s="153">
        <v>99525</v>
      </c>
      <c r="E74" s="155" t="s">
        <v>18</v>
      </c>
      <c r="F74" s="155" t="s">
        <v>34</v>
      </c>
      <c r="G74" t="s">
        <v>124</v>
      </c>
      <c r="H74" s="155" t="s">
        <v>44</v>
      </c>
      <c r="I74" s="155" t="s">
        <v>35</v>
      </c>
      <c r="J74" s="13">
        <f>1688+1152</f>
        <v>2840</v>
      </c>
      <c r="K74" s="155" t="s">
        <v>11</v>
      </c>
      <c r="L74" s="153">
        <v>2</v>
      </c>
      <c r="M74" s="155" t="s">
        <v>33</v>
      </c>
      <c r="N74" s="155" t="s">
        <v>33</v>
      </c>
      <c r="O74" s="153">
        <v>132</v>
      </c>
      <c r="P74" s="153" t="s">
        <v>14</v>
      </c>
      <c r="Q74" s="153">
        <v>40</v>
      </c>
      <c r="R74" s="153">
        <v>1</v>
      </c>
    </row>
    <row r="75" spans="1:18">
      <c r="A75" s="158">
        <v>46050</v>
      </c>
      <c r="B75" s="192">
        <v>127124</v>
      </c>
      <c r="C75" s="158">
        <v>46050</v>
      </c>
      <c r="D75" s="153">
        <v>99522</v>
      </c>
      <c r="E75" s="155" t="s">
        <v>18</v>
      </c>
      <c r="F75" s="155" t="s">
        <v>38</v>
      </c>
      <c r="G75" t="s">
        <v>125</v>
      </c>
      <c r="H75" s="155" t="s">
        <v>67</v>
      </c>
      <c r="I75" s="155" t="s">
        <v>43</v>
      </c>
      <c r="J75" s="13">
        <v>79</v>
      </c>
      <c r="K75" s="155" t="s">
        <v>10</v>
      </c>
      <c r="L75" s="153">
        <v>0</v>
      </c>
      <c r="M75" s="155" t="s">
        <v>33</v>
      </c>
      <c r="N75" s="155" t="s">
        <v>33</v>
      </c>
      <c r="O75" s="153">
        <v>0</v>
      </c>
      <c r="P75" s="153" t="s">
        <v>14</v>
      </c>
      <c r="Q75" s="153">
        <v>10</v>
      </c>
      <c r="R75" s="153">
        <v>3</v>
      </c>
    </row>
    <row r="76" spans="1:18">
      <c r="A76" s="158">
        <v>46050</v>
      </c>
      <c r="B76" s="192">
        <v>127099</v>
      </c>
      <c r="C76" s="158">
        <v>46050</v>
      </c>
      <c r="D76" s="153">
        <v>99521</v>
      </c>
      <c r="E76" s="155" t="s">
        <v>18</v>
      </c>
      <c r="F76" s="155" t="s">
        <v>30</v>
      </c>
      <c r="G76" t="s">
        <v>126</v>
      </c>
      <c r="H76" s="155" t="s">
        <v>67</v>
      </c>
      <c r="I76" s="155" t="s">
        <v>43</v>
      </c>
      <c r="J76" s="13">
        <v>155</v>
      </c>
      <c r="K76" s="155" t="s">
        <v>10</v>
      </c>
      <c r="L76" s="153">
        <v>0</v>
      </c>
      <c r="M76" s="155" t="s">
        <v>33</v>
      </c>
      <c r="N76" s="155" t="s">
        <v>33</v>
      </c>
      <c r="O76" s="153">
        <v>0</v>
      </c>
      <c r="P76" s="153" t="s">
        <v>14</v>
      </c>
      <c r="Q76" s="153">
        <v>10</v>
      </c>
      <c r="R76" s="153">
        <v>3</v>
      </c>
    </row>
    <row r="77" spans="1:18">
      <c r="A77" s="158">
        <v>46050</v>
      </c>
      <c r="B77" s="192">
        <v>127090</v>
      </c>
      <c r="C77" s="158">
        <v>46050</v>
      </c>
      <c r="D77" s="153">
        <v>99520</v>
      </c>
      <c r="E77" s="155" t="s">
        <v>16</v>
      </c>
      <c r="F77" s="155" t="s">
        <v>34</v>
      </c>
      <c r="G77" t="s">
        <v>127</v>
      </c>
      <c r="H77" s="155" t="s">
        <v>56</v>
      </c>
      <c r="I77" s="155" t="s">
        <v>28</v>
      </c>
      <c r="J77" s="13">
        <v>44</v>
      </c>
      <c r="K77" s="155" t="s">
        <v>10</v>
      </c>
      <c r="L77" s="153">
        <v>0</v>
      </c>
      <c r="M77" s="155" t="s">
        <v>33</v>
      </c>
      <c r="N77" s="155" t="s">
        <v>33</v>
      </c>
      <c r="O77" s="153">
        <v>0</v>
      </c>
      <c r="P77" s="153" t="s">
        <v>36</v>
      </c>
      <c r="Q77" s="153">
        <v>0</v>
      </c>
      <c r="R77" s="153">
        <v>3</v>
      </c>
    </row>
    <row r="78" spans="1:18">
      <c r="A78" s="158">
        <v>46049</v>
      </c>
      <c r="B78" s="192">
        <v>127080</v>
      </c>
      <c r="C78" s="158">
        <v>46049</v>
      </c>
      <c r="D78" s="153">
        <v>99513</v>
      </c>
      <c r="E78" s="155" t="s">
        <v>18</v>
      </c>
      <c r="F78" s="155" t="s">
        <v>30</v>
      </c>
      <c r="G78" t="s">
        <v>128</v>
      </c>
      <c r="H78" s="155" t="s">
        <v>67</v>
      </c>
      <c r="I78" s="155" t="s">
        <v>43</v>
      </c>
      <c r="J78" s="13">
        <v>73</v>
      </c>
      <c r="K78" s="155" t="s">
        <v>10</v>
      </c>
      <c r="L78" s="153">
        <v>0</v>
      </c>
      <c r="M78" s="155" t="s">
        <v>33</v>
      </c>
      <c r="N78" s="155" t="s">
        <v>33</v>
      </c>
      <c r="O78" s="153">
        <v>0</v>
      </c>
      <c r="P78" s="153" t="s">
        <v>14</v>
      </c>
      <c r="Q78" s="153">
        <v>10</v>
      </c>
      <c r="R78" s="153">
        <v>3</v>
      </c>
    </row>
    <row r="79" spans="1:18">
      <c r="A79" s="158">
        <v>46048</v>
      </c>
      <c r="B79" s="192">
        <v>127000</v>
      </c>
      <c r="C79" s="158">
        <v>46048</v>
      </c>
      <c r="D79" s="153">
        <v>99469</v>
      </c>
      <c r="E79" s="155" t="s">
        <v>16</v>
      </c>
      <c r="F79" s="155" t="s">
        <v>34</v>
      </c>
      <c r="G79" t="s">
        <v>129</v>
      </c>
      <c r="H79" s="155" t="s">
        <v>56</v>
      </c>
      <c r="I79" s="155" t="s">
        <v>28</v>
      </c>
      <c r="J79" s="13">
        <v>41</v>
      </c>
      <c r="K79" s="155" t="s">
        <v>10</v>
      </c>
      <c r="L79" s="153">
        <v>0</v>
      </c>
      <c r="M79" s="155" t="s">
        <v>33</v>
      </c>
      <c r="N79" s="155" t="s">
        <v>33</v>
      </c>
      <c r="O79" s="153">
        <v>0</v>
      </c>
      <c r="P79" s="153" t="s">
        <v>36</v>
      </c>
      <c r="Q79" s="153">
        <v>0</v>
      </c>
      <c r="R79" s="153">
        <v>3</v>
      </c>
    </row>
    <row r="80" spans="1:18">
      <c r="A80" s="158">
        <v>46048</v>
      </c>
      <c r="B80" s="192">
        <v>126990</v>
      </c>
      <c r="C80" s="158">
        <v>46048</v>
      </c>
      <c r="D80" s="153">
        <v>99464</v>
      </c>
      <c r="E80" s="155" t="s">
        <v>16</v>
      </c>
      <c r="F80" s="155" t="s">
        <v>34</v>
      </c>
      <c r="G80" t="s">
        <v>130</v>
      </c>
      <c r="H80" s="155" t="s">
        <v>56</v>
      </c>
      <c r="I80" s="155" t="s">
        <v>28</v>
      </c>
      <c r="J80" s="13"/>
      <c r="K80" s="155" t="s">
        <v>10</v>
      </c>
      <c r="L80" s="153">
        <v>0</v>
      </c>
      <c r="M80" s="155" t="s">
        <v>33</v>
      </c>
      <c r="N80" s="155" t="s">
        <v>33</v>
      </c>
      <c r="O80" s="153">
        <v>0</v>
      </c>
      <c r="P80" s="153" t="s">
        <v>36</v>
      </c>
      <c r="Q80" s="153">
        <v>0</v>
      </c>
      <c r="R80" s="153">
        <v>3</v>
      </c>
    </row>
    <row r="81" spans="1:18">
      <c r="A81" s="158">
        <v>46038</v>
      </c>
      <c r="B81" s="192">
        <v>126341</v>
      </c>
      <c r="C81" s="158">
        <v>46045</v>
      </c>
      <c r="D81" s="153">
        <v>99437</v>
      </c>
      <c r="E81" s="155" t="s">
        <v>9</v>
      </c>
      <c r="F81" s="155" t="s">
        <v>34</v>
      </c>
      <c r="G81" t="s">
        <v>131</v>
      </c>
      <c r="H81" s="155" t="s">
        <v>69</v>
      </c>
      <c r="I81" s="155" t="s">
        <v>40</v>
      </c>
      <c r="J81" s="13">
        <f>331+1326</f>
        <v>1657</v>
      </c>
      <c r="K81" s="155" t="s">
        <v>10</v>
      </c>
      <c r="L81" s="153">
        <v>2</v>
      </c>
      <c r="M81" s="155" t="s">
        <v>33</v>
      </c>
      <c r="N81" s="155" t="s">
        <v>33</v>
      </c>
      <c r="O81" s="153">
        <v>5</v>
      </c>
      <c r="P81" s="153" t="s">
        <v>8</v>
      </c>
      <c r="Q81" s="153">
        <v>10</v>
      </c>
      <c r="R81" s="153">
        <v>3</v>
      </c>
    </row>
    <row r="82" spans="1:18">
      <c r="A82" s="158">
        <v>45966</v>
      </c>
      <c r="B82" s="192">
        <v>124056</v>
      </c>
      <c r="C82" s="158">
        <v>46045</v>
      </c>
      <c r="D82" s="153">
        <v>99435</v>
      </c>
      <c r="E82" s="155" t="s">
        <v>9</v>
      </c>
      <c r="F82" s="155" t="s">
        <v>34</v>
      </c>
      <c r="G82" t="s">
        <v>132</v>
      </c>
      <c r="H82" s="155" t="s">
        <v>50</v>
      </c>
      <c r="I82" s="155" t="s">
        <v>32</v>
      </c>
      <c r="J82" s="13">
        <v>1027</v>
      </c>
      <c r="K82" s="155" t="s">
        <v>11</v>
      </c>
      <c r="L82" s="153">
        <v>1</v>
      </c>
      <c r="M82" s="155" t="s">
        <v>33</v>
      </c>
      <c r="N82" s="155" t="s">
        <v>33</v>
      </c>
      <c r="O82" s="153">
        <v>57</v>
      </c>
      <c r="P82" s="153" t="s">
        <v>14</v>
      </c>
      <c r="Q82" s="153">
        <v>13</v>
      </c>
      <c r="R82" s="153">
        <v>2</v>
      </c>
    </row>
    <row r="83" spans="1:18">
      <c r="A83" s="158">
        <v>46045</v>
      </c>
      <c r="B83" s="192">
        <v>122301</v>
      </c>
      <c r="C83" s="158">
        <v>46045</v>
      </c>
      <c r="D83" s="153">
        <v>99424</v>
      </c>
      <c r="E83" s="155" t="s">
        <v>18</v>
      </c>
      <c r="F83" s="155" t="s">
        <v>38</v>
      </c>
      <c r="G83" t="s">
        <v>133</v>
      </c>
      <c r="H83" s="155" t="s">
        <v>39</v>
      </c>
      <c r="I83" s="155" t="s">
        <v>43</v>
      </c>
      <c r="J83" s="13">
        <v>185</v>
      </c>
      <c r="K83" s="155" t="s">
        <v>10</v>
      </c>
      <c r="L83" s="153">
        <v>0</v>
      </c>
      <c r="M83" s="155" t="s">
        <v>33</v>
      </c>
      <c r="N83" s="155" t="s">
        <v>33</v>
      </c>
      <c r="O83" s="153">
        <v>0</v>
      </c>
      <c r="P83" s="153" t="s">
        <v>15</v>
      </c>
      <c r="Q83" s="153">
        <v>8</v>
      </c>
      <c r="R83" s="153">
        <v>3</v>
      </c>
    </row>
    <row r="84" spans="1:18">
      <c r="A84" s="158">
        <v>46027</v>
      </c>
      <c r="B84" s="192">
        <v>126087</v>
      </c>
      <c r="C84" s="158">
        <v>46044</v>
      </c>
      <c r="D84" s="153">
        <v>99414</v>
      </c>
      <c r="E84" s="155" t="s">
        <v>16</v>
      </c>
      <c r="F84" s="155" t="s">
        <v>30</v>
      </c>
      <c r="G84" t="s">
        <v>134</v>
      </c>
      <c r="H84" s="155" t="s">
        <v>67</v>
      </c>
      <c r="I84" s="155" t="s">
        <v>45</v>
      </c>
      <c r="J84" s="13">
        <v>654</v>
      </c>
      <c r="K84" s="155" t="s">
        <v>10</v>
      </c>
      <c r="L84" s="153">
        <v>0</v>
      </c>
      <c r="M84" s="155" t="s">
        <v>33</v>
      </c>
      <c r="N84" s="155" t="s">
        <v>33</v>
      </c>
      <c r="O84" s="153">
        <v>13</v>
      </c>
      <c r="P84" s="153" t="s">
        <v>14</v>
      </c>
      <c r="Q84" s="153">
        <v>3</v>
      </c>
      <c r="R84" s="153">
        <v>3</v>
      </c>
    </row>
    <row r="85" spans="1:18">
      <c r="A85" s="158">
        <v>46044</v>
      </c>
      <c r="B85" s="192">
        <v>126874</v>
      </c>
      <c r="C85" s="158">
        <v>46044</v>
      </c>
      <c r="D85" s="153">
        <v>99408</v>
      </c>
      <c r="E85" s="155" t="s">
        <v>18</v>
      </c>
      <c r="F85" s="155" t="s">
        <v>38</v>
      </c>
      <c r="G85" t="s">
        <v>135</v>
      </c>
      <c r="H85" s="155" t="s">
        <v>39</v>
      </c>
      <c r="I85" s="155" t="s">
        <v>45</v>
      </c>
      <c r="J85" s="13">
        <v>10</v>
      </c>
      <c r="K85" s="155" t="s">
        <v>10</v>
      </c>
      <c r="L85" s="153">
        <v>0</v>
      </c>
      <c r="M85" s="155" t="s">
        <v>33</v>
      </c>
      <c r="N85" s="155" t="s">
        <v>33</v>
      </c>
      <c r="O85" s="153">
        <v>0</v>
      </c>
      <c r="P85" s="153" t="s">
        <v>15</v>
      </c>
      <c r="Q85" s="153">
        <v>8</v>
      </c>
      <c r="R85" s="153">
        <v>3</v>
      </c>
    </row>
    <row r="86" spans="1:18">
      <c r="A86" s="158">
        <v>46044</v>
      </c>
      <c r="B86" s="192">
        <v>126872</v>
      </c>
      <c r="C86" s="158">
        <v>46044</v>
      </c>
      <c r="D86" s="153">
        <v>99407</v>
      </c>
      <c r="E86" s="155" t="s">
        <v>18</v>
      </c>
      <c r="F86" s="155" t="s">
        <v>38</v>
      </c>
      <c r="G86" t="s">
        <v>136</v>
      </c>
      <c r="H86" s="155" t="s">
        <v>39</v>
      </c>
      <c r="I86" s="155" t="s">
        <v>45</v>
      </c>
      <c r="J86" s="13">
        <v>10</v>
      </c>
      <c r="K86" s="155" t="s">
        <v>10</v>
      </c>
      <c r="L86" s="153">
        <v>0</v>
      </c>
      <c r="M86" s="155" t="s">
        <v>33</v>
      </c>
      <c r="N86" s="155" t="s">
        <v>33</v>
      </c>
      <c r="O86" s="153">
        <v>0</v>
      </c>
      <c r="P86" s="153" t="s">
        <v>15</v>
      </c>
      <c r="Q86" s="153">
        <v>8</v>
      </c>
      <c r="R86" s="153">
        <v>3</v>
      </c>
    </row>
    <row r="87" spans="1:18">
      <c r="A87" s="158">
        <v>45989</v>
      </c>
      <c r="B87" s="192">
        <v>124848</v>
      </c>
      <c r="C87" s="158">
        <v>46043</v>
      </c>
      <c r="D87" s="153">
        <v>99395</v>
      </c>
      <c r="E87" s="155" t="s">
        <v>9</v>
      </c>
      <c r="F87" s="155" t="s">
        <v>34</v>
      </c>
      <c r="G87" t="s">
        <v>137</v>
      </c>
      <c r="H87" s="155" t="s">
        <v>58</v>
      </c>
      <c r="I87" s="155" t="s">
        <v>35</v>
      </c>
      <c r="J87" s="13">
        <f>326+389</f>
        <v>715</v>
      </c>
      <c r="K87" s="155" t="s">
        <v>10</v>
      </c>
      <c r="L87" s="153">
        <v>2</v>
      </c>
      <c r="M87" s="155" t="s">
        <v>33</v>
      </c>
      <c r="N87" s="155" t="s">
        <v>33</v>
      </c>
      <c r="O87" s="153">
        <v>38</v>
      </c>
      <c r="P87" s="153" t="s">
        <v>8</v>
      </c>
      <c r="Q87" s="153">
        <v>10</v>
      </c>
      <c r="R87" s="153">
        <v>2</v>
      </c>
    </row>
    <row r="88" spans="1:18">
      <c r="A88" s="158">
        <v>46043</v>
      </c>
      <c r="B88" s="192">
        <v>105227</v>
      </c>
      <c r="C88" s="158">
        <v>46043</v>
      </c>
      <c r="D88" s="153">
        <v>99381</v>
      </c>
      <c r="E88" s="155" t="s">
        <v>18</v>
      </c>
      <c r="F88" s="155" t="s">
        <v>38</v>
      </c>
      <c r="G88" t="s">
        <v>138</v>
      </c>
      <c r="H88" s="155" t="s">
        <v>67</v>
      </c>
      <c r="I88" s="155" t="s">
        <v>43</v>
      </c>
      <c r="J88" s="13">
        <v>220</v>
      </c>
      <c r="K88" s="155" t="s">
        <v>10</v>
      </c>
      <c r="L88" s="153">
        <v>0</v>
      </c>
      <c r="M88" s="155" t="s">
        <v>33</v>
      </c>
      <c r="N88" s="155" t="s">
        <v>33</v>
      </c>
      <c r="O88" s="153">
        <v>0</v>
      </c>
      <c r="P88" s="153" t="s">
        <v>14</v>
      </c>
      <c r="Q88" s="153">
        <v>10</v>
      </c>
      <c r="R88" s="153">
        <v>3</v>
      </c>
    </row>
    <row r="89" spans="1:18">
      <c r="A89" s="158">
        <v>46043</v>
      </c>
      <c r="B89" s="192">
        <v>123595</v>
      </c>
      <c r="C89" s="158">
        <v>46043</v>
      </c>
      <c r="D89" s="153">
        <v>98140</v>
      </c>
      <c r="E89" s="155" t="s">
        <v>18</v>
      </c>
      <c r="F89" s="155" t="s">
        <v>38</v>
      </c>
      <c r="G89" t="s">
        <v>139</v>
      </c>
      <c r="H89" s="155" t="s">
        <v>66</v>
      </c>
      <c r="I89" s="155" t="s">
        <v>43</v>
      </c>
      <c r="J89" s="13">
        <v>10</v>
      </c>
      <c r="K89" s="155" t="s">
        <v>10</v>
      </c>
      <c r="L89" s="153" t="s">
        <v>140</v>
      </c>
      <c r="M89" s="155" t="s">
        <v>33</v>
      </c>
      <c r="N89" s="155"/>
      <c r="O89" s="153">
        <v>0</v>
      </c>
      <c r="P89" s="153" t="s">
        <v>36</v>
      </c>
      <c r="Q89" s="153">
        <v>0</v>
      </c>
      <c r="R89" s="153">
        <v>3</v>
      </c>
    </row>
    <row r="90" spans="1:18">
      <c r="A90" s="158">
        <v>46037</v>
      </c>
      <c r="B90" s="192">
        <v>126542</v>
      </c>
      <c r="C90" s="158">
        <v>46043</v>
      </c>
      <c r="D90" s="153">
        <v>99367</v>
      </c>
      <c r="E90" s="155" t="s">
        <v>16</v>
      </c>
      <c r="F90" s="155" t="s">
        <v>38</v>
      </c>
      <c r="G90" t="s">
        <v>141</v>
      </c>
      <c r="H90" s="155" t="s">
        <v>67</v>
      </c>
      <c r="I90" s="155" t="s">
        <v>45</v>
      </c>
      <c r="J90" s="13">
        <v>368</v>
      </c>
      <c r="K90" s="155" t="s">
        <v>10</v>
      </c>
      <c r="L90" s="153">
        <v>1</v>
      </c>
      <c r="M90" s="155" t="s">
        <v>33</v>
      </c>
      <c r="N90" s="155" t="s">
        <v>33</v>
      </c>
      <c r="O90" s="153">
        <v>4</v>
      </c>
      <c r="P90" s="153" t="s">
        <v>14</v>
      </c>
      <c r="Q90" s="153">
        <v>3</v>
      </c>
      <c r="R90" s="153">
        <v>3</v>
      </c>
    </row>
    <row r="91" spans="1:18">
      <c r="A91" s="158">
        <v>46043</v>
      </c>
      <c r="B91" s="192">
        <v>126784</v>
      </c>
      <c r="C91" s="158">
        <v>46043</v>
      </c>
      <c r="D91" s="153">
        <v>99364</v>
      </c>
      <c r="E91" s="155" t="s">
        <v>9</v>
      </c>
      <c r="F91" s="155" t="s">
        <v>34</v>
      </c>
      <c r="G91" t="s">
        <v>142</v>
      </c>
      <c r="H91" s="155" t="s">
        <v>50</v>
      </c>
      <c r="I91" s="155" t="s">
        <v>40</v>
      </c>
      <c r="J91" s="13">
        <v>71</v>
      </c>
      <c r="K91" s="155" t="s">
        <v>10</v>
      </c>
      <c r="L91" s="153">
        <v>0</v>
      </c>
      <c r="M91" s="155" t="s">
        <v>33</v>
      </c>
      <c r="N91" s="155" t="s">
        <v>33</v>
      </c>
      <c r="O91" s="153">
        <v>0</v>
      </c>
      <c r="P91" s="153" t="s">
        <v>14</v>
      </c>
      <c r="Q91" s="153">
        <v>8</v>
      </c>
      <c r="R91" s="153">
        <v>2</v>
      </c>
    </row>
    <row r="92" spans="1:18">
      <c r="A92" s="158">
        <v>46035</v>
      </c>
      <c r="B92" s="192">
        <v>125709</v>
      </c>
      <c r="C92" s="158">
        <v>46042</v>
      </c>
      <c r="D92" s="153">
        <v>99340</v>
      </c>
      <c r="E92" s="155" t="s">
        <v>9</v>
      </c>
      <c r="F92" s="155" t="s">
        <v>34</v>
      </c>
      <c r="G92" t="s">
        <v>143</v>
      </c>
      <c r="H92" s="155" t="s">
        <v>52</v>
      </c>
      <c r="I92" s="155" t="s">
        <v>40</v>
      </c>
      <c r="J92" s="13">
        <f>637+491</f>
        <v>1128</v>
      </c>
      <c r="K92" s="155" t="s">
        <v>10</v>
      </c>
      <c r="L92" s="153">
        <v>2</v>
      </c>
      <c r="M92" s="155" t="s">
        <v>33</v>
      </c>
      <c r="N92" s="155" t="s">
        <v>33</v>
      </c>
      <c r="O92" s="153">
        <v>5</v>
      </c>
      <c r="P92" s="153" t="s">
        <v>8</v>
      </c>
      <c r="Q92" s="153">
        <v>10</v>
      </c>
      <c r="R92" s="153">
        <v>2</v>
      </c>
    </row>
    <row r="93" spans="1:18">
      <c r="A93" s="158">
        <v>46041</v>
      </c>
      <c r="B93" s="192">
        <v>126460</v>
      </c>
      <c r="C93" s="158">
        <v>46042</v>
      </c>
      <c r="D93" s="153">
        <v>99330</v>
      </c>
      <c r="E93" s="155" t="s">
        <v>9</v>
      </c>
      <c r="F93" s="155" t="s">
        <v>34</v>
      </c>
      <c r="G93" t="s">
        <v>144</v>
      </c>
      <c r="H93" s="155" t="s">
        <v>50</v>
      </c>
      <c r="I93" s="155" t="s">
        <v>40</v>
      </c>
      <c r="J93" s="13">
        <f>788+311</f>
        <v>1099</v>
      </c>
      <c r="K93" s="155" t="s">
        <v>10</v>
      </c>
      <c r="L93" s="153">
        <v>2</v>
      </c>
      <c r="M93" s="155" t="s">
        <v>33</v>
      </c>
      <c r="N93" s="155" t="s">
        <v>33</v>
      </c>
      <c r="O93" s="153">
        <v>1</v>
      </c>
      <c r="P93" s="153" t="s">
        <v>14</v>
      </c>
      <c r="Q93" s="153">
        <v>8</v>
      </c>
      <c r="R93" s="153">
        <v>2</v>
      </c>
    </row>
    <row r="94" spans="1:18">
      <c r="A94" s="158">
        <v>45989</v>
      </c>
      <c r="B94" s="192">
        <v>124865</v>
      </c>
      <c r="C94" s="158">
        <v>46042</v>
      </c>
      <c r="D94" s="153">
        <v>99351</v>
      </c>
      <c r="E94" s="155" t="s">
        <v>17</v>
      </c>
      <c r="F94" s="155" t="s">
        <v>34</v>
      </c>
      <c r="G94" s="136" t="s">
        <v>145</v>
      </c>
      <c r="H94" s="155" t="s">
        <v>31</v>
      </c>
      <c r="I94" s="155" t="s">
        <v>35</v>
      </c>
      <c r="J94" s="13">
        <f>361+1794</f>
        <v>2155</v>
      </c>
      <c r="K94" s="155" t="s">
        <v>11</v>
      </c>
      <c r="L94" s="153">
        <v>1</v>
      </c>
      <c r="M94" s="155" t="s">
        <v>29</v>
      </c>
      <c r="N94" s="155" t="s">
        <v>33</v>
      </c>
      <c r="O94" s="153">
        <v>37</v>
      </c>
      <c r="P94" s="153" t="s">
        <v>14</v>
      </c>
      <c r="Q94" s="153">
        <v>26</v>
      </c>
      <c r="R94" s="153">
        <v>3</v>
      </c>
    </row>
    <row r="95" spans="1:18">
      <c r="A95" s="158">
        <v>45677</v>
      </c>
      <c r="B95" s="192">
        <v>126772</v>
      </c>
      <c r="C95" s="158">
        <v>46042</v>
      </c>
      <c r="D95" s="153">
        <v>99349</v>
      </c>
      <c r="E95" s="155" t="s">
        <v>18</v>
      </c>
      <c r="F95" s="155" t="s">
        <v>34</v>
      </c>
      <c r="G95" s="136" t="s">
        <v>135</v>
      </c>
      <c r="H95" s="155" t="s">
        <v>35</v>
      </c>
      <c r="I95" s="155" t="s">
        <v>35</v>
      </c>
      <c r="J95" s="13">
        <v>10</v>
      </c>
      <c r="K95" s="155" t="s">
        <v>10</v>
      </c>
      <c r="L95" s="153">
        <v>0</v>
      </c>
      <c r="M95" s="155" t="s">
        <v>33</v>
      </c>
      <c r="N95" s="155" t="s">
        <v>33</v>
      </c>
      <c r="O95" s="153">
        <v>0</v>
      </c>
      <c r="P95" s="153" t="s">
        <v>36</v>
      </c>
      <c r="Q95" s="153">
        <v>0</v>
      </c>
      <c r="R95" s="153">
        <v>1</v>
      </c>
    </row>
    <row r="96" spans="1:18">
      <c r="A96" s="158">
        <v>46042</v>
      </c>
      <c r="B96" s="192">
        <v>122135</v>
      </c>
      <c r="C96" s="158">
        <v>46042</v>
      </c>
      <c r="D96" s="153">
        <v>99348</v>
      </c>
      <c r="E96" s="155" t="s">
        <v>18</v>
      </c>
      <c r="F96" s="155" t="s">
        <v>38</v>
      </c>
      <c r="G96" s="136" t="s">
        <v>146</v>
      </c>
      <c r="H96" s="155" t="s">
        <v>67</v>
      </c>
      <c r="I96" s="155" t="s">
        <v>43</v>
      </c>
      <c r="J96" s="13">
        <v>375</v>
      </c>
      <c r="K96" s="155" t="s">
        <v>10</v>
      </c>
      <c r="L96" s="153">
        <v>1</v>
      </c>
      <c r="M96" s="155" t="s">
        <v>33</v>
      </c>
      <c r="N96" s="155" t="s">
        <v>33</v>
      </c>
      <c r="O96" s="153">
        <v>0</v>
      </c>
      <c r="P96" s="153" t="s">
        <v>14</v>
      </c>
      <c r="Q96" s="153">
        <v>10</v>
      </c>
      <c r="R96" s="153">
        <v>3</v>
      </c>
    </row>
    <row r="97" spans="1:18">
      <c r="A97" s="158">
        <v>46042</v>
      </c>
      <c r="B97" s="192">
        <v>125356</v>
      </c>
      <c r="C97" s="158">
        <v>46042</v>
      </c>
      <c r="D97" s="153">
        <v>99343</v>
      </c>
      <c r="E97" s="155" t="s">
        <v>18</v>
      </c>
      <c r="F97" s="155" t="s">
        <v>38</v>
      </c>
      <c r="G97" s="136" t="s">
        <v>147</v>
      </c>
      <c r="H97" s="155" t="s">
        <v>67</v>
      </c>
      <c r="I97" s="155" t="s">
        <v>43</v>
      </c>
      <c r="J97" s="13">
        <v>325</v>
      </c>
      <c r="K97" s="155" t="s">
        <v>10</v>
      </c>
      <c r="L97" s="153">
        <v>2</v>
      </c>
      <c r="M97" s="155" t="s">
        <v>33</v>
      </c>
      <c r="N97" s="155" t="s">
        <v>33</v>
      </c>
      <c r="O97" s="153">
        <v>0</v>
      </c>
      <c r="P97" s="153" t="s">
        <v>14</v>
      </c>
      <c r="Q97" s="153">
        <v>10</v>
      </c>
      <c r="R97" s="153">
        <v>3</v>
      </c>
    </row>
    <row r="98" spans="1:18">
      <c r="A98" s="158">
        <v>46029</v>
      </c>
      <c r="B98" s="192">
        <v>126096</v>
      </c>
      <c r="C98" s="158">
        <v>46041</v>
      </c>
      <c r="D98" s="153">
        <v>99324</v>
      </c>
      <c r="E98" s="155" t="s">
        <v>18</v>
      </c>
      <c r="F98" s="155" t="s">
        <v>34</v>
      </c>
      <c r="G98" s="136" t="s">
        <v>148</v>
      </c>
      <c r="H98" s="155" t="s">
        <v>58</v>
      </c>
      <c r="I98" s="155" t="s">
        <v>32</v>
      </c>
      <c r="J98" s="13">
        <v>965</v>
      </c>
      <c r="K98" s="155" t="s">
        <v>10</v>
      </c>
      <c r="L98" s="153">
        <v>1</v>
      </c>
      <c r="M98" s="155" t="s">
        <v>29</v>
      </c>
      <c r="N98" s="155" t="s">
        <v>33</v>
      </c>
      <c r="O98" s="153">
        <v>8</v>
      </c>
      <c r="P98" s="153" t="s">
        <v>8</v>
      </c>
      <c r="Q98" s="153">
        <v>11.5</v>
      </c>
      <c r="R98" s="153">
        <v>2</v>
      </c>
    </row>
    <row r="99" spans="1:18">
      <c r="A99" s="158">
        <v>46041</v>
      </c>
      <c r="B99" s="163">
        <v>126692</v>
      </c>
      <c r="C99" s="158">
        <v>46041</v>
      </c>
      <c r="D99" s="153">
        <v>99310</v>
      </c>
      <c r="E99" s="155" t="s">
        <v>16</v>
      </c>
      <c r="F99" s="155" t="s">
        <v>38</v>
      </c>
      <c r="G99" s="168" t="s">
        <v>149</v>
      </c>
      <c r="H99" s="155" t="s">
        <v>66</v>
      </c>
      <c r="I99" s="155" t="s">
        <v>43</v>
      </c>
      <c r="J99" s="13">
        <v>10</v>
      </c>
      <c r="K99" s="155" t="s">
        <v>10</v>
      </c>
      <c r="L99" s="153">
        <v>0</v>
      </c>
      <c r="M99" s="155" t="s">
        <v>33</v>
      </c>
      <c r="N99" s="155" t="s">
        <v>33</v>
      </c>
      <c r="O99" s="153">
        <v>0</v>
      </c>
      <c r="P99" s="153" t="s">
        <v>36</v>
      </c>
      <c r="Q99" s="153">
        <v>0</v>
      </c>
      <c r="R99" s="153">
        <v>3</v>
      </c>
    </row>
    <row r="100" spans="1:18">
      <c r="A100" s="158">
        <v>46030</v>
      </c>
      <c r="B100" s="163">
        <v>126254</v>
      </c>
      <c r="C100" s="158">
        <v>46041</v>
      </c>
      <c r="D100" s="153">
        <v>99289</v>
      </c>
      <c r="E100" s="155" t="s">
        <v>16</v>
      </c>
      <c r="F100" s="155" t="s">
        <v>38</v>
      </c>
      <c r="G100" s="168" t="s">
        <v>150</v>
      </c>
      <c r="H100" s="155" t="s">
        <v>67</v>
      </c>
      <c r="I100" s="155" t="s">
        <v>45</v>
      </c>
      <c r="J100" s="13">
        <v>138</v>
      </c>
      <c r="K100" s="155" t="s">
        <v>10</v>
      </c>
      <c r="L100" s="153">
        <v>1</v>
      </c>
      <c r="M100" s="155" t="s">
        <v>33</v>
      </c>
      <c r="N100" s="155" t="s">
        <v>33</v>
      </c>
      <c r="O100" s="153">
        <v>7</v>
      </c>
      <c r="P100" s="153" t="s">
        <v>14</v>
      </c>
      <c r="Q100" s="153">
        <v>3</v>
      </c>
      <c r="R100" s="153">
        <v>3</v>
      </c>
    </row>
    <row r="101" spans="1:18">
      <c r="A101" s="158">
        <v>46041</v>
      </c>
      <c r="B101" s="163">
        <v>126622</v>
      </c>
      <c r="C101" s="158">
        <v>46041</v>
      </c>
      <c r="D101" s="153">
        <v>99285</v>
      </c>
      <c r="E101" s="155" t="s">
        <v>18</v>
      </c>
      <c r="F101" s="155" t="s">
        <v>34</v>
      </c>
      <c r="G101" s="168" t="s">
        <v>151</v>
      </c>
      <c r="H101" s="155" t="s">
        <v>35</v>
      </c>
      <c r="I101" s="155" t="s">
        <v>35</v>
      </c>
      <c r="J101" s="13">
        <v>10</v>
      </c>
      <c r="K101" s="155" t="s">
        <v>10</v>
      </c>
      <c r="L101" s="153">
        <v>0</v>
      </c>
      <c r="M101" s="155" t="s">
        <v>33</v>
      </c>
      <c r="N101" s="155" t="s">
        <v>33</v>
      </c>
      <c r="O101" s="153">
        <v>0</v>
      </c>
      <c r="P101" s="153" t="s">
        <v>36</v>
      </c>
      <c r="Q101" s="153">
        <v>0</v>
      </c>
      <c r="R101" s="153">
        <v>1</v>
      </c>
    </row>
    <row r="102" spans="1:18">
      <c r="A102" s="158">
        <v>46034</v>
      </c>
      <c r="B102" s="163">
        <v>125812</v>
      </c>
      <c r="C102" s="158">
        <v>46038</v>
      </c>
      <c r="D102" s="153">
        <v>99257</v>
      </c>
      <c r="E102" s="155" t="s">
        <v>18</v>
      </c>
      <c r="F102" s="155" t="s">
        <v>34</v>
      </c>
      <c r="G102" s="168" t="s">
        <v>152</v>
      </c>
      <c r="H102" s="155" t="s">
        <v>64</v>
      </c>
      <c r="I102" s="155" t="s">
        <v>37</v>
      </c>
      <c r="J102" s="13">
        <v>1568</v>
      </c>
      <c r="K102" s="155" t="s">
        <v>11</v>
      </c>
      <c r="L102" s="153">
        <v>1</v>
      </c>
      <c r="M102" s="155" t="s">
        <v>33</v>
      </c>
      <c r="N102" s="155" t="s">
        <v>33</v>
      </c>
      <c r="O102" s="153">
        <v>4</v>
      </c>
      <c r="P102" s="153" t="s">
        <v>14</v>
      </c>
      <c r="Q102" s="153">
        <v>20</v>
      </c>
      <c r="R102" s="153">
        <v>3</v>
      </c>
    </row>
    <row r="103" spans="1:18">
      <c r="A103" s="158">
        <v>45421</v>
      </c>
      <c r="B103" s="163">
        <v>109366</v>
      </c>
      <c r="C103" s="158">
        <v>46038</v>
      </c>
      <c r="D103" s="153">
        <v>99255</v>
      </c>
      <c r="E103" s="155" t="s">
        <v>17</v>
      </c>
      <c r="F103" s="155" t="s">
        <v>34</v>
      </c>
      <c r="G103" t="s">
        <v>153</v>
      </c>
      <c r="H103" s="155" t="s">
        <v>61</v>
      </c>
      <c r="I103" s="155" t="s">
        <v>35</v>
      </c>
      <c r="J103" s="13">
        <f>818+2786</f>
        <v>3604</v>
      </c>
      <c r="K103" s="155" t="s">
        <v>11</v>
      </c>
      <c r="L103" s="153">
        <v>3</v>
      </c>
      <c r="M103" s="155" t="s">
        <v>33</v>
      </c>
      <c r="N103" s="155" t="s">
        <v>33</v>
      </c>
      <c r="O103" s="153">
        <v>441</v>
      </c>
      <c r="P103" s="153" t="s">
        <v>8</v>
      </c>
      <c r="Q103" s="153">
        <v>40</v>
      </c>
      <c r="R103" s="153">
        <v>2</v>
      </c>
    </row>
    <row r="104" spans="1:18">
      <c r="A104" s="158">
        <v>46038</v>
      </c>
      <c r="B104" s="163">
        <v>126575</v>
      </c>
      <c r="C104" s="158">
        <v>46038</v>
      </c>
      <c r="D104" s="153">
        <v>99251</v>
      </c>
      <c r="E104" s="155" t="s">
        <v>18</v>
      </c>
      <c r="F104" s="155" t="s">
        <v>38</v>
      </c>
      <c r="G104" t="s">
        <v>154</v>
      </c>
      <c r="H104" s="155" t="s">
        <v>66</v>
      </c>
      <c r="I104" s="155" t="s">
        <v>43</v>
      </c>
      <c r="J104" s="13">
        <v>30</v>
      </c>
      <c r="K104" s="155" t="s">
        <v>10</v>
      </c>
      <c r="L104" s="153">
        <v>0</v>
      </c>
      <c r="M104" s="155" t="s">
        <v>33</v>
      </c>
      <c r="N104" s="155" t="s">
        <v>33</v>
      </c>
      <c r="O104" s="153">
        <v>0</v>
      </c>
      <c r="P104" s="153" t="s">
        <v>36</v>
      </c>
      <c r="Q104" s="153">
        <v>0</v>
      </c>
      <c r="R104" s="153">
        <v>3</v>
      </c>
    </row>
    <row r="105" spans="1:18">
      <c r="A105" s="158">
        <v>46036</v>
      </c>
      <c r="B105" s="163">
        <v>125623</v>
      </c>
      <c r="C105" s="158">
        <v>46038</v>
      </c>
      <c r="D105" s="153">
        <v>99250</v>
      </c>
      <c r="E105" s="155" t="s">
        <v>9</v>
      </c>
      <c r="F105" s="155" t="s">
        <v>34</v>
      </c>
      <c r="G105" t="s">
        <v>155</v>
      </c>
      <c r="H105" s="155" t="s">
        <v>69</v>
      </c>
      <c r="I105" s="155" t="s">
        <v>40</v>
      </c>
      <c r="J105" s="13">
        <f>103+311</f>
        <v>414</v>
      </c>
      <c r="K105" s="155" t="s">
        <v>10</v>
      </c>
      <c r="L105" s="153">
        <v>0</v>
      </c>
      <c r="M105" s="155" t="s">
        <v>33</v>
      </c>
      <c r="N105" s="155" t="s">
        <v>33</v>
      </c>
      <c r="O105" s="153">
        <v>2</v>
      </c>
      <c r="P105" s="153" t="s">
        <v>8</v>
      </c>
      <c r="Q105" s="153">
        <v>10</v>
      </c>
      <c r="R105" s="153">
        <v>3</v>
      </c>
    </row>
    <row r="106" spans="1:18">
      <c r="A106" s="158">
        <v>45971</v>
      </c>
      <c r="B106" s="163">
        <v>123961</v>
      </c>
      <c r="C106" s="158">
        <v>46037</v>
      </c>
      <c r="D106" s="153">
        <v>99235</v>
      </c>
      <c r="E106" s="155" t="s">
        <v>18</v>
      </c>
      <c r="F106" s="155" t="s">
        <v>38</v>
      </c>
      <c r="G106" t="s">
        <v>156</v>
      </c>
      <c r="H106" s="155" t="s">
        <v>58</v>
      </c>
      <c r="I106" s="155" t="s">
        <v>40</v>
      </c>
      <c r="J106" s="13">
        <f>88+148</f>
        <v>236</v>
      </c>
      <c r="K106" s="155" t="s">
        <v>10</v>
      </c>
      <c r="L106" s="153">
        <v>1</v>
      </c>
      <c r="M106" s="155" t="s">
        <v>33</v>
      </c>
      <c r="N106" s="155" t="s">
        <v>33</v>
      </c>
      <c r="O106" s="153">
        <v>48</v>
      </c>
      <c r="P106" s="153" t="s">
        <v>8</v>
      </c>
      <c r="Q106" s="153">
        <v>11.5</v>
      </c>
      <c r="R106" s="153">
        <v>2</v>
      </c>
    </row>
    <row r="107" spans="1:18">
      <c r="A107" s="158">
        <v>45953</v>
      </c>
      <c r="B107" s="163">
        <v>123546</v>
      </c>
      <c r="C107" s="158">
        <v>46037</v>
      </c>
      <c r="D107" s="153">
        <v>99234</v>
      </c>
      <c r="E107" s="155" t="s">
        <v>9</v>
      </c>
      <c r="F107" s="155" t="s">
        <v>34</v>
      </c>
      <c r="G107" t="s">
        <v>157</v>
      </c>
      <c r="H107" s="155" t="s">
        <v>58</v>
      </c>
      <c r="I107" s="155" t="s">
        <v>40</v>
      </c>
      <c r="J107" s="13">
        <f>359+816</f>
        <v>1175</v>
      </c>
      <c r="K107" s="155" t="s">
        <v>10</v>
      </c>
      <c r="L107" s="153">
        <v>2</v>
      </c>
      <c r="M107" s="155" t="s">
        <v>33</v>
      </c>
      <c r="N107" s="155" t="s">
        <v>29</v>
      </c>
      <c r="O107" s="153">
        <v>60</v>
      </c>
      <c r="P107" s="153" t="s">
        <v>8</v>
      </c>
      <c r="Q107" s="153">
        <v>10</v>
      </c>
      <c r="R107" s="153">
        <v>2</v>
      </c>
    </row>
    <row r="108" spans="1:18">
      <c r="A108" s="158">
        <v>46030</v>
      </c>
      <c r="B108" s="163">
        <v>125927</v>
      </c>
      <c r="C108" s="158">
        <v>46037</v>
      </c>
      <c r="D108" s="153">
        <v>99223</v>
      </c>
      <c r="E108" s="155" t="s">
        <v>9</v>
      </c>
      <c r="F108" s="155" t="s">
        <v>34</v>
      </c>
      <c r="G108" s="168" t="s">
        <v>158</v>
      </c>
      <c r="H108" s="155" t="s">
        <v>57</v>
      </c>
      <c r="I108" s="155" t="s">
        <v>37</v>
      </c>
      <c r="J108" s="13">
        <v>2990</v>
      </c>
      <c r="K108" s="155" t="s">
        <v>11</v>
      </c>
      <c r="L108" s="153">
        <v>2</v>
      </c>
      <c r="M108" s="155" t="s">
        <v>29</v>
      </c>
      <c r="N108" s="155" t="s">
        <v>33</v>
      </c>
      <c r="O108" s="153">
        <v>5</v>
      </c>
      <c r="P108" s="153" t="s">
        <v>14</v>
      </c>
      <c r="Q108" s="153">
        <v>13</v>
      </c>
      <c r="R108" s="153">
        <v>3</v>
      </c>
    </row>
    <row r="109" spans="1:18">
      <c r="A109" s="158">
        <v>45925</v>
      </c>
      <c r="B109" s="163">
        <v>122917</v>
      </c>
      <c r="C109" s="158">
        <v>46037</v>
      </c>
      <c r="D109" s="153">
        <v>99216</v>
      </c>
      <c r="E109" s="155" t="s">
        <v>9</v>
      </c>
      <c r="F109" s="155" t="s">
        <v>34</v>
      </c>
      <c r="G109" t="s">
        <v>159</v>
      </c>
      <c r="H109" s="155" t="s">
        <v>52</v>
      </c>
      <c r="I109" s="155" t="s">
        <v>32</v>
      </c>
      <c r="J109" s="13">
        <v>2528</v>
      </c>
      <c r="K109" s="155" t="s">
        <v>11</v>
      </c>
      <c r="L109" s="153">
        <v>3</v>
      </c>
      <c r="M109" s="155" t="s">
        <v>29</v>
      </c>
      <c r="N109" s="155" t="s">
        <v>33</v>
      </c>
      <c r="O109" s="153">
        <v>80</v>
      </c>
      <c r="P109" s="153" t="s">
        <v>8</v>
      </c>
      <c r="Q109" s="153">
        <v>20</v>
      </c>
      <c r="R109" s="153">
        <v>2</v>
      </c>
    </row>
    <row r="110" spans="1:18">
      <c r="A110" s="158">
        <v>46036</v>
      </c>
      <c r="B110" s="163">
        <v>126498</v>
      </c>
      <c r="C110" s="158">
        <v>46037</v>
      </c>
      <c r="D110" s="153">
        <v>99214</v>
      </c>
      <c r="E110" s="155" t="s">
        <v>16</v>
      </c>
      <c r="F110" s="155" t="s">
        <v>38</v>
      </c>
      <c r="G110" t="s">
        <v>160</v>
      </c>
      <c r="H110" s="155" t="s">
        <v>67</v>
      </c>
      <c r="I110" s="155" t="s">
        <v>45</v>
      </c>
      <c r="J110" s="13">
        <v>92</v>
      </c>
      <c r="K110" s="155" t="s">
        <v>10</v>
      </c>
      <c r="L110" s="153">
        <v>0</v>
      </c>
      <c r="M110" s="155" t="s">
        <v>33</v>
      </c>
      <c r="N110" s="155" t="s">
        <v>33</v>
      </c>
      <c r="O110" s="153">
        <v>1</v>
      </c>
      <c r="P110" s="153" t="s">
        <v>14</v>
      </c>
      <c r="Q110" s="153">
        <v>3</v>
      </c>
      <c r="R110" s="153">
        <v>3</v>
      </c>
    </row>
    <row r="111" spans="1:18">
      <c r="A111" s="158">
        <v>46035</v>
      </c>
      <c r="B111" s="163">
        <v>122916</v>
      </c>
      <c r="C111" s="158">
        <v>46036</v>
      </c>
      <c r="D111" s="153">
        <v>99209</v>
      </c>
      <c r="E111" s="155" t="s">
        <v>9</v>
      </c>
      <c r="F111" s="155" t="s">
        <v>34</v>
      </c>
      <c r="G111" t="s">
        <v>161</v>
      </c>
      <c r="H111" s="155" t="s">
        <v>50</v>
      </c>
      <c r="I111" s="155" t="s">
        <v>40</v>
      </c>
      <c r="J111" s="13">
        <f>1078+295</f>
        <v>1373</v>
      </c>
      <c r="K111" s="155" t="s">
        <v>11</v>
      </c>
      <c r="L111" s="153">
        <v>1</v>
      </c>
      <c r="M111" s="155" t="s">
        <v>33</v>
      </c>
      <c r="N111" s="155" t="s">
        <v>33</v>
      </c>
      <c r="O111" s="153">
        <v>1</v>
      </c>
      <c r="P111" s="153" t="s">
        <v>14</v>
      </c>
      <c r="Q111" s="153">
        <v>13</v>
      </c>
      <c r="R111" s="153">
        <v>2</v>
      </c>
    </row>
    <row r="112" spans="1:18">
      <c r="A112" s="158">
        <v>46030</v>
      </c>
      <c r="B112" s="163">
        <v>126237</v>
      </c>
      <c r="C112" s="158">
        <v>46036</v>
      </c>
      <c r="D112" s="153">
        <v>99205</v>
      </c>
      <c r="E112" s="155" t="s">
        <v>18</v>
      </c>
      <c r="F112" s="155" t="s">
        <v>38</v>
      </c>
      <c r="G112" t="s">
        <v>162</v>
      </c>
      <c r="H112" s="155" t="s">
        <v>31</v>
      </c>
      <c r="I112" s="155" t="s">
        <v>35</v>
      </c>
      <c r="J112" s="13">
        <v>21</v>
      </c>
      <c r="K112" s="155" t="s">
        <v>10</v>
      </c>
      <c r="L112" s="155">
        <v>0</v>
      </c>
      <c r="M112" s="155" t="s">
        <v>33</v>
      </c>
      <c r="N112" s="155" t="s">
        <v>33</v>
      </c>
      <c r="O112" s="153">
        <v>4</v>
      </c>
      <c r="P112" s="153" t="s">
        <v>14</v>
      </c>
      <c r="Q112" s="153">
        <v>10</v>
      </c>
      <c r="R112" s="153">
        <v>3</v>
      </c>
    </row>
    <row r="113" spans="1:18">
      <c r="A113" s="158">
        <v>45743</v>
      </c>
      <c r="B113" s="163">
        <v>118044</v>
      </c>
      <c r="C113" s="158">
        <v>46036</v>
      </c>
      <c r="D113" s="153">
        <v>99204</v>
      </c>
      <c r="E113" s="155" t="s">
        <v>17</v>
      </c>
      <c r="F113" s="155" t="s">
        <v>34</v>
      </c>
      <c r="G113" t="s">
        <v>163</v>
      </c>
      <c r="H113" s="155" t="s">
        <v>31</v>
      </c>
      <c r="I113" s="155" t="s">
        <v>35</v>
      </c>
      <c r="J113" s="13">
        <f>170+1521</f>
        <v>1691</v>
      </c>
      <c r="K113" s="155" t="s">
        <v>10</v>
      </c>
      <c r="L113" s="155">
        <v>1</v>
      </c>
      <c r="M113" s="155" t="s">
        <v>29</v>
      </c>
      <c r="N113" s="155" t="s">
        <v>33</v>
      </c>
      <c r="O113" s="153">
        <v>209</v>
      </c>
      <c r="P113" s="153" t="s">
        <v>14</v>
      </c>
      <c r="Q113" s="153">
        <v>20</v>
      </c>
      <c r="R113" s="153">
        <v>3</v>
      </c>
    </row>
    <row r="114" spans="1:18">
      <c r="A114" s="158">
        <v>46035</v>
      </c>
      <c r="B114" s="163">
        <v>126391</v>
      </c>
      <c r="C114" s="158">
        <v>46036</v>
      </c>
      <c r="D114" s="153">
        <v>99201</v>
      </c>
      <c r="E114" s="155" t="s">
        <v>9</v>
      </c>
      <c r="F114" s="155" t="s">
        <v>34</v>
      </c>
      <c r="G114" t="s">
        <v>164</v>
      </c>
      <c r="H114" s="155" t="s">
        <v>65</v>
      </c>
      <c r="I114" s="155" t="s">
        <v>40</v>
      </c>
      <c r="J114" s="13">
        <v>71</v>
      </c>
      <c r="K114" s="155" t="s">
        <v>10</v>
      </c>
      <c r="L114" s="155">
        <v>0</v>
      </c>
      <c r="M114" s="155" t="s">
        <v>33</v>
      </c>
      <c r="N114" s="155" t="s">
        <v>29</v>
      </c>
      <c r="O114" s="153">
        <v>1</v>
      </c>
      <c r="P114" s="153" t="s">
        <v>8</v>
      </c>
      <c r="Q114" s="153">
        <v>10</v>
      </c>
      <c r="R114" s="153">
        <v>2</v>
      </c>
    </row>
    <row r="115" spans="1:18">
      <c r="A115" s="158">
        <v>45968</v>
      </c>
      <c r="B115" s="163">
        <v>122588</v>
      </c>
      <c r="C115" s="158">
        <v>45671</v>
      </c>
      <c r="D115" s="153">
        <v>99200</v>
      </c>
      <c r="E115" s="155" t="s">
        <v>9</v>
      </c>
      <c r="F115" s="155" t="s">
        <v>34</v>
      </c>
      <c r="G115" t="s">
        <v>165</v>
      </c>
      <c r="H115" s="155" t="s">
        <v>68</v>
      </c>
      <c r="I115" s="155" t="s">
        <v>40</v>
      </c>
      <c r="J115" s="13">
        <f>1681+3305</f>
        <v>4986</v>
      </c>
      <c r="K115" s="155" t="s">
        <v>10</v>
      </c>
      <c r="L115" s="155">
        <v>2</v>
      </c>
      <c r="M115" s="155" t="s">
        <v>29</v>
      </c>
      <c r="N115" s="155" t="s">
        <v>33</v>
      </c>
      <c r="O115" s="153">
        <v>-297</v>
      </c>
      <c r="P115" s="153" t="s">
        <v>8</v>
      </c>
      <c r="Q115" s="153">
        <v>10</v>
      </c>
      <c r="R115" s="153">
        <v>2</v>
      </c>
    </row>
    <row r="116" spans="1:18">
      <c r="A116" s="158">
        <v>45975</v>
      </c>
      <c r="B116" s="163">
        <v>122856</v>
      </c>
      <c r="C116" s="158">
        <v>45671</v>
      </c>
      <c r="D116" s="153">
        <v>99196</v>
      </c>
      <c r="E116" s="155" t="s">
        <v>9</v>
      </c>
      <c r="F116" s="155" t="s">
        <v>34</v>
      </c>
      <c r="G116" t="s">
        <v>166</v>
      </c>
      <c r="H116" s="155" t="s">
        <v>58</v>
      </c>
      <c r="I116" s="155" t="s">
        <v>40</v>
      </c>
      <c r="J116" s="13">
        <f>308+1180</f>
        <v>1488</v>
      </c>
      <c r="K116" s="155" t="s">
        <v>10</v>
      </c>
      <c r="L116" s="155">
        <v>3</v>
      </c>
      <c r="M116" s="155" t="s">
        <v>33</v>
      </c>
      <c r="N116" s="155" t="s">
        <v>33</v>
      </c>
      <c r="O116" s="153">
        <v>-304</v>
      </c>
      <c r="P116" s="153" t="s">
        <v>8</v>
      </c>
      <c r="Q116" s="153">
        <v>10</v>
      </c>
      <c r="R116" s="153">
        <v>2</v>
      </c>
    </row>
    <row r="117" spans="1:18">
      <c r="A117" s="158">
        <v>46029</v>
      </c>
      <c r="B117" s="163">
        <v>126104</v>
      </c>
      <c r="C117" s="158">
        <v>46036</v>
      </c>
      <c r="D117" s="153">
        <v>99187</v>
      </c>
      <c r="E117" s="155" t="s">
        <v>16</v>
      </c>
      <c r="F117" s="155" t="s">
        <v>38</v>
      </c>
      <c r="G117" s="168" t="s">
        <v>167</v>
      </c>
      <c r="H117" s="155" t="s">
        <v>67</v>
      </c>
      <c r="I117" s="155" t="s">
        <v>45</v>
      </c>
      <c r="J117" s="13">
        <v>566</v>
      </c>
      <c r="K117" s="155" t="s">
        <v>10</v>
      </c>
      <c r="L117" s="155">
        <v>1</v>
      </c>
      <c r="M117" s="155" t="s">
        <v>33</v>
      </c>
      <c r="N117" s="155" t="s">
        <v>33</v>
      </c>
      <c r="O117" s="153">
        <v>5</v>
      </c>
      <c r="P117" s="153" t="s">
        <v>14</v>
      </c>
      <c r="Q117" s="153">
        <v>3</v>
      </c>
      <c r="R117" s="153">
        <v>3</v>
      </c>
    </row>
    <row r="118" spans="1:18">
      <c r="A118" s="158">
        <v>45999</v>
      </c>
      <c r="B118" s="163">
        <v>82538</v>
      </c>
      <c r="C118" s="158">
        <v>46035</v>
      </c>
      <c r="D118" s="153">
        <v>99159</v>
      </c>
      <c r="E118" s="155" t="s">
        <v>18</v>
      </c>
      <c r="F118" s="155" t="s">
        <v>38</v>
      </c>
      <c r="G118" s="168" t="s">
        <v>168</v>
      </c>
      <c r="H118" s="155" t="s">
        <v>39</v>
      </c>
      <c r="I118" s="155" t="s">
        <v>43</v>
      </c>
      <c r="J118" s="13">
        <v>978</v>
      </c>
      <c r="K118" s="155" t="s">
        <v>10</v>
      </c>
      <c r="L118" s="155">
        <v>3</v>
      </c>
      <c r="M118" s="155" t="s">
        <v>33</v>
      </c>
      <c r="N118" s="155" t="s">
        <v>33</v>
      </c>
      <c r="O118" s="153">
        <v>26</v>
      </c>
      <c r="P118" s="153" t="s">
        <v>15</v>
      </c>
      <c r="Q118" s="153">
        <v>8</v>
      </c>
      <c r="R118" s="153">
        <v>3</v>
      </c>
    </row>
    <row r="119" spans="1:18">
      <c r="A119" s="158">
        <v>46001</v>
      </c>
      <c r="B119" s="163">
        <v>91987</v>
      </c>
      <c r="C119" s="158">
        <v>46035</v>
      </c>
      <c r="D119" s="153">
        <v>99154</v>
      </c>
      <c r="E119" s="155" t="s">
        <v>18</v>
      </c>
      <c r="F119" s="155" t="s">
        <v>38</v>
      </c>
      <c r="G119" s="168" t="s">
        <v>169</v>
      </c>
      <c r="H119" s="155" t="s">
        <v>39</v>
      </c>
      <c r="I119" s="155" t="s">
        <v>43</v>
      </c>
      <c r="J119" s="13">
        <v>164</v>
      </c>
      <c r="K119" s="155" t="s">
        <v>10</v>
      </c>
      <c r="L119" s="155">
        <v>0</v>
      </c>
      <c r="M119" s="155" t="s">
        <v>33</v>
      </c>
      <c r="N119" s="155" t="s">
        <v>33</v>
      </c>
      <c r="O119" s="153">
        <v>24</v>
      </c>
      <c r="P119" s="153" t="s">
        <v>15</v>
      </c>
      <c r="Q119" s="153">
        <v>8</v>
      </c>
      <c r="R119" s="153">
        <v>3</v>
      </c>
    </row>
    <row r="120" spans="1:18">
      <c r="A120" s="158">
        <v>46029</v>
      </c>
      <c r="B120" s="163">
        <v>126165</v>
      </c>
      <c r="C120" s="158">
        <v>46035</v>
      </c>
      <c r="D120" s="153">
        <v>99153</v>
      </c>
      <c r="E120" s="155" t="s">
        <v>16</v>
      </c>
      <c r="F120" s="155" t="s">
        <v>38</v>
      </c>
      <c r="G120" s="168" t="s">
        <v>170</v>
      </c>
      <c r="H120" s="155" t="s">
        <v>67</v>
      </c>
      <c r="I120" s="155" t="s">
        <v>45</v>
      </c>
      <c r="J120" s="13">
        <v>105</v>
      </c>
      <c r="K120" s="155" t="s">
        <v>10</v>
      </c>
      <c r="L120" s="155">
        <v>0</v>
      </c>
      <c r="M120" s="155" t="s">
        <v>33</v>
      </c>
      <c r="N120" s="155" t="s">
        <v>33</v>
      </c>
      <c r="O120" s="153">
        <v>4</v>
      </c>
      <c r="P120" s="153" t="s">
        <v>14</v>
      </c>
      <c r="Q120" s="153">
        <v>3</v>
      </c>
      <c r="R120" s="153">
        <v>3</v>
      </c>
    </row>
    <row r="121" spans="1:18">
      <c r="A121" s="158">
        <v>46003</v>
      </c>
      <c r="B121" s="163">
        <v>125288</v>
      </c>
      <c r="C121" s="158">
        <v>46035</v>
      </c>
      <c r="D121" s="153">
        <v>99141</v>
      </c>
      <c r="E121" s="155" t="s">
        <v>17</v>
      </c>
      <c r="F121" s="155" t="s">
        <v>34</v>
      </c>
      <c r="G121" s="168" t="s">
        <v>171</v>
      </c>
      <c r="H121" s="155" t="s">
        <v>31</v>
      </c>
      <c r="I121" s="155" t="s">
        <v>37</v>
      </c>
      <c r="J121" s="13">
        <v>681</v>
      </c>
      <c r="K121" s="155" t="s">
        <v>11</v>
      </c>
      <c r="L121" s="155">
        <v>2</v>
      </c>
      <c r="M121" s="155" t="s">
        <v>29</v>
      </c>
      <c r="N121" s="155" t="s">
        <v>33</v>
      </c>
      <c r="O121" s="153">
        <v>22</v>
      </c>
      <c r="P121" s="153" t="s">
        <v>14</v>
      </c>
      <c r="Q121" s="153">
        <v>26</v>
      </c>
      <c r="R121" s="153">
        <v>3</v>
      </c>
    </row>
    <row r="122" spans="1:18">
      <c r="A122" s="158">
        <v>46031</v>
      </c>
      <c r="B122" s="163">
        <v>125986</v>
      </c>
      <c r="C122" s="158">
        <v>46034</v>
      </c>
      <c r="D122" s="153">
        <v>99136</v>
      </c>
      <c r="E122" s="155" t="s">
        <v>9</v>
      </c>
      <c r="F122" s="155" t="s">
        <v>34</v>
      </c>
      <c r="G122" t="s">
        <v>172</v>
      </c>
      <c r="H122" s="155" t="s">
        <v>65</v>
      </c>
      <c r="I122" s="155" t="s">
        <v>40</v>
      </c>
      <c r="J122" s="13">
        <f>90+357</f>
        <v>447</v>
      </c>
      <c r="K122" s="155" t="s">
        <v>10</v>
      </c>
      <c r="L122" s="155">
        <v>2</v>
      </c>
      <c r="M122" s="155" t="s">
        <v>33</v>
      </c>
      <c r="N122" s="155" t="s">
        <v>33</v>
      </c>
      <c r="O122" s="153">
        <v>1</v>
      </c>
      <c r="P122" s="153" t="s">
        <v>8</v>
      </c>
      <c r="Q122" s="153">
        <v>10</v>
      </c>
      <c r="R122" s="153">
        <v>2</v>
      </c>
    </row>
    <row r="123" spans="1:18">
      <c r="A123" s="158">
        <v>46020</v>
      </c>
      <c r="B123" s="163">
        <v>125925</v>
      </c>
      <c r="C123" s="158">
        <v>46034</v>
      </c>
      <c r="D123" s="153">
        <v>99126</v>
      </c>
      <c r="E123" s="155" t="s">
        <v>18</v>
      </c>
      <c r="F123" s="155" t="s">
        <v>38</v>
      </c>
      <c r="G123" s="168" t="s">
        <v>173</v>
      </c>
      <c r="H123" s="155" t="s">
        <v>52</v>
      </c>
      <c r="I123" s="155" t="s">
        <v>32</v>
      </c>
      <c r="J123" s="13">
        <v>595</v>
      </c>
      <c r="K123" s="155" t="s">
        <v>10</v>
      </c>
      <c r="L123" s="155">
        <v>1</v>
      </c>
      <c r="M123" s="155" t="s">
        <v>33</v>
      </c>
      <c r="N123" s="155" t="s">
        <v>33</v>
      </c>
      <c r="O123" s="153">
        <v>10</v>
      </c>
      <c r="P123" s="153" t="s">
        <v>8</v>
      </c>
      <c r="Q123" s="153">
        <v>11.5</v>
      </c>
      <c r="R123" s="153">
        <v>2</v>
      </c>
    </row>
    <row r="124" spans="1:18">
      <c r="A124" s="158">
        <v>46031</v>
      </c>
      <c r="B124" s="163">
        <v>124289</v>
      </c>
      <c r="C124" s="158">
        <v>46031</v>
      </c>
      <c r="D124" s="153">
        <v>99113</v>
      </c>
      <c r="E124" s="155" t="s">
        <v>18</v>
      </c>
      <c r="F124" s="155" t="s">
        <v>38</v>
      </c>
      <c r="G124" s="168" t="s">
        <v>174</v>
      </c>
      <c r="H124" s="155" t="s">
        <v>39</v>
      </c>
      <c r="I124" s="155" t="s">
        <v>43</v>
      </c>
      <c r="J124" s="13">
        <v>195</v>
      </c>
      <c r="K124" s="155" t="s">
        <v>10</v>
      </c>
      <c r="L124" s="155">
        <v>1</v>
      </c>
      <c r="M124" s="155" t="s">
        <v>33</v>
      </c>
      <c r="N124" s="155" t="s">
        <v>33</v>
      </c>
      <c r="O124" s="153">
        <v>0</v>
      </c>
      <c r="P124" s="153" t="s">
        <v>15</v>
      </c>
      <c r="Q124" s="153">
        <v>8</v>
      </c>
      <c r="R124" s="153">
        <v>3</v>
      </c>
    </row>
    <row r="125" spans="1:18">
      <c r="A125" s="158">
        <v>46031</v>
      </c>
      <c r="B125" s="163">
        <v>125824</v>
      </c>
      <c r="C125" s="158">
        <v>46031</v>
      </c>
      <c r="D125" s="153">
        <v>99099</v>
      </c>
      <c r="E125" s="155" t="s">
        <v>18</v>
      </c>
      <c r="F125" s="155" t="s">
        <v>34</v>
      </c>
      <c r="G125" s="168" t="s">
        <v>175</v>
      </c>
      <c r="H125" s="155" t="s">
        <v>64</v>
      </c>
      <c r="I125" s="155" t="s">
        <v>37</v>
      </c>
      <c r="J125" s="13">
        <v>57</v>
      </c>
      <c r="K125" s="155" t="s">
        <v>10</v>
      </c>
      <c r="L125" s="155"/>
      <c r="M125" s="155"/>
      <c r="N125" s="155"/>
      <c r="O125" s="153">
        <v>0</v>
      </c>
      <c r="P125" s="153" t="s">
        <v>14</v>
      </c>
      <c r="Q125" s="153">
        <v>10</v>
      </c>
      <c r="R125" s="153">
        <v>3</v>
      </c>
    </row>
    <row r="126" spans="1:18">
      <c r="A126" s="158">
        <v>46030</v>
      </c>
      <c r="B126" s="163">
        <v>126238</v>
      </c>
      <c r="C126" s="158">
        <v>46031</v>
      </c>
      <c r="D126" s="153">
        <v>99092</v>
      </c>
      <c r="E126" s="155" t="s">
        <v>16</v>
      </c>
      <c r="F126" s="155" t="s">
        <v>38</v>
      </c>
      <c r="G126" t="s">
        <v>176</v>
      </c>
      <c r="H126" s="155" t="s">
        <v>67</v>
      </c>
      <c r="I126" s="155" t="s">
        <v>45</v>
      </c>
      <c r="J126" s="13">
        <v>175</v>
      </c>
      <c r="K126" s="155" t="s">
        <v>10</v>
      </c>
      <c r="L126" s="155">
        <v>1</v>
      </c>
      <c r="M126" s="155" t="s">
        <v>33</v>
      </c>
      <c r="N126" s="155" t="s">
        <v>33</v>
      </c>
      <c r="O126" s="153">
        <v>1</v>
      </c>
      <c r="P126" s="153" t="s">
        <v>14</v>
      </c>
      <c r="Q126" s="153">
        <v>3</v>
      </c>
      <c r="R126" s="153">
        <v>3</v>
      </c>
    </row>
    <row r="127" spans="1:18">
      <c r="A127" s="158">
        <v>46030</v>
      </c>
      <c r="B127" s="163">
        <v>126206</v>
      </c>
      <c r="C127" s="158">
        <v>46031</v>
      </c>
      <c r="D127" s="153">
        <v>99086</v>
      </c>
      <c r="E127" s="155" t="s">
        <v>18</v>
      </c>
      <c r="F127" s="155" t="s">
        <v>38</v>
      </c>
      <c r="G127" t="s">
        <v>177</v>
      </c>
      <c r="H127" s="155" t="s">
        <v>44</v>
      </c>
      <c r="I127" s="155" t="s">
        <v>43</v>
      </c>
      <c r="J127" s="13">
        <v>155</v>
      </c>
      <c r="K127" s="155" t="s">
        <v>10</v>
      </c>
      <c r="L127" s="155">
        <v>0</v>
      </c>
      <c r="M127" s="155" t="s">
        <v>33</v>
      </c>
      <c r="N127" s="155" t="s">
        <v>33</v>
      </c>
      <c r="O127" s="153">
        <v>1</v>
      </c>
      <c r="P127" s="153" t="s">
        <v>14</v>
      </c>
      <c r="Q127" s="153">
        <v>10</v>
      </c>
      <c r="R127" s="153">
        <v>1</v>
      </c>
    </row>
    <row r="128" spans="1:18">
      <c r="A128" s="158">
        <v>46030</v>
      </c>
      <c r="B128" s="163">
        <v>126183</v>
      </c>
      <c r="C128" s="158">
        <v>46031</v>
      </c>
      <c r="D128" s="153">
        <v>99085</v>
      </c>
      <c r="E128" s="155" t="s">
        <v>18</v>
      </c>
      <c r="F128" s="155" t="s">
        <v>38</v>
      </c>
      <c r="G128" t="s">
        <v>178</v>
      </c>
      <c r="H128" s="155" t="s">
        <v>44</v>
      </c>
      <c r="I128" s="155" t="s">
        <v>43</v>
      </c>
      <c r="J128" s="13">
        <v>129</v>
      </c>
      <c r="K128" s="155" t="s">
        <v>10</v>
      </c>
      <c r="L128" s="155">
        <v>0</v>
      </c>
      <c r="M128" s="155" t="s">
        <v>33</v>
      </c>
      <c r="N128" s="155" t="s">
        <v>33</v>
      </c>
      <c r="O128" s="153">
        <v>1</v>
      </c>
      <c r="P128" s="153" t="s">
        <v>14</v>
      </c>
      <c r="Q128" s="153">
        <v>10</v>
      </c>
      <c r="R128" s="153">
        <v>1</v>
      </c>
    </row>
    <row r="129" spans="1:18">
      <c r="A129" s="158">
        <v>45665</v>
      </c>
      <c r="B129" s="13">
        <v>126181</v>
      </c>
      <c r="C129" s="158">
        <v>45665</v>
      </c>
      <c r="D129" s="192">
        <v>99022</v>
      </c>
      <c r="E129" s="13" t="s">
        <v>18</v>
      </c>
      <c r="F129" s="13" t="s">
        <v>34</v>
      </c>
      <c r="G129" s="168" t="s">
        <v>179</v>
      </c>
      <c r="H129" s="13" t="s">
        <v>54</v>
      </c>
      <c r="I129" s="13" t="s">
        <v>32</v>
      </c>
      <c r="J129" s="13">
        <v>100</v>
      </c>
      <c r="K129" s="13" t="s">
        <v>10</v>
      </c>
      <c r="L129" s="13">
        <v>0</v>
      </c>
      <c r="M129" s="13" t="s">
        <v>33</v>
      </c>
      <c r="N129" s="13"/>
      <c r="O129" s="13">
        <v>0</v>
      </c>
      <c r="P129" s="13" t="s">
        <v>36</v>
      </c>
      <c r="Q129" s="13">
        <v>0</v>
      </c>
      <c r="R129" s="13">
        <v>3</v>
      </c>
    </row>
    <row r="130" spans="1:18">
      <c r="A130" s="158">
        <v>45958</v>
      </c>
      <c r="B130" s="163">
        <v>123041</v>
      </c>
      <c r="C130" s="158">
        <v>45665</v>
      </c>
      <c r="D130" s="153">
        <v>99049</v>
      </c>
      <c r="E130" s="155" t="s">
        <v>9</v>
      </c>
      <c r="F130" s="155" t="s">
        <v>34</v>
      </c>
      <c r="G130" t="s">
        <v>180</v>
      </c>
      <c r="H130" s="155" t="s">
        <v>50</v>
      </c>
      <c r="I130" s="155" t="s">
        <v>40</v>
      </c>
      <c r="J130" s="13">
        <f>506+60</f>
        <v>566</v>
      </c>
      <c r="K130" s="155" t="s">
        <v>10</v>
      </c>
      <c r="L130" s="155">
        <v>1</v>
      </c>
      <c r="M130" s="155" t="s">
        <v>33</v>
      </c>
      <c r="N130" s="155" t="s">
        <v>33</v>
      </c>
      <c r="O130" s="153">
        <v>-293</v>
      </c>
      <c r="P130" s="153" t="s">
        <v>14</v>
      </c>
      <c r="Q130" s="153">
        <v>8</v>
      </c>
      <c r="R130" s="153">
        <v>2</v>
      </c>
    </row>
    <row r="131" spans="1:18">
      <c r="A131" s="158">
        <v>46030</v>
      </c>
      <c r="B131" s="163">
        <v>120399</v>
      </c>
      <c r="C131" s="158">
        <v>46030</v>
      </c>
      <c r="D131" s="153">
        <v>99048</v>
      </c>
      <c r="E131" s="155" t="s">
        <v>18</v>
      </c>
      <c r="F131" s="155" t="s">
        <v>38</v>
      </c>
      <c r="G131" t="s">
        <v>181</v>
      </c>
      <c r="H131" s="155" t="s">
        <v>66</v>
      </c>
      <c r="I131" s="155" t="s">
        <v>43</v>
      </c>
      <c r="J131" s="13">
        <v>39</v>
      </c>
      <c r="K131" s="155" t="s">
        <v>10</v>
      </c>
      <c r="L131" s="155">
        <v>0</v>
      </c>
      <c r="M131" s="155" t="s">
        <v>33</v>
      </c>
      <c r="N131" s="155" t="s">
        <v>33</v>
      </c>
      <c r="O131" s="153">
        <v>0</v>
      </c>
      <c r="P131" s="153" t="s">
        <v>36</v>
      </c>
      <c r="Q131" s="153">
        <v>0</v>
      </c>
      <c r="R131" s="153">
        <v>3</v>
      </c>
    </row>
    <row r="132" spans="1:18">
      <c r="A132" s="158">
        <v>46030</v>
      </c>
      <c r="B132" s="163">
        <v>126163</v>
      </c>
      <c r="C132" s="158">
        <v>46030</v>
      </c>
      <c r="D132" s="153">
        <v>99031</v>
      </c>
      <c r="E132" s="155" t="s">
        <v>16</v>
      </c>
      <c r="F132" s="155" t="s">
        <v>34</v>
      </c>
      <c r="G132" t="s">
        <v>182</v>
      </c>
      <c r="H132" s="155" t="s">
        <v>63</v>
      </c>
      <c r="I132" s="155" t="s">
        <v>48</v>
      </c>
      <c r="J132" s="13">
        <v>104</v>
      </c>
      <c r="K132" s="155" t="s">
        <v>10</v>
      </c>
      <c r="L132" s="155">
        <v>0</v>
      </c>
      <c r="M132" s="155" t="s">
        <v>33</v>
      </c>
      <c r="N132" s="155" t="s">
        <v>33</v>
      </c>
      <c r="O132" s="153">
        <v>0</v>
      </c>
      <c r="P132" s="153" t="s">
        <v>8</v>
      </c>
      <c r="Q132" s="153">
        <v>4</v>
      </c>
      <c r="R132" s="153">
        <v>2</v>
      </c>
    </row>
    <row r="133" spans="1:18">
      <c r="A133" s="158">
        <v>46021</v>
      </c>
      <c r="B133" s="163">
        <v>125672</v>
      </c>
      <c r="C133" s="158">
        <v>46030</v>
      </c>
      <c r="D133" s="153">
        <v>99030</v>
      </c>
      <c r="E133" s="155" t="s">
        <v>9</v>
      </c>
      <c r="F133" s="155" t="s">
        <v>34</v>
      </c>
      <c r="G133" t="s">
        <v>183</v>
      </c>
      <c r="H133" s="155" t="s">
        <v>65</v>
      </c>
      <c r="I133" s="155" t="s">
        <v>40</v>
      </c>
      <c r="J133" s="13">
        <f>121+585</f>
        <v>706</v>
      </c>
      <c r="K133" s="155" t="s">
        <v>10</v>
      </c>
      <c r="L133" s="155">
        <v>1</v>
      </c>
      <c r="M133" s="155" t="s">
        <v>29</v>
      </c>
      <c r="N133" s="155" t="s">
        <v>33</v>
      </c>
      <c r="O133" s="153">
        <v>7</v>
      </c>
      <c r="P133" s="153" t="s">
        <v>8</v>
      </c>
      <c r="Q133" s="153">
        <v>10</v>
      </c>
      <c r="R133" s="153">
        <v>2</v>
      </c>
    </row>
    <row r="134" spans="1:18">
      <c r="A134" s="158">
        <v>46029</v>
      </c>
      <c r="B134" s="163">
        <v>119696</v>
      </c>
      <c r="C134" s="158">
        <v>46030</v>
      </c>
      <c r="D134" s="153">
        <v>99023</v>
      </c>
      <c r="E134" s="155" t="s">
        <v>18</v>
      </c>
      <c r="F134" s="155" t="s">
        <v>38</v>
      </c>
      <c r="G134" t="s">
        <v>184</v>
      </c>
      <c r="H134" s="155" t="s">
        <v>39</v>
      </c>
      <c r="I134" s="155" t="s">
        <v>43</v>
      </c>
      <c r="J134" s="13">
        <v>521</v>
      </c>
      <c r="K134" s="155" t="s">
        <v>10</v>
      </c>
      <c r="L134" s="155">
        <v>1</v>
      </c>
      <c r="M134" s="155" t="s">
        <v>33</v>
      </c>
      <c r="N134" s="155" t="s">
        <v>33</v>
      </c>
      <c r="O134" s="153">
        <v>1</v>
      </c>
      <c r="P134" s="153" t="s">
        <v>15</v>
      </c>
      <c r="Q134" s="153">
        <v>8</v>
      </c>
      <c r="R134" s="153">
        <v>3</v>
      </c>
    </row>
    <row r="135" spans="1:18">
      <c r="A135" s="158">
        <v>46020</v>
      </c>
      <c r="B135" s="163">
        <v>125636</v>
      </c>
      <c r="C135" s="158">
        <v>46029</v>
      </c>
      <c r="D135" s="153">
        <v>98994</v>
      </c>
      <c r="E135" s="155" t="s">
        <v>9</v>
      </c>
      <c r="F135" s="155" t="s">
        <v>34</v>
      </c>
      <c r="G135" t="s">
        <v>185</v>
      </c>
      <c r="H135" s="155" t="s">
        <v>58</v>
      </c>
      <c r="I135" s="155" t="s">
        <v>40</v>
      </c>
      <c r="J135" s="13">
        <f>925+562</f>
        <v>1487</v>
      </c>
      <c r="K135" s="155" t="s">
        <v>10</v>
      </c>
      <c r="L135" s="155">
        <v>1</v>
      </c>
      <c r="M135" s="155" t="s">
        <v>33</v>
      </c>
      <c r="N135" s="155" t="s">
        <v>33</v>
      </c>
      <c r="O135" s="153">
        <v>7</v>
      </c>
      <c r="P135" s="153" t="s">
        <v>8</v>
      </c>
      <c r="Q135" s="153">
        <v>10</v>
      </c>
      <c r="R135" s="153">
        <v>2</v>
      </c>
    </row>
    <row r="136" spans="1:18">
      <c r="A136" s="158">
        <v>46007</v>
      </c>
      <c r="B136" s="163">
        <v>125535</v>
      </c>
      <c r="C136" s="158">
        <v>46029</v>
      </c>
      <c r="D136" s="153">
        <v>98995</v>
      </c>
      <c r="E136" s="155" t="s">
        <v>17</v>
      </c>
      <c r="F136" s="155" t="s">
        <v>34</v>
      </c>
      <c r="G136" t="s">
        <v>186</v>
      </c>
      <c r="H136" s="155" t="s">
        <v>27</v>
      </c>
      <c r="I136" s="155" t="s">
        <v>35</v>
      </c>
      <c r="J136" s="13">
        <f>1238+1937</f>
        <v>3175</v>
      </c>
      <c r="K136" s="155" t="s">
        <v>11</v>
      </c>
      <c r="L136" s="155">
        <v>1</v>
      </c>
      <c r="M136" s="155" t="s">
        <v>29</v>
      </c>
      <c r="N136" s="155" t="s">
        <v>33</v>
      </c>
      <c r="O136" s="153">
        <v>-343</v>
      </c>
      <c r="P136" s="153" t="s">
        <v>8</v>
      </c>
      <c r="Q136" s="153">
        <v>40</v>
      </c>
      <c r="R136" s="153">
        <v>3</v>
      </c>
    </row>
    <row r="137" spans="1:18">
      <c r="A137" s="158">
        <v>46014</v>
      </c>
      <c r="B137" s="163">
        <v>125363</v>
      </c>
      <c r="C137" s="158">
        <v>46029</v>
      </c>
      <c r="D137" s="153">
        <v>98966</v>
      </c>
      <c r="E137" s="155" t="s">
        <v>18</v>
      </c>
      <c r="F137" s="155" t="s">
        <v>38</v>
      </c>
      <c r="G137" t="s">
        <v>187</v>
      </c>
      <c r="H137" s="155" t="s">
        <v>67</v>
      </c>
      <c r="I137" s="155" t="s">
        <v>43</v>
      </c>
      <c r="J137" s="13">
        <v>352</v>
      </c>
      <c r="K137" s="155" t="s">
        <v>10</v>
      </c>
      <c r="L137" s="155">
        <v>0</v>
      </c>
      <c r="M137" s="155" t="s">
        <v>33</v>
      </c>
      <c r="N137" s="155" t="s">
        <v>33</v>
      </c>
      <c r="O137" s="153">
        <v>11</v>
      </c>
      <c r="P137" s="153" t="s">
        <v>14</v>
      </c>
      <c r="Q137" s="153">
        <v>10</v>
      </c>
      <c r="R137" s="153">
        <v>3</v>
      </c>
    </row>
    <row r="138" spans="1:18">
      <c r="A138" s="158">
        <v>46027</v>
      </c>
      <c r="B138" s="163">
        <v>125322</v>
      </c>
      <c r="C138" s="158">
        <v>46029</v>
      </c>
      <c r="D138" s="153">
        <v>98961</v>
      </c>
      <c r="E138" s="155" t="s">
        <v>16</v>
      </c>
      <c r="F138" s="155" t="s">
        <v>34</v>
      </c>
      <c r="G138" t="s">
        <v>188</v>
      </c>
      <c r="H138" s="155" t="s">
        <v>63</v>
      </c>
      <c r="I138" s="155" t="s">
        <v>48</v>
      </c>
      <c r="J138" s="13">
        <v>113</v>
      </c>
      <c r="K138" s="155" t="s">
        <v>10</v>
      </c>
      <c r="L138" s="155">
        <v>1</v>
      </c>
      <c r="M138" s="155" t="s">
        <v>33</v>
      </c>
      <c r="N138" s="155" t="s">
        <v>33</v>
      </c>
      <c r="O138" s="153">
        <v>2</v>
      </c>
      <c r="P138" s="153" t="s">
        <v>8</v>
      </c>
      <c r="Q138" s="153">
        <v>4</v>
      </c>
      <c r="R138" s="153">
        <v>2</v>
      </c>
    </row>
    <row r="139" spans="1:18">
      <c r="A139" s="158">
        <v>46027</v>
      </c>
      <c r="B139" s="163">
        <v>126088</v>
      </c>
      <c r="C139" s="158">
        <v>46027</v>
      </c>
      <c r="D139" s="153">
        <v>98953</v>
      </c>
      <c r="E139" s="155" t="s">
        <v>16</v>
      </c>
      <c r="F139" s="155" t="s">
        <v>38</v>
      </c>
      <c r="G139" t="s">
        <v>189</v>
      </c>
      <c r="H139" s="155" t="s">
        <v>67</v>
      </c>
      <c r="I139" s="155" t="s">
        <v>45</v>
      </c>
      <c r="J139" s="13">
        <v>87</v>
      </c>
      <c r="K139" s="155" t="s">
        <v>10</v>
      </c>
      <c r="L139" s="155">
        <v>0</v>
      </c>
      <c r="M139" s="155" t="s">
        <v>33</v>
      </c>
      <c r="N139" s="155" t="s">
        <v>33</v>
      </c>
      <c r="O139" s="153">
        <v>0</v>
      </c>
      <c r="P139" s="153" t="s">
        <v>14</v>
      </c>
      <c r="Q139" s="153">
        <v>3</v>
      </c>
      <c r="R139" s="153">
        <v>3</v>
      </c>
    </row>
    <row r="140" spans="1:18">
      <c r="A140" s="158">
        <v>46013</v>
      </c>
      <c r="B140" s="163">
        <v>125540</v>
      </c>
      <c r="C140" s="158">
        <v>46027</v>
      </c>
      <c r="D140" s="153">
        <v>98948</v>
      </c>
      <c r="E140" s="155" t="s">
        <v>18</v>
      </c>
      <c r="F140" s="155" t="s">
        <v>38</v>
      </c>
      <c r="G140" t="s">
        <v>190</v>
      </c>
      <c r="H140" s="155" t="s">
        <v>50</v>
      </c>
      <c r="I140" s="155" t="s">
        <v>40</v>
      </c>
      <c r="J140" s="13">
        <v>332</v>
      </c>
      <c r="K140" s="155" t="s">
        <v>10</v>
      </c>
      <c r="L140" s="155">
        <v>0</v>
      </c>
      <c r="M140" s="155" t="s">
        <v>33</v>
      </c>
      <c r="N140" s="155" t="s">
        <v>33</v>
      </c>
      <c r="O140" s="153">
        <v>-351</v>
      </c>
      <c r="P140" s="153" t="s">
        <v>14</v>
      </c>
      <c r="Q140" s="153">
        <v>10</v>
      </c>
      <c r="R140" s="153">
        <v>2</v>
      </c>
    </row>
    <row r="141" spans="1:18">
      <c r="A141" s="158">
        <v>46013</v>
      </c>
      <c r="B141" s="163">
        <v>125271</v>
      </c>
      <c r="C141" s="158">
        <v>46027</v>
      </c>
      <c r="D141" s="153">
        <v>98947</v>
      </c>
      <c r="E141" s="155" t="s">
        <v>9</v>
      </c>
      <c r="F141" s="155" t="s">
        <v>34</v>
      </c>
      <c r="G141" t="s">
        <v>191</v>
      </c>
      <c r="H141" s="155" t="s">
        <v>50</v>
      </c>
      <c r="I141" s="155" t="s">
        <v>40</v>
      </c>
      <c r="J141" s="13">
        <f>1274+431</f>
        <v>1705</v>
      </c>
      <c r="K141" s="155" t="s">
        <v>10</v>
      </c>
      <c r="L141" s="155">
        <v>2</v>
      </c>
      <c r="M141" s="155" t="s">
        <v>33</v>
      </c>
      <c r="N141" s="155" t="s">
        <v>29</v>
      </c>
      <c r="O141" s="153">
        <v>-351</v>
      </c>
      <c r="P141" s="153" t="s">
        <v>14</v>
      </c>
      <c r="Q141" s="153">
        <v>8</v>
      </c>
      <c r="R141" s="153">
        <v>2</v>
      </c>
    </row>
    <row r="142" spans="1:18">
      <c r="A142" s="158"/>
      <c r="B142" s="163"/>
      <c r="C142" s="158"/>
      <c r="D142" s="153"/>
      <c r="E142" s="155"/>
      <c r="F142" s="155"/>
      <c r="H142" s="155"/>
      <c r="I142" s="155"/>
      <c r="J142" s="72"/>
      <c r="K142" s="155"/>
      <c r="L142" s="155"/>
      <c r="M142" s="155"/>
      <c r="N142" s="155"/>
      <c r="O142" s="153"/>
      <c r="P142" s="153"/>
      <c r="Q142" s="153"/>
      <c r="R142" s="153"/>
    </row>
    <row r="143" spans="1:18">
      <c r="A143" s="158"/>
      <c r="B143" s="163"/>
      <c r="C143" s="158"/>
      <c r="D143" s="153"/>
      <c r="E143" s="155"/>
      <c r="F143" s="155"/>
      <c r="H143" s="155"/>
      <c r="I143" s="155"/>
      <c r="J143" s="72"/>
      <c r="K143" s="155"/>
      <c r="L143" s="155"/>
      <c r="M143" s="155"/>
      <c r="N143" s="155"/>
      <c r="O143" s="153"/>
      <c r="P143" s="153"/>
      <c r="Q143" s="153"/>
      <c r="R143" s="153"/>
    </row>
    <row r="144" spans="1:18">
      <c r="A144" s="158"/>
      <c r="B144" s="163"/>
      <c r="C144" s="158"/>
      <c r="D144" s="153"/>
      <c r="E144" s="155"/>
      <c r="F144" s="155"/>
      <c r="H144" s="155"/>
      <c r="I144" s="155"/>
      <c r="J144" s="72"/>
      <c r="K144" s="155"/>
      <c r="L144" s="155"/>
      <c r="M144" s="155"/>
      <c r="N144" s="155"/>
      <c r="O144" s="153"/>
      <c r="P144" s="153"/>
      <c r="Q144" s="153"/>
      <c r="R144" s="153"/>
    </row>
    <row r="145" spans="1:18">
      <c r="A145" s="158"/>
      <c r="B145" s="163"/>
      <c r="C145" s="158"/>
      <c r="D145" s="153"/>
      <c r="E145" s="155"/>
      <c r="F145" s="155"/>
      <c r="H145" s="155"/>
      <c r="I145" s="155"/>
      <c r="J145" s="72"/>
      <c r="K145" s="155"/>
      <c r="L145" s="155"/>
      <c r="M145" s="155"/>
      <c r="N145" s="155"/>
      <c r="O145" s="153"/>
      <c r="P145" s="153"/>
      <c r="Q145" s="153"/>
      <c r="R145" s="153"/>
    </row>
    <row r="146" spans="1:18">
      <c r="A146" s="158"/>
      <c r="B146" s="163"/>
      <c r="C146" s="158"/>
      <c r="D146" s="153"/>
      <c r="E146" s="155"/>
      <c r="F146" s="155"/>
      <c r="H146" s="155"/>
      <c r="I146" s="155"/>
      <c r="J146" s="72"/>
      <c r="K146" s="155"/>
      <c r="L146" s="155"/>
      <c r="M146" s="155"/>
      <c r="N146" s="155"/>
      <c r="O146" s="153"/>
      <c r="P146" s="153"/>
      <c r="Q146" s="153"/>
      <c r="R146" s="153"/>
    </row>
    <row r="147" spans="1:18">
      <c r="A147" s="158"/>
      <c r="B147" s="163"/>
      <c r="C147" s="158"/>
      <c r="D147" s="153"/>
      <c r="E147" s="155"/>
      <c r="F147" s="155"/>
      <c r="H147" s="155"/>
      <c r="I147" s="155"/>
      <c r="J147" s="72"/>
      <c r="K147" s="155"/>
      <c r="L147" s="155"/>
      <c r="M147" s="155"/>
      <c r="N147" s="155"/>
      <c r="O147" s="153"/>
      <c r="P147" s="153"/>
      <c r="Q147" s="153"/>
      <c r="R147" s="153"/>
    </row>
    <row r="148" spans="1:18">
      <c r="A148" s="158"/>
      <c r="B148" s="163"/>
      <c r="C148" s="158"/>
      <c r="D148" s="153"/>
      <c r="E148" s="155"/>
      <c r="F148" s="155"/>
      <c r="H148" s="155"/>
      <c r="I148" s="155"/>
      <c r="J148" s="72"/>
      <c r="K148" s="155"/>
      <c r="L148" s="155"/>
      <c r="M148" s="155"/>
      <c r="N148" s="155"/>
      <c r="O148" s="153"/>
      <c r="P148" s="153"/>
      <c r="Q148" s="153"/>
      <c r="R148" s="153"/>
    </row>
    <row r="149" spans="1:18">
      <c r="A149" s="158"/>
      <c r="B149" s="163"/>
      <c r="C149" s="158"/>
      <c r="D149" s="153"/>
      <c r="E149" s="155"/>
      <c r="F149" s="155"/>
      <c r="H149" s="155"/>
      <c r="I149" s="155"/>
      <c r="J149" s="72"/>
      <c r="K149" s="155"/>
      <c r="L149" s="155"/>
      <c r="M149" s="155"/>
      <c r="N149" s="155"/>
      <c r="O149" s="153"/>
      <c r="P149" s="153"/>
      <c r="Q149" s="153"/>
      <c r="R149" s="153"/>
    </row>
    <row r="150" spans="1:18">
      <c r="A150" s="158"/>
      <c r="B150" s="163"/>
      <c r="C150" s="158"/>
      <c r="D150" s="153"/>
      <c r="E150" s="155"/>
      <c r="F150" s="155"/>
      <c r="H150" s="155"/>
      <c r="I150" s="155"/>
      <c r="J150" s="72"/>
      <c r="K150" s="155"/>
      <c r="L150" s="155"/>
      <c r="M150" s="155"/>
      <c r="N150" s="155"/>
      <c r="O150" s="153"/>
      <c r="P150" s="153"/>
      <c r="Q150" s="153"/>
      <c r="R150" s="153"/>
    </row>
    <row r="151" spans="1:18">
      <c r="A151" s="158"/>
      <c r="B151" s="163"/>
      <c r="C151" s="158"/>
      <c r="D151" s="153"/>
      <c r="E151" s="155"/>
      <c r="F151" s="155"/>
      <c r="H151" s="155"/>
      <c r="I151" s="155"/>
      <c r="J151" s="72"/>
      <c r="K151" s="155"/>
      <c r="L151" s="155"/>
      <c r="M151" s="155"/>
      <c r="N151" s="155"/>
      <c r="O151" s="153"/>
      <c r="P151" s="153"/>
      <c r="Q151" s="153"/>
      <c r="R151" s="153"/>
    </row>
    <row r="152" spans="1:18">
      <c r="A152" s="158"/>
      <c r="B152" s="163"/>
      <c r="C152" s="158"/>
      <c r="D152" s="153"/>
      <c r="E152" s="155"/>
      <c r="F152" s="155"/>
      <c r="H152" s="155"/>
      <c r="I152" s="155"/>
      <c r="J152" s="72"/>
      <c r="K152" s="155"/>
      <c r="L152" s="155"/>
      <c r="M152" s="155"/>
      <c r="N152" s="155"/>
      <c r="O152" s="153"/>
      <c r="P152" s="153"/>
      <c r="Q152" s="153"/>
      <c r="R152" s="153"/>
    </row>
    <row r="153" spans="1:18">
      <c r="A153" s="158"/>
      <c r="B153" s="163"/>
      <c r="C153" s="158"/>
      <c r="D153" s="153"/>
      <c r="E153" s="155"/>
      <c r="F153" s="155"/>
      <c r="G153" s="136"/>
      <c r="H153" s="155"/>
      <c r="I153" s="155"/>
      <c r="J153" s="72"/>
      <c r="K153" s="155"/>
      <c r="L153" s="155"/>
      <c r="M153" s="155"/>
      <c r="N153" s="155"/>
      <c r="O153" s="153"/>
      <c r="P153" s="153"/>
      <c r="Q153" s="153"/>
      <c r="R153" s="153"/>
    </row>
    <row r="154" spans="1:18">
      <c r="A154" s="158"/>
      <c r="B154" s="163"/>
      <c r="C154" s="158"/>
      <c r="D154" s="153"/>
      <c r="E154" s="155"/>
      <c r="F154" s="155"/>
      <c r="G154" s="136"/>
      <c r="H154" s="155"/>
      <c r="I154" s="155"/>
      <c r="J154" s="72"/>
      <c r="K154" s="155"/>
      <c r="L154" s="155"/>
      <c r="M154" s="155"/>
      <c r="N154" s="155"/>
      <c r="O154" s="153"/>
      <c r="P154" s="153"/>
      <c r="Q154" s="153"/>
      <c r="R154" s="153"/>
    </row>
    <row r="155" spans="1:18">
      <c r="A155" s="158"/>
      <c r="B155" s="163"/>
      <c r="C155" s="158"/>
      <c r="D155" s="153"/>
      <c r="E155" s="155"/>
      <c r="F155" s="155"/>
      <c r="G155" s="136"/>
      <c r="H155" s="155"/>
      <c r="I155" s="155"/>
      <c r="J155" s="72"/>
      <c r="K155" s="155"/>
      <c r="L155" s="155"/>
      <c r="M155" s="155"/>
      <c r="N155" s="155"/>
      <c r="O155" s="153"/>
      <c r="P155" s="153"/>
      <c r="Q155" s="153"/>
      <c r="R155" s="153"/>
    </row>
    <row r="156" spans="1:18">
      <c r="A156" s="158"/>
      <c r="B156" s="163"/>
      <c r="C156" s="158"/>
      <c r="D156" s="153"/>
      <c r="E156" s="155"/>
      <c r="F156" s="155"/>
      <c r="G156" s="136"/>
      <c r="H156" s="155"/>
      <c r="I156" s="155"/>
      <c r="J156" s="72"/>
      <c r="K156" s="155"/>
      <c r="L156" s="155"/>
      <c r="M156" s="155"/>
      <c r="N156" s="155"/>
      <c r="O156" s="153"/>
      <c r="P156" s="153"/>
      <c r="Q156" s="153"/>
      <c r="R156" s="153"/>
    </row>
    <row r="157" spans="1:18">
      <c r="A157" s="158"/>
      <c r="B157" s="163"/>
      <c r="C157" s="158"/>
      <c r="D157" s="153"/>
      <c r="E157" s="155"/>
      <c r="F157" s="155"/>
      <c r="G157" s="136"/>
      <c r="H157" s="155"/>
      <c r="I157" s="155"/>
      <c r="J157" s="72"/>
      <c r="K157" s="155"/>
      <c r="L157" s="155"/>
      <c r="M157" s="155"/>
      <c r="N157" s="155"/>
      <c r="O157" s="153"/>
      <c r="P157" s="153"/>
      <c r="Q157" s="153"/>
      <c r="R157" s="153"/>
    </row>
    <row r="158" spans="1:18">
      <c r="A158" s="158"/>
      <c r="B158" s="163"/>
      <c r="C158" s="158"/>
      <c r="D158" s="153"/>
      <c r="E158" s="155"/>
      <c r="F158" s="155"/>
      <c r="G158" s="136"/>
      <c r="H158" s="155"/>
      <c r="I158" s="155"/>
      <c r="J158" s="72"/>
      <c r="K158" s="155"/>
      <c r="L158" s="155"/>
      <c r="M158" s="155"/>
      <c r="N158" s="155"/>
      <c r="O158" s="153"/>
      <c r="P158" s="153"/>
      <c r="Q158" s="153"/>
      <c r="R158" s="153"/>
    </row>
    <row r="159" spans="1:18">
      <c r="A159" s="158"/>
      <c r="B159" s="163"/>
      <c r="C159" s="158"/>
      <c r="D159" s="153"/>
      <c r="E159" s="155"/>
      <c r="F159" s="155"/>
      <c r="G159" s="136"/>
      <c r="H159" s="155"/>
      <c r="I159" s="155"/>
      <c r="J159" s="72"/>
      <c r="K159" s="155"/>
      <c r="L159" s="155"/>
      <c r="M159" s="155"/>
      <c r="N159" s="155"/>
      <c r="O159" s="153"/>
      <c r="P159" s="153"/>
      <c r="Q159" s="153"/>
      <c r="R159" s="153"/>
    </row>
    <row r="160" spans="1:18">
      <c r="A160" s="158"/>
      <c r="B160" s="163"/>
      <c r="C160" s="158"/>
      <c r="D160" s="153"/>
      <c r="E160" s="155"/>
      <c r="F160" s="155"/>
      <c r="G160" s="136"/>
      <c r="H160" s="155"/>
      <c r="I160" s="155"/>
      <c r="J160" s="72"/>
      <c r="K160" s="155"/>
      <c r="L160" s="155"/>
      <c r="M160" s="155"/>
      <c r="N160" s="155"/>
      <c r="O160" s="153"/>
      <c r="P160" s="153"/>
      <c r="Q160" s="153"/>
      <c r="R160" s="153"/>
    </row>
    <row r="161" spans="1:18">
      <c r="A161" s="158"/>
      <c r="B161" s="163"/>
      <c r="C161" s="158"/>
      <c r="D161" s="153"/>
      <c r="E161" s="155"/>
      <c r="F161" s="155"/>
      <c r="G161" s="136"/>
      <c r="H161" s="155"/>
      <c r="I161" s="155"/>
      <c r="J161" s="72"/>
      <c r="K161" s="155"/>
      <c r="L161" s="155"/>
      <c r="M161" s="155"/>
      <c r="N161" s="155"/>
      <c r="O161" s="153"/>
      <c r="P161" s="153"/>
      <c r="Q161" s="153"/>
      <c r="R161" s="153"/>
    </row>
    <row r="162" spans="1:18">
      <c r="A162" s="158"/>
      <c r="B162" s="163"/>
      <c r="C162" s="158"/>
      <c r="D162" s="153"/>
      <c r="E162" s="155"/>
      <c r="F162" s="155"/>
      <c r="G162" s="136"/>
      <c r="H162" s="155"/>
      <c r="I162" s="155"/>
      <c r="J162" s="72"/>
      <c r="K162" s="155"/>
      <c r="L162" s="155"/>
      <c r="M162" s="155"/>
      <c r="N162" s="155"/>
      <c r="O162" s="153"/>
      <c r="P162" s="153"/>
      <c r="Q162" s="153"/>
      <c r="R162" s="153"/>
    </row>
    <row r="163" spans="1:18">
      <c r="A163" s="158"/>
      <c r="B163" s="163"/>
      <c r="C163" s="158"/>
      <c r="D163" s="153"/>
      <c r="E163" s="155"/>
      <c r="F163" s="155"/>
      <c r="G163" s="136"/>
      <c r="H163" s="155"/>
      <c r="I163" s="155"/>
      <c r="J163" s="72"/>
      <c r="K163" s="155"/>
      <c r="L163" s="155"/>
      <c r="M163" s="155"/>
      <c r="N163" s="155"/>
      <c r="O163" s="153"/>
      <c r="P163" s="153"/>
      <c r="Q163" s="153"/>
      <c r="R163" s="153"/>
    </row>
    <row r="164" spans="1:18">
      <c r="A164" s="158"/>
      <c r="B164" s="163"/>
      <c r="C164" s="158"/>
      <c r="D164" s="153"/>
      <c r="E164" s="155"/>
      <c r="F164" s="155"/>
      <c r="G164" s="136"/>
      <c r="H164" s="155"/>
      <c r="I164" s="155"/>
      <c r="J164" s="72"/>
      <c r="K164" s="155"/>
      <c r="L164" s="155"/>
      <c r="M164" s="155"/>
      <c r="N164" s="155"/>
      <c r="O164" s="153"/>
      <c r="P164" s="153"/>
      <c r="Q164" s="153"/>
      <c r="R164" s="153"/>
    </row>
    <row r="165" spans="1:18">
      <c r="A165" s="158"/>
      <c r="B165" s="163"/>
      <c r="C165" s="158"/>
      <c r="D165" s="153"/>
      <c r="E165" s="155"/>
      <c r="F165" s="155"/>
      <c r="G165" s="136"/>
      <c r="H165" s="155"/>
      <c r="I165" s="155"/>
      <c r="J165" s="72"/>
      <c r="K165" s="155"/>
      <c r="L165" s="155"/>
      <c r="M165" s="155"/>
      <c r="N165" s="155"/>
      <c r="O165" s="153"/>
      <c r="P165" s="153"/>
      <c r="Q165" s="153"/>
      <c r="R165" s="153"/>
    </row>
    <row r="166" spans="1:18">
      <c r="A166" s="158"/>
      <c r="B166" s="163"/>
      <c r="C166" s="158"/>
      <c r="D166" s="153"/>
      <c r="E166" s="155"/>
      <c r="F166" s="155"/>
      <c r="G166" s="136"/>
      <c r="H166" s="155"/>
      <c r="I166" s="155"/>
      <c r="J166" s="72"/>
      <c r="K166" s="155"/>
      <c r="L166" s="155"/>
      <c r="M166" s="155"/>
      <c r="N166" s="155"/>
      <c r="O166" s="153"/>
      <c r="P166" s="153"/>
      <c r="Q166" s="153"/>
      <c r="R166" s="153"/>
    </row>
    <row r="167" spans="1:18">
      <c r="A167" s="158"/>
      <c r="B167" s="163"/>
      <c r="C167" s="158"/>
      <c r="D167" s="153"/>
      <c r="E167" s="155"/>
      <c r="F167" s="155"/>
      <c r="G167" s="136"/>
      <c r="H167" s="155"/>
      <c r="I167" s="155"/>
      <c r="J167" s="72"/>
      <c r="K167" s="155"/>
      <c r="L167" s="155"/>
      <c r="M167" s="155"/>
      <c r="N167" s="155"/>
      <c r="O167" s="153"/>
      <c r="P167" s="153"/>
      <c r="Q167" s="153"/>
      <c r="R167" s="153"/>
    </row>
    <row r="168" spans="1:18">
      <c r="A168" s="158"/>
      <c r="B168" s="163"/>
      <c r="C168" s="158"/>
      <c r="D168" s="153"/>
      <c r="E168" s="155"/>
      <c r="F168" s="155"/>
      <c r="G168" s="136"/>
      <c r="H168" s="155"/>
      <c r="I168" s="155"/>
      <c r="J168" s="72"/>
      <c r="K168" s="155"/>
      <c r="L168" s="155"/>
      <c r="M168" s="155"/>
      <c r="N168" s="155"/>
      <c r="O168" s="153"/>
      <c r="P168" s="153"/>
      <c r="Q168" s="153"/>
      <c r="R168" s="153"/>
    </row>
    <row r="169" spans="1:18">
      <c r="A169" s="158"/>
      <c r="B169" s="163"/>
      <c r="C169" s="158"/>
      <c r="D169" s="153"/>
      <c r="E169" s="155"/>
      <c r="F169" s="155"/>
      <c r="G169" s="136"/>
      <c r="H169" s="155"/>
      <c r="I169" s="155"/>
      <c r="J169" s="72"/>
      <c r="K169" s="155"/>
      <c r="L169" s="155"/>
      <c r="M169" s="155"/>
      <c r="N169" s="155"/>
      <c r="O169" s="153"/>
      <c r="P169" s="153"/>
      <c r="Q169" s="153"/>
      <c r="R169" s="153"/>
    </row>
    <row r="170" spans="1:18">
      <c r="A170" s="158"/>
      <c r="B170" s="153"/>
      <c r="C170" s="158"/>
      <c r="D170" s="153"/>
      <c r="E170" s="155"/>
      <c r="F170" s="155"/>
      <c r="G170" s="136"/>
      <c r="H170" s="155"/>
      <c r="I170" s="155"/>
      <c r="J170" s="72"/>
      <c r="K170" s="155"/>
      <c r="L170" s="155"/>
      <c r="M170" s="155"/>
      <c r="N170" s="155"/>
      <c r="O170" s="153"/>
      <c r="P170" s="153"/>
      <c r="Q170" s="153"/>
      <c r="R170" s="153"/>
    </row>
    <row r="171" spans="1:18">
      <c r="A171" s="158"/>
      <c r="B171" s="153"/>
      <c r="C171" s="158"/>
      <c r="D171" s="153"/>
      <c r="E171" s="155"/>
      <c r="F171" s="155"/>
      <c r="H171" s="155"/>
      <c r="I171" s="155"/>
      <c r="J171" s="72"/>
      <c r="K171" s="155"/>
      <c r="L171" s="155"/>
      <c r="M171" s="155"/>
      <c r="N171" s="155"/>
      <c r="O171" s="153"/>
      <c r="P171" s="153"/>
      <c r="Q171" s="153"/>
      <c r="R171" s="153"/>
    </row>
    <row r="172" spans="1:18">
      <c r="A172" s="158"/>
      <c r="B172" s="153"/>
      <c r="C172" s="158"/>
      <c r="D172" s="153"/>
      <c r="E172" s="155"/>
      <c r="F172" s="155"/>
      <c r="H172" s="155"/>
      <c r="I172" s="155"/>
      <c r="J172" s="72"/>
      <c r="K172" s="155"/>
      <c r="L172" s="155"/>
      <c r="M172" s="155"/>
      <c r="N172" s="155"/>
      <c r="O172" s="153"/>
      <c r="P172" s="153"/>
      <c r="Q172" s="153"/>
      <c r="R172" s="153"/>
    </row>
    <row r="173" spans="1:18">
      <c r="A173" s="158"/>
      <c r="B173" s="153"/>
      <c r="C173" s="158"/>
      <c r="D173" s="153"/>
      <c r="E173" s="155"/>
      <c r="F173" s="155"/>
      <c r="H173" s="155"/>
      <c r="I173" s="155"/>
      <c r="J173" s="162"/>
      <c r="K173" s="155"/>
      <c r="L173" s="155"/>
      <c r="M173" s="155"/>
      <c r="N173" s="155"/>
      <c r="O173" s="153"/>
      <c r="P173" s="153"/>
      <c r="Q173" s="153"/>
      <c r="R173" s="153"/>
    </row>
    <row r="174" spans="1:18">
      <c r="A174" s="158"/>
      <c r="B174" s="153"/>
      <c r="C174" s="158"/>
      <c r="D174" s="153"/>
      <c r="E174" s="155"/>
      <c r="F174" s="155"/>
      <c r="H174" s="155"/>
      <c r="I174" s="155"/>
      <c r="J174" s="162"/>
      <c r="K174" s="155"/>
      <c r="L174" s="155"/>
      <c r="M174" s="155"/>
      <c r="N174" s="155"/>
      <c r="O174" s="153"/>
      <c r="P174" s="153"/>
      <c r="Q174" s="153"/>
      <c r="R174" s="153"/>
    </row>
    <row r="175" spans="1:18">
      <c r="A175" s="158"/>
      <c r="B175" s="153"/>
      <c r="C175" s="158"/>
      <c r="D175" s="153"/>
      <c r="E175" s="155"/>
      <c r="F175" s="155"/>
      <c r="G175" s="136"/>
      <c r="H175" s="155"/>
      <c r="I175" s="155"/>
      <c r="J175" s="162"/>
      <c r="K175" s="155"/>
      <c r="L175" s="155"/>
      <c r="M175" s="155"/>
      <c r="N175" s="155"/>
      <c r="O175" s="153"/>
      <c r="P175" s="153"/>
      <c r="Q175" s="153"/>
      <c r="R175" s="153"/>
    </row>
    <row r="176" spans="1:18">
      <c r="A176" s="158"/>
      <c r="B176" s="153"/>
      <c r="C176" s="158"/>
      <c r="D176" s="153"/>
      <c r="E176" s="155"/>
      <c r="F176" s="155"/>
      <c r="G176" s="136"/>
      <c r="H176" s="155"/>
      <c r="I176" s="155"/>
      <c r="J176" s="162"/>
      <c r="K176" s="155"/>
      <c r="L176" s="155"/>
      <c r="M176" s="155"/>
      <c r="N176" s="155"/>
      <c r="O176" s="153"/>
      <c r="P176" s="153"/>
      <c r="Q176" s="153"/>
      <c r="R176" s="153"/>
    </row>
    <row r="177" spans="1:18">
      <c r="A177" s="158"/>
      <c r="B177" s="153"/>
      <c r="C177" s="158"/>
      <c r="D177" s="153"/>
      <c r="E177" s="155"/>
      <c r="F177" s="155"/>
      <c r="H177" s="155"/>
      <c r="I177" s="155"/>
      <c r="J177" s="162"/>
      <c r="K177" s="155"/>
      <c r="L177" s="155"/>
      <c r="M177" s="155"/>
      <c r="N177" s="155"/>
      <c r="O177" s="153"/>
      <c r="P177" s="153"/>
      <c r="Q177" s="153"/>
      <c r="R177" s="153"/>
    </row>
    <row r="178" spans="1:18">
      <c r="A178" s="158"/>
      <c r="B178" s="153"/>
      <c r="C178" s="158"/>
      <c r="D178" s="153"/>
      <c r="E178" s="155"/>
      <c r="F178" s="155"/>
      <c r="H178" s="155"/>
      <c r="I178" s="155"/>
      <c r="J178" s="162"/>
      <c r="K178" s="155"/>
      <c r="L178" s="155"/>
      <c r="M178" s="155"/>
      <c r="N178" s="155"/>
      <c r="O178" s="153"/>
      <c r="P178" s="153"/>
      <c r="Q178" s="153"/>
      <c r="R178" s="153"/>
    </row>
    <row r="179" spans="1:18">
      <c r="A179" s="158"/>
      <c r="B179" s="153"/>
      <c r="C179" s="158"/>
      <c r="D179" s="153"/>
      <c r="E179" s="155"/>
      <c r="F179" s="155"/>
      <c r="G179" s="136"/>
      <c r="H179" s="155"/>
      <c r="I179" s="155"/>
      <c r="J179" s="162"/>
      <c r="K179" s="155"/>
      <c r="L179" s="155"/>
      <c r="M179" s="155"/>
      <c r="N179" s="155"/>
      <c r="O179" s="153"/>
      <c r="P179" s="153"/>
      <c r="Q179" s="153"/>
      <c r="R179" s="153"/>
    </row>
    <row r="180" spans="1:18">
      <c r="A180" s="158"/>
      <c r="B180" s="153"/>
      <c r="C180" s="158"/>
      <c r="D180" s="153"/>
      <c r="E180" s="155"/>
      <c r="F180" s="155"/>
      <c r="H180" s="155"/>
      <c r="I180" s="155"/>
      <c r="J180" s="162"/>
      <c r="K180" s="155"/>
      <c r="L180" s="155"/>
      <c r="M180" s="155"/>
      <c r="N180" s="155"/>
      <c r="O180" s="153"/>
      <c r="P180" s="153"/>
      <c r="Q180" s="153"/>
      <c r="R180" s="153"/>
    </row>
    <row r="181" spans="1:18">
      <c r="A181" s="158"/>
      <c r="B181" s="153"/>
      <c r="C181" s="158"/>
      <c r="D181" s="153"/>
      <c r="E181" s="155"/>
      <c r="F181" s="155"/>
      <c r="G181" s="136"/>
      <c r="H181" s="155"/>
      <c r="I181" s="155"/>
      <c r="J181" s="162"/>
      <c r="K181" s="155"/>
      <c r="L181" s="155"/>
      <c r="M181" s="155"/>
      <c r="N181" s="155"/>
      <c r="O181" s="153"/>
      <c r="P181" s="153"/>
      <c r="Q181" s="153"/>
      <c r="R181" s="153"/>
    </row>
    <row r="182" spans="1:18">
      <c r="A182" s="158"/>
      <c r="B182" s="153"/>
      <c r="C182" s="158"/>
      <c r="D182" s="153"/>
      <c r="E182" s="155"/>
      <c r="F182" s="155"/>
      <c r="H182" s="155"/>
      <c r="I182" s="155"/>
      <c r="J182" s="162"/>
      <c r="K182" s="155"/>
      <c r="L182" s="155"/>
      <c r="M182" s="155"/>
      <c r="N182" s="155"/>
      <c r="O182" s="153"/>
      <c r="P182" s="153"/>
      <c r="Q182" s="153"/>
      <c r="R182" s="153"/>
    </row>
    <row r="183" spans="1:18">
      <c r="A183" s="158"/>
      <c r="B183" s="153"/>
      <c r="C183" s="158"/>
      <c r="D183" s="153"/>
      <c r="E183" s="155"/>
      <c r="F183" s="155"/>
      <c r="H183" s="155"/>
      <c r="I183" s="155"/>
      <c r="J183" s="162"/>
      <c r="K183" s="155"/>
      <c r="L183" s="155"/>
      <c r="M183" s="155"/>
      <c r="N183" s="155"/>
      <c r="O183" s="153"/>
      <c r="P183" s="153"/>
      <c r="Q183" s="153"/>
      <c r="R183" s="153"/>
    </row>
    <row r="184" spans="1:18">
      <c r="A184" s="158"/>
      <c r="B184" s="153"/>
      <c r="C184" s="158"/>
      <c r="D184" s="153"/>
      <c r="E184" s="155"/>
      <c r="F184" s="155"/>
      <c r="G184" s="136"/>
      <c r="H184" s="155"/>
      <c r="I184" s="155"/>
      <c r="J184" s="162"/>
      <c r="K184" s="155"/>
      <c r="L184" s="155"/>
      <c r="M184" s="155"/>
      <c r="N184" s="155"/>
      <c r="O184" s="153"/>
      <c r="P184" s="153"/>
      <c r="Q184" s="153"/>
      <c r="R184" s="153"/>
    </row>
    <row r="185" spans="1:18">
      <c r="A185" s="158"/>
      <c r="B185" s="153"/>
      <c r="C185" s="158"/>
      <c r="D185" s="153"/>
      <c r="E185" s="155"/>
      <c r="F185" s="155"/>
      <c r="H185" s="155"/>
      <c r="I185" s="155"/>
      <c r="J185" s="162"/>
      <c r="K185" s="155"/>
      <c r="L185" s="155"/>
      <c r="M185" s="155"/>
      <c r="N185" s="155"/>
      <c r="O185" s="153"/>
      <c r="P185" s="153"/>
      <c r="Q185" s="153"/>
      <c r="R185" s="153"/>
    </row>
    <row r="186" spans="1:18">
      <c r="A186" s="158"/>
      <c r="B186" s="153"/>
      <c r="C186" s="158"/>
      <c r="D186" s="153"/>
      <c r="E186" s="155"/>
      <c r="F186" s="155"/>
      <c r="H186" s="155"/>
      <c r="I186" s="155"/>
      <c r="J186" s="162"/>
      <c r="K186" s="155"/>
      <c r="L186" s="155"/>
      <c r="M186" s="155"/>
      <c r="N186" s="155"/>
      <c r="O186" s="153"/>
      <c r="P186" s="153"/>
      <c r="Q186" s="153"/>
      <c r="R186" s="153"/>
    </row>
    <row r="187" spans="1:18">
      <c r="A187" s="158"/>
      <c r="B187" s="153"/>
      <c r="C187" s="158"/>
      <c r="D187" s="153"/>
      <c r="E187" s="155"/>
      <c r="F187" s="155"/>
      <c r="H187" s="155"/>
      <c r="I187" s="155"/>
      <c r="J187" s="162"/>
      <c r="K187" s="155"/>
      <c r="L187" s="155"/>
      <c r="M187" s="155"/>
      <c r="N187" s="155"/>
      <c r="O187" s="153"/>
      <c r="P187" s="153"/>
      <c r="Q187" s="153"/>
      <c r="R187" s="153"/>
    </row>
    <row r="188" spans="1:18">
      <c r="A188" s="158"/>
      <c r="B188" s="153"/>
      <c r="C188" s="158"/>
      <c r="D188" s="153"/>
      <c r="E188" s="155"/>
      <c r="F188" s="155"/>
      <c r="H188" s="155"/>
      <c r="I188" s="155"/>
      <c r="J188" s="162"/>
      <c r="K188" s="155"/>
      <c r="L188" s="155"/>
      <c r="M188" s="155"/>
      <c r="N188" s="155"/>
      <c r="O188" s="153"/>
      <c r="P188" s="153"/>
      <c r="Q188" s="153"/>
      <c r="R188" s="153"/>
    </row>
    <row r="189" spans="1:18">
      <c r="A189" s="158"/>
      <c r="B189" s="153"/>
      <c r="C189" s="158"/>
      <c r="D189" s="153"/>
      <c r="E189" s="155"/>
      <c r="F189" s="155"/>
      <c r="G189" s="136"/>
      <c r="H189" s="155"/>
      <c r="I189" s="155"/>
      <c r="J189" s="162"/>
      <c r="K189" s="155"/>
      <c r="L189" s="155"/>
      <c r="M189" s="155"/>
      <c r="N189" s="155"/>
      <c r="O189" s="153"/>
      <c r="P189" s="153"/>
      <c r="Q189" s="153"/>
      <c r="R189" s="153"/>
    </row>
    <row r="190" spans="1:18">
      <c r="A190" s="158"/>
      <c r="B190" s="153"/>
      <c r="C190" s="158"/>
      <c r="D190" s="153"/>
      <c r="E190" s="155"/>
      <c r="F190" s="155"/>
      <c r="G190" s="136"/>
      <c r="H190" s="155"/>
      <c r="I190" s="155"/>
      <c r="J190" s="162"/>
      <c r="K190" s="155"/>
      <c r="L190" s="155"/>
      <c r="M190" s="155"/>
      <c r="N190" s="155"/>
      <c r="O190" s="153"/>
      <c r="P190" s="153"/>
      <c r="Q190" s="153"/>
      <c r="R190" s="153"/>
    </row>
    <row r="191" spans="1:18">
      <c r="A191" s="158"/>
      <c r="B191" s="153"/>
      <c r="C191" s="158"/>
      <c r="D191" s="153"/>
      <c r="E191" s="155"/>
      <c r="F191" s="155"/>
      <c r="G191" s="136"/>
      <c r="H191" s="155"/>
      <c r="I191" s="155"/>
      <c r="J191" s="162"/>
      <c r="K191" s="155"/>
      <c r="L191" s="155"/>
      <c r="M191" s="155"/>
      <c r="N191" s="155"/>
      <c r="O191" s="153"/>
      <c r="P191" s="153"/>
      <c r="Q191" s="153"/>
      <c r="R191" s="153"/>
    </row>
    <row r="192" spans="1:18">
      <c r="A192" s="158"/>
      <c r="B192" s="153"/>
      <c r="C192" s="158"/>
      <c r="D192" s="153"/>
      <c r="E192" s="155"/>
      <c r="F192" s="155"/>
      <c r="G192" s="136"/>
      <c r="H192" s="155"/>
      <c r="I192" s="155"/>
      <c r="J192" s="162"/>
      <c r="K192" s="155"/>
      <c r="L192" s="155"/>
      <c r="M192" s="155"/>
      <c r="N192" s="155"/>
      <c r="O192" s="153"/>
      <c r="P192" s="153"/>
      <c r="Q192" s="153"/>
      <c r="R192" s="153"/>
    </row>
    <row r="193" spans="1:19">
      <c r="A193" s="158"/>
      <c r="B193" s="153"/>
      <c r="C193" s="158"/>
      <c r="D193" s="153"/>
      <c r="E193" s="155"/>
      <c r="F193" s="155"/>
      <c r="G193" s="136"/>
      <c r="H193" s="155"/>
      <c r="I193" s="155"/>
      <c r="J193" s="162"/>
      <c r="K193" s="155"/>
      <c r="L193" s="155"/>
      <c r="M193" s="155"/>
      <c r="N193" s="155"/>
      <c r="O193" s="153"/>
      <c r="P193" s="153"/>
      <c r="Q193" s="153"/>
      <c r="R193" s="153"/>
    </row>
    <row r="194" spans="1:19">
      <c r="A194" s="158"/>
      <c r="B194" s="153"/>
      <c r="C194" s="158"/>
      <c r="D194" s="153"/>
      <c r="E194" s="155"/>
      <c r="F194" s="155"/>
      <c r="G194" s="162"/>
      <c r="H194" s="155"/>
      <c r="I194" s="155"/>
      <c r="J194" s="162"/>
      <c r="K194" s="155"/>
      <c r="L194" s="155"/>
      <c r="M194" s="155"/>
      <c r="N194" s="155"/>
      <c r="O194" s="153"/>
      <c r="P194" s="153"/>
      <c r="Q194" s="153"/>
      <c r="R194" s="153"/>
      <c r="S194" s="160"/>
    </row>
    <row r="195" spans="1:19">
      <c r="A195" s="158"/>
      <c r="B195" s="153"/>
      <c r="C195" s="158"/>
      <c r="D195" s="153"/>
      <c r="E195" s="155"/>
      <c r="F195" s="155"/>
      <c r="G195" s="136"/>
      <c r="H195" s="155"/>
      <c r="I195" s="155"/>
      <c r="J195" s="162"/>
      <c r="K195" s="155"/>
      <c r="L195" s="155"/>
      <c r="M195" s="155"/>
      <c r="N195" s="155"/>
      <c r="O195" s="153"/>
      <c r="P195" s="153"/>
      <c r="Q195" s="153"/>
      <c r="R195" s="153"/>
    </row>
    <row r="196" spans="1:19">
      <c r="A196" s="158"/>
      <c r="B196" s="153"/>
      <c r="C196" s="158"/>
      <c r="D196" s="153"/>
      <c r="E196" s="155"/>
      <c r="F196" s="155"/>
      <c r="G196" s="136"/>
      <c r="H196" s="155"/>
      <c r="I196" s="155"/>
      <c r="J196" s="162"/>
      <c r="K196" s="155"/>
      <c r="L196" s="155"/>
      <c r="M196" s="155"/>
      <c r="N196" s="155"/>
      <c r="O196" s="153"/>
      <c r="P196" s="153"/>
      <c r="Q196" s="153"/>
      <c r="R196" s="153"/>
    </row>
    <row r="197" spans="1:19">
      <c r="A197" s="158"/>
      <c r="B197" s="153"/>
      <c r="C197" s="158"/>
      <c r="D197" s="153"/>
      <c r="E197" s="155"/>
      <c r="F197" s="155"/>
      <c r="G197" s="136"/>
      <c r="H197" s="155"/>
      <c r="I197" s="155"/>
      <c r="J197" s="162"/>
      <c r="K197" s="155"/>
      <c r="L197" s="155"/>
      <c r="M197" s="155"/>
      <c r="N197" s="155"/>
      <c r="O197" s="153"/>
      <c r="P197" s="153"/>
      <c r="Q197" s="153"/>
      <c r="R197" s="153"/>
    </row>
    <row r="198" spans="1:19">
      <c r="A198" s="158"/>
      <c r="B198" s="153"/>
      <c r="C198" s="158"/>
      <c r="D198" s="153"/>
      <c r="E198" s="155"/>
      <c r="F198" s="155"/>
      <c r="G198" s="136"/>
      <c r="H198" s="155"/>
      <c r="I198" s="155"/>
      <c r="J198" s="162"/>
      <c r="K198" s="155"/>
      <c r="L198" s="155"/>
      <c r="M198" s="155"/>
      <c r="N198" s="155"/>
      <c r="O198" s="153"/>
      <c r="P198" s="153"/>
      <c r="Q198" s="153"/>
      <c r="R198" s="153"/>
    </row>
    <row r="199" spans="1:19">
      <c r="A199" s="158"/>
      <c r="B199" s="153"/>
      <c r="C199" s="152"/>
      <c r="D199" s="153"/>
      <c r="E199" s="155"/>
      <c r="F199" s="155"/>
      <c r="G199" s="136"/>
      <c r="H199" s="155"/>
      <c r="I199" s="155"/>
      <c r="J199" s="162"/>
      <c r="K199" s="155"/>
      <c r="L199" s="155"/>
      <c r="M199" s="155"/>
      <c r="N199" s="155"/>
      <c r="O199" s="153"/>
      <c r="P199" s="153"/>
      <c r="Q199" s="153"/>
      <c r="R199" s="153"/>
    </row>
    <row r="200" spans="1:19">
      <c r="A200" s="158"/>
      <c r="B200" s="153"/>
      <c r="C200" s="152"/>
      <c r="D200" s="153"/>
      <c r="E200" s="155"/>
      <c r="F200" s="155"/>
      <c r="G200" s="136"/>
      <c r="H200" s="155"/>
      <c r="I200" s="155"/>
      <c r="J200" s="162"/>
      <c r="K200" s="155"/>
      <c r="L200" s="155"/>
      <c r="M200" s="155"/>
      <c r="N200" s="155"/>
      <c r="O200" s="153"/>
      <c r="P200" s="153"/>
      <c r="Q200" s="153"/>
      <c r="R200" s="153"/>
    </row>
    <row r="201" spans="1:19">
      <c r="A201" s="158"/>
      <c r="B201" s="153"/>
      <c r="C201" s="152"/>
      <c r="D201" s="153"/>
      <c r="E201" s="155"/>
      <c r="F201" s="155"/>
      <c r="G201" s="161"/>
      <c r="H201" s="155"/>
      <c r="I201" s="155"/>
      <c r="J201" s="162"/>
      <c r="K201" s="155"/>
      <c r="L201" s="155"/>
      <c r="M201" s="155"/>
      <c r="N201" s="155"/>
      <c r="O201" s="153"/>
      <c r="P201" s="153"/>
      <c r="Q201" s="153"/>
      <c r="R201" s="153"/>
    </row>
    <row r="202" spans="1:19">
      <c r="A202" s="158"/>
      <c r="B202" s="153"/>
      <c r="C202" s="152"/>
      <c r="D202" s="153"/>
      <c r="E202" s="155"/>
      <c r="F202" s="155"/>
      <c r="G202" s="161"/>
      <c r="H202" s="155"/>
      <c r="I202" s="155"/>
      <c r="J202" s="162"/>
      <c r="K202" s="155"/>
      <c r="L202" s="155"/>
      <c r="M202" s="155"/>
      <c r="N202" s="155"/>
      <c r="O202" s="153"/>
      <c r="P202" s="153"/>
      <c r="Q202" s="153"/>
      <c r="R202" s="153"/>
    </row>
    <row r="203" spans="1:19">
      <c r="A203" s="158"/>
      <c r="B203" s="153"/>
      <c r="C203" s="152"/>
      <c r="D203" s="153"/>
      <c r="E203" s="155"/>
      <c r="F203" s="155"/>
      <c r="G203" s="161"/>
      <c r="H203" s="155"/>
      <c r="I203" s="155"/>
      <c r="J203" s="162"/>
      <c r="K203" s="155"/>
      <c r="L203" s="155"/>
      <c r="M203" s="155"/>
      <c r="N203" s="155"/>
      <c r="O203" s="153"/>
      <c r="P203" s="153"/>
      <c r="Q203" s="153"/>
      <c r="R203" s="153"/>
    </row>
    <row r="204" spans="1:19">
      <c r="A204" s="158"/>
      <c r="B204" s="153"/>
      <c r="C204" s="152"/>
      <c r="D204" s="153"/>
      <c r="E204" s="155"/>
      <c r="F204" s="155"/>
      <c r="H204" s="155"/>
      <c r="I204" s="155"/>
      <c r="J204" s="162"/>
      <c r="K204" s="155"/>
      <c r="L204" s="155"/>
      <c r="M204" s="155"/>
      <c r="N204" s="155"/>
      <c r="O204" s="153"/>
      <c r="P204" s="153"/>
      <c r="Q204" s="153"/>
      <c r="R204" s="153"/>
    </row>
    <row r="205" spans="1:19">
      <c r="A205" s="158"/>
      <c r="B205" s="153"/>
      <c r="C205" s="152"/>
      <c r="D205" s="153"/>
      <c r="E205" s="155"/>
      <c r="F205" s="155"/>
      <c r="H205" s="155"/>
      <c r="I205" s="155"/>
      <c r="J205" s="162"/>
      <c r="K205" s="155"/>
      <c r="L205" s="155"/>
      <c r="M205" s="155"/>
      <c r="N205" s="155"/>
      <c r="O205" s="153"/>
      <c r="P205" s="153"/>
      <c r="Q205" s="153"/>
      <c r="R205" s="153"/>
    </row>
    <row r="206" spans="1:19">
      <c r="A206" s="158"/>
      <c r="B206" s="153"/>
      <c r="C206" s="152"/>
      <c r="D206" s="153"/>
      <c r="E206" s="155"/>
      <c r="F206" s="155"/>
      <c r="H206" s="155"/>
      <c r="I206" s="155"/>
      <c r="J206" s="162"/>
      <c r="K206" s="155"/>
      <c r="L206" s="155"/>
      <c r="M206" s="155"/>
      <c r="N206" s="155"/>
      <c r="O206" s="153"/>
      <c r="P206" s="153"/>
      <c r="Q206" s="153"/>
      <c r="R206" s="153"/>
    </row>
    <row r="207" spans="1:19">
      <c r="A207" s="158"/>
      <c r="B207" s="153"/>
      <c r="C207" s="152"/>
      <c r="D207" s="153"/>
      <c r="E207" s="155"/>
      <c r="F207" s="155"/>
      <c r="H207" s="155"/>
      <c r="I207" s="155"/>
      <c r="J207" s="162"/>
      <c r="K207" s="155"/>
      <c r="L207" s="155"/>
      <c r="M207" s="155"/>
      <c r="N207" s="155"/>
      <c r="O207" s="153"/>
      <c r="P207" s="153"/>
      <c r="Q207" s="153"/>
      <c r="R207" s="153"/>
    </row>
    <row r="208" spans="1:19">
      <c r="A208" s="158"/>
      <c r="B208" s="153"/>
      <c r="C208" s="152"/>
      <c r="D208" s="153"/>
      <c r="E208" s="155"/>
      <c r="F208" s="155"/>
      <c r="H208" s="155"/>
      <c r="I208" s="155"/>
      <c r="J208" s="162"/>
      <c r="K208" s="155"/>
      <c r="L208" s="155"/>
      <c r="M208" s="155"/>
      <c r="N208" s="155"/>
      <c r="O208" s="153"/>
      <c r="P208" s="153"/>
      <c r="Q208" s="153"/>
      <c r="R208" s="153"/>
    </row>
    <row r="209" spans="1:18">
      <c r="A209" s="158"/>
      <c r="B209" s="153"/>
      <c r="C209" s="152"/>
      <c r="D209" s="153"/>
      <c r="E209" s="155"/>
      <c r="F209" s="155"/>
      <c r="G209" s="136"/>
      <c r="H209" s="155"/>
      <c r="I209" s="155"/>
      <c r="J209" s="162"/>
      <c r="K209" s="155"/>
      <c r="L209" s="155"/>
      <c r="M209" s="155"/>
      <c r="N209" s="155"/>
      <c r="O209" s="153"/>
      <c r="P209" s="153"/>
      <c r="Q209" s="153"/>
      <c r="R209" s="153"/>
    </row>
    <row r="210" spans="1:18">
      <c r="A210" s="158"/>
      <c r="B210" s="153"/>
      <c r="C210" s="152"/>
      <c r="D210" s="153"/>
      <c r="E210" s="155"/>
      <c r="F210" s="155"/>
      <c r="H210" s="155"/>
      <c r="I210" s="155"/>
      <c r="J210" s="162"/>
      <c r="K210" s="155"/>
      <c r="L210" s="155"/>
      <c r="M210" s="155"/>
      <c r="N210" s="155"/>
      <c r="O210" s="153"/>
      <c r="P210" s="153"/>
      <c r="Q210" s="153"/>
      <c r="R210" s="153"/>
    </row>
    <row r="211" spans="1:18">
      <c r="A211" s="158"/>
      <c r="B211" s="153"/>
      <c r="C211" s="152"/>
      <c r="D211" s="153"/>
      <c r="E211" s="155"/>
      <c r="F211" s="155"/>
      <c r="H211" s="155"/>
      <c r="I211" s="155"/>
      <c r="J211" s="162"/>
      <c r="K211" s="155"/>
      <c r="L211" s="155"/>
      <c r="M211" s="155"/>
      <c r="N211" s="155"/>
      <c r="O211" s="153"/>
      <c r="P211" s="153"/>
      <c r="Q211" s="153"/>
      <c r="R211" s="153"/>
    </row>
    <row r="212" spans="1:18">
      <c r="A212" s="158"/>
      <c r="B212" s="153"/>
      <c r="C212" s="152"/>
      <c r="D212" s="153"/>
      <c r="E212" s="155"/>
      <c r="F212" s="155"/>
      <c r="H212" s="155"/>
      <c r="I212" s="155"/>
      <c r="J212" s="162"/>
      <c r="K212" s="155"/>
      <c r="L212" s="155"/>
      <c r="M212" s="155"/>
      <c r="N212" s="155"/>
      <c r="O212" s="153"/>
      <c r="P212" s="153"/>
      <c r="Q212" s="153"/>
      <c r="R212" s="153"/>
    </row>
    <row r="213" spans="1:18">
      <c r="A213" s="158"/>
      <c r="B213" s="153"/>
      <c r="C213" s="152"/>
      <c r="D213" s="153"/>
      <c r="E213" s="155"/>
      <c r="F213" s="155"/>
      <c r="H213" s="155"/>
      <c r="I213" s="155"/>
      <c r="J213" s="162"/>
      <c r="K213" s="155"/>
      <c r="L213" s="155"/>
      <c r="M213" s="155"/>
      <c r="N213" s="155"/>
      <c r="O213" s="153"/>
      <c r="P213" s="153"/>
      <c r="Q213" s="153"/>
      <c r="R213" s="153"/>
    </row>
    <row r="214" spans="1:18">
      <c r="A214" s="158"/>
      <c r="B214" s="153"/>
      <c r="C214" s="152"/>
      <c r="D214" s="153"/>
      <c r="E214" s="155"/>
      <c r="F214" s="155"/>
      <c r="H214" s="155"/>
      <c r="I214" s="155"/>
      <c r="J214" s="162"/>
      <c r="K214" s="155"/>
      <c r="L214" s="155"/>
      <c r="M214" s="155"/>
      <c r="N214" s="155"/>
      <c r="O214" s="153"/>
      <c r="P214" s="153"/>
      <c r="Q214" s="153"/>
      <c r="R214" s="153"/>
    </row>
    <row r="215" spans="1:18">
      <c r="A215" s="158"/>
      <c r="B215" s="153"/>
      <c r="C215" s="152"/>
      <c r="D215" s="153"/>
      <c r="E215" s="155"/>
      <c r="F215" s="155"/>
      <c r="H215" s="155"/>
      <c r="I215" s="155"/>
      <c r="J215" s="162"/>
      <c r="K215" s="155"/>
      <c r="L215" s="155"/>
      <c r="M215" s="155"/>
      <c r="N215" s="155"/>
      <c r="O215" s="153"/>
      <c r="P215" s="153"/>
      <c r="Q215" s="153"/>
      <c r="R215" s="153"/>
    </row>
    <row r="216" spans="1:18">
      <c r="A216" s="158"/>
      <c r="B216" s="153"/>
      <c r="C216" s="152"/>
      <c r="D216" s="153"/>
      <c r="E216" s="155"/>
      <c r="F216" s="155"/>
      <c r="H216" s="155"/>
      <c r="I216" s="155"/>
      <c r="J216" s="162"/>
      <c r="K216" s="155"/>
      <c r="L216" s="155"/>
      <c r="M216" s="155"/>
      <c r="N216" s="155"/>
      <c r="O216" s="153"/>
      <c r="P216" s="153"/>
      <c r="Q216" s="153"/>
      <c r="R216" s="153"/>
    </row>
    <row r="217" spans="1:18">
      <c r="A217" s="158"/>
      <c r="B217" s="153"/>
      <c r="C217" s="152"/>
      <c r="D217" s="153"/>
      <c r="E217" s="155"/>
      <c r="F217" s="155"/>
      <c r="G217" s="136"/>
      <c r="H217" s="155"/>
      <c r="I217" s="155"/>
      <c r="J217" s="162"/>
      <c r="K217" s="155"/>
      <c r="L217" s="155"/>
      <c r="M217" s="155"/>
      <c r="N217" s="155"/>
      <c r="O217" s="153"/>
      <c r="P217" s="153"/>
      <c r="Q217" s="153"/>
      <c r="R217" s="153"/>
    </row>
    <row r="218" spans="1:18">
      <c r="A218" s="158"/>
      <c r="B218" s="153"/>
      <c r="C218" s="152"/>
      <c r="D218" s="153"/>
      <c r="E218" s="155"/>
      <c r="F218" s="155"/>
      <c r="H218" s="155"/>
      <c r="I218" s="155"/>
      <c r="J218" s="162"/>
      <c r="K218" s="155"/>
      <c r="L218" s="155"/>
      <c r="M218" s="155"/>
      <c r="N218" s="155"/>
      <c r="O218" s="153"/>
      <c r="P218" s="153"/>
      <c r="Q218" s="153"/>
      <c r="R218" s="153"/>
    </row>
    <row r="219" spans="1:18">
      <c r="A219" s="158"/>
      <c r="B219" s="153"/>
      <c r="C219" s="152"/>
      <c r="D219" s="153"/>
      <c r="E219" s="155"/>
      <c r="F219" s="155"/>
      <c r="H219" s="155"/>
      <c r="I219" s="155"/>
      <c r="J219" s="162"/>
      <c r="K219" s="155"/>
      <c r="L219" s="155"/>
      <c r="M219" s="155"/>
      <c r="N219" s="155"/>
      <c r="O219" s="153"/>
      <c r="P219" s="153"/>
      <c r="Q219" s="153"/>
      <c r="R219" s="153"/>
    </row>
    <row r="220" spans="1:18">
      <c r="A220" s="158"/>
      <c r="B220" s="153"/>
      <c r="C220" s="152"/>
      <c r="D220" s="153"/>
      <c r="E220" s="155"/>
      <c r="F220" s="155"/>
      <c r="H220" s="155"/>
      <c r="I220" s="155"/>
      <c r="J220" s="162"/>
      <c r="K220" s="155"/>
      <c r="L220" s="155"/>
      <c r="M220" s="155"/>
      <c r="N220" s="155"/>
      <c r="O220" s="153"/>
      <c r="P220" s="153"/>
      <c r="Q220" s="153"/>
      <c r="R220" s="153"/>
    </row>
    <row r="221" spans="1:18">
      <c r="A221" s="158"/>
      <c r="B221" s="153"/>
      <c r="C221" s="152"/>
      <c r="D221" s="153"/>
      <c r="E221" s="155"/>
      <c r="F221" s="155"/>
      <c r="G221" s="136"/>
      <c r="H221" s="155"/>
      <c r="I221" s="155"/>
      <c r="J221" s="162"/>
      <c r="K221" s="155"/>
      <c r="L221" s="155"/>
      <c r="M221" s="155"/>
      <c r="N221" s="155"/>
      <c r="O221" s="153"/>
      <c r="P221" s="153"/>
      <c r="Q221" s="153"/>
      <c r="R221" s="153"/>
    </row>
    <row r="222" spans="1:18">
      <c r="A222" s="158"/>
      <c r="B222" s="153"/>
      <c r="C222" s="152"/>
      <c r="D222" s="153"/>
      <c r="E222" s="155"/>
      <c r="F222" s="155"/>
      <c r="G222" s="136"/>
      <c r="H222" s="155"/>
      <c r="I222" s="155"/>
      <c r="J222" s="162"/>
      <c r="K222" s="155"/>
      <c r="L222" s="155"/>
      <c r="M222" s="155"/>
      <c r="N222" s="155"/>
      <c r="O222" s="153"/>
      <c r="P222" s="153"/>
      <c r="Q222" s="153"/>
      <c r="R222" s="153"/>
    </row>
    <row r="223" spans="1:18">
      <c r="A223" s="158"/>
      <c r="B223" s="153"/>
      <c r="C223" s="152"/>
      <c r="D223" s="153"/>
      <c r="E223" s="155"/>
      <c r="F223" s="155"/>
      <c r="G223" s="136"/>
      <c r="H223" s="155"/>
      <c r="I223" s="155"/>
      <c r="J223" s="162"/>
      <c r="K223" s="155"/>
      <c r="L223" s="155"/>
      <c r="M223" s="155"/>
      <c r="N223" s="155"/>
      <c r="O223" s="153"/>
      <c r="P223" s="153"/>
      <c r="Q223" s="153"/>
      <c r="R223" s="153"/>
    </row>
    <row r="224" spans="1:18">
      <c r="A224" s="158"/>
      <c r="B224" s="153"/>
      <c r="C224" s="152"/>
      <c r="D224" s="153"/>
      <c r="E224" s="155"/>
      <c r="F224" s="155"/>
      <c r="G224" s="136"/>
      <c r="H224" s="155"/>
      <c r="I224" s="155"/>
      <c r="J224" s="162"/>
      <c r="K224" s="155"/>
      <c r="L224" s="155"/>
      <c r="M224" s="155"/>
      <c r="N224" s="155"/>
      <c r="O224" s="153"/>
      <c r="P224" s="153"/>
      <c r="Q224" s="153"/>
      <c r="R224" s="153"/>
    </row>
    <row r="225" spans="1:19">
      <c r="A225" s="158"/>
      <c r="B225" s="153"/>
      <c r="C225" s="152"/>
      <c r="D225" s="153"/>
      <c r="E225" s="155"/>
      <c r="F225" s="155"/>
      <c r="H225" s="155"/>
      <c r="I225" s="155"/>
      <c r="J225" s="162"/>
      <c r="K225" s="155"/>
      <c r="L225" s="155"/>
      <c r="M225" s="155"/>
      <c r="N225" s="155"/>
      <c r="O225" s="153"/>
      <c r="P225" s="153"/>
      <c r="Q225" s="153"/>
      <c r="R225" s="153"/>
    </row>
    <row r="226" spans="1:19">
      <c r="A226" s="158"/>
      <c r="B226" s="153"/>
      <c r="C226" s="152"/>
      <c r="D226" s="153"/>
      <c r="E226" s="155"/>
      <c r="F226" s="155"/>
      <c r="G226" s="136"/>
      <c r="H226" s="155"/>
      <c r="I226" s="155"/>
      <c r="J226" s="162"/>
      <c r="K226" s="155"/>
      <c r="L226" s="155"/>
      <c r="M226" s="155"/>
      <c r="N226" s="155"/>
      <c r="O226" s="153"/>
      <c r="P226" s="153"/>
      <c r="Q226" s="153"/>
      <c r="R226" s="153"/>
    </row>
    <row r="227" spans="1:19">
      <c r="A227" s="158"/>
      <c r="B227" s="153"/>
      <c r="C227" s="152"/>
      <c r="D227" s="153"/>
      <c r="E227" s="155"/>
      <c r="F227" s="153"/>
      <c r="H227" s="155"/>
      <c r="I227" s="155"/>
      <c r="J227" s="162"/>
      <c r="K227" s="155"/>
      <c r="L227" s="155"/>
      <c r="M227" s="155"/>
      <c r="N227" s="155"/>
      <c r="O227" s="153"/>
      <c r="P227" s="153"/>
      <c r="Q227" s="153"/>
      <c r="R227" s="153"/>
    </row>
    <row r="228" spans="1:19">
      <c r="A228" s="158"/>
      <c r="B228" s="153"/>
      <c r="C228" s="152"/>
      <c r="D228" s="153"/>
      <c r="E228" s="155"/>
      <c r="F228" s="155"/>
      <c r="G228" s="136"/>
      <c r="H228" s="155"/>
      <c r="I228" s="155"/>
      <c r="J228" s="162"/>
      <c r="K228" s="155"/>
      <c r="L228" s="155"/>
      <c r="M228" s="155"/>
      <c r="N228" s="155"/>
      <c r="O228" s="153"/>
      <c r="P228" s="153"/>
      <c r="Q228" s="153"/>
      <c r="R228" s="153"/>
    </row>
    <row r="229" spans="1:19">
      <c r="A229" s="158"/>
      <c r="B229" s="153"/>
      <c r="C229" s="152"/>
      <c r="D229" s="153"/>
      <c r="E229" s="155"/>
      <c r="F229" s="155"/>
      <c r="G229" s="136"/>
      <c r="H229" s="155"/>
      <c r="I229" s="155"/>
      <c r="J229" s="162"/>
      <c r="K229" s="155"/>
      <c r="L229" s="155"/>
      <c r="M229" s="155"/>
      <c r="N229" s="155"/>
      <c r="O229" s="153"/>
      <c r="P229" s="153"/>
      <c r="Q229" s="153"/>
      <c r="R229" s="153"/>
    </row>
    <row r="230" spans="1:19">
      <c r="A230" s="158"/>
      <c r="B230" s="13"/>
      <c r="C230" s="152"/>
      <c r="D230" s="153"/>
      <c r="E230" s="155"/>
      <c r="F230" s="153"/>
      <c r="G230" s="77"/>
      <c r="H230" s="155"/>
      <c r="I230" s="155"/>
      <c r="J230" s="162"/>
      <c r="K230" s="155"/>
      <c r="L230" s="155"/>
      <c r="M230" s="155"/>
      <c r="N230" s="155"/>
      <c r="O230" s="153"/>
      <c r="P230" s="153"/>
      <c r="Q230" s="153"/>
      <c r="R230" s="153"/>
    </row>
    <row r="231" spans="1:19">
      <c r="A231" s="158"/>
      <c r="B231" s="153"/>
      <c r="C231" s="152"/>
      <c r="D231" s="153"/>
      <c r="E231" s="155"/>
      <c r="F231" s="155"/>
      <c r="G231" s="136"/>
      <c r="H231" s="155"/>
      <c r="I231" s="155"/>
      <c r="J231" s="162"/>
      <c r="K231" s="155"/>
      <c r="L231" s="155"/>
      <c r="M231" s="155"/>
      <c r="N231" s="155"/>
      <c r="O231" s="153"/>
      <c r="P231" s="153"/>
      <c r="Q231" s="153"/>
      <c r="R231" s="153"/>
    </row>
    <row r="232" spans="1:19">
      <c r="A232" s="158"/>
      <c r="B232" s="153"/>
      <c r="C232" s="152"/>
      <c r="D232" s="153"/>
      <c r="E232" s="155"/>
      <c r="F232" s="155"/>
      <c r="G232" s="136"/>
      <c r="H232" s="155"/>
      <c r="I232" s="155"/>
      <c r="J232" s="162"/>
      <c r="K232" s="155"/>
      <c r="L232" s="155"/>
      <c r="M232" s="155"/>
      <c r="N232" s="155"/>
      <c r="O232" s="153"/>
      <c r="P232" s="153"/>
      <c r="Q232" s="153"/>
      <c r="R232" s="153"/>
    </row>
    <row r="233" spans="1:19">
      <c r="A233" s="158"/>
      <c r="B233" s="153"/>
      <c r="C233" s="152"/>
      <c r="D233" s="153"/>
      <c r="E233" s="155"/>
      <c r="F233" s="155"/>
      <c r="G233" s="136"/>
      <c r="H233" s="155"/>
      <c r="I233" s="155"/>
      <c r="J233" s="162"/>
      <c r="K233" s="155"/>
      <c r="L233" s="155"/>
      <c r="M233" s="155"/>
      <c r="N233" s="155"/>
      <c r="O233" s="153"/>
      <c r="P233" s="153"/>
      <c r="Q233" s="153"/>
      <c r="R233" s="153"/>
    </row>
    <row r="234" spans="1:19">
      <c r="A234" s="158"/>
      <c r="B234" s="153"/>
      <c r="C234" s="152"/>
      <c r="D234" s="153"/>
      <c r="E234" s="155"/>
      <c r="F234" s="153"/>
      <c r="H234" s="155"/>
      <c r="I234" s="155"/>
      <c r="J234" s="162"/>
      <c r="K234" s="155"/>
      <c r="L234" s="155"/>
      <c r="M234" s="155"/>
      <c r="N234" s="155"/>
      <c r="O234" s="153"/>
      <c r="P234" s="153"/>
      <c r="Q234" s="153"/>
      <c r="R234" s="153"/>
      <c r="S234" s="77"/>
    </row>
    <row r="235" spans="1:19">
      <c r="A235" s="158"/>
      <c r="B235" s="13"/>
      <c r="C235" s="152"/>
      <c r="D235" s="153"/>
      <c r="E235" s="155"/>
      <c r="F235" s="155"/>
      <c r="H235" s="155"/>
      <c r="I235" s="155"/>
      <c r="J235" s="162"/>
      <c r="K235" s="155"/>
      <c r="L235" s="155"/>
      <c r="M235" s="155"/>
      <c r="N235" s="155"/>
      <c r="O235" s="153"/>
      <c r="P235" s="153"/>
      <c r="Q235" s="153"/>
      <c r="R235" s="153"/>
    </row>
    <row r="236" spans="1:19">
      <c r="A236" s="158"/>
      <c r="B236" s="13"/>
      <c r="C236" s="152"/>
      <c r="D236" s="153"/>
      <c r="E236" s="155"/>
      <c r="F236" s="155"/>
      <c r="H236" s="155"/>
      <c r="I236" s="155"/>
      <c r="J236" s="162"/>
      <c r="K236" s="155"/>
      <c r="L236" s="155"/>
      <c r="M236" s="155"/>
      <c r="N236" s="155"/>
      <c r="O236" s="153"/>
      <c r="P236" s="153"/>
      <c r="Q236" s="153"/>
      <c r="R236" s="153"/>
    </row>
    <row r="237" spans="1:19">
      <c r="A237" s="158"/>
      <c r="B237" s="13"/>
      <c r="C237" s="152"/>
      <c r="D237" s="153"/>
      <c r="E237" s="155"/>
      <c r="F237" s="155"/>
      <c r="H237" s="155"/>
      <c r="I237" s="155"/>
      <c r="J237" s="162"/>
      <c r="K237" s="155"/>
      <c r="L237" s="155"/>
      <c r="M237" s="155"/>
      <c r="N237" s="155"/>
      <c r="O237" s="153"/>
      <c r="P237" s="153"/>
      <c r="Q237" s="153"/>
      <c r="R237" s="153"/>
    </row>
    <row r="238" spans="1:19">
      <c r="A238" s="158"/>
      <c r="B238" s="13"/>
      <c r="C238" s="152"/>
      <c r="D238" s="153"/>
      <c r="E238" s="155"/>
      <c r="F238" s="155"/>
      <c r="H238" s="155"/>
      <c r="I238" s="155"/>
      <c r="J238" s="162"/>
      <c r="K238" s="155"/>
      <c r="L238" s="155"/>
      <c r="M238" s="155"/>
      <c r="N238" s="155"/>
      <c r="O238" s="153"/>
      <c r="P238" s="153"/>
      <c r="Q238" s="153"/>
      <c r="R238" s="153"/>
    </row>
    <row r="239" spans="1:19">
      <c r="A239" s="154"/>
      <c r="B239" s="13"/>
      <c r="C239" s="152"/>
      <c r="D239" s="153"/>
      <c r="E239" s="155"/>
      <c r="F239" s="155"/>
      <c r="H239" s="155"/>
      <c r="I239" s="155"/>
      <c r="J239" s="162"/>
      <c r="K239" s="155"/>
      <c r="L239" s="155"/>
      <c r="M239" s="155"/>
      <c r="N239" s="155"/>
      <c r="O239" s="153"/>
      <c r="P239" s="153"/>
      <c r="Q239" s="153"/>
      <c r="R239" s="153"/>
    </row>
    <row r="240" spans="1:19">
      <c r="A240" s="154"/>
      <c r="B240" s="13"/>
      <c r="C240" s="152"/>
      <c r="D240" s="153"/>
      <c r="E240" s="155"/>
      <c r="F240" s="155"/>
      <c r="H240" s="155"/>
      <c r="I240" s="155"/>
      <c r="J240" s="162"/>
      <c r="K240" s="155"/>
      <c r="L240" s="155"/>
      <c r="M240" s="155"/>
      <c r="N240" s="155"/>
      <c r="O240" s="153"/>
      <c r="P240" s="153"/>
      <c r="Q240" s="153"/>
      <c r="R240" s="153"/>
    </row>
    <row r="241" spans="1:18">
      <c r="A241" s="154"/>
      <c r="B241" s="13"/>
      <c r="C241" s="152"/>
      <c r="D241" s="153"/>
      <c r="E241" s="155"/>
      <c r="F241" s="155"/>
      <c r="H241" s="155"/>
      <c r="I241" s="155"/>
      <c r="J241" s="162"/>
      <c r="K241" s="155"/>
      <c r="L241" s="155"/>
      <c r="M241" s="155"/>
      <c r="N241" s="155"/>
      <c r="O241" s="153"/>
      <c r="P241" s="153"/>
      <c r="Q241" s="153"/>
      <c r="R241" s="153"/>
    </row>
    <row r="242" spans="1:18">
      <c r="A242" s="154"/>
      <c r="B242" s="13"/>
      <c r="C242" s="152"/>
      <c r="D242" s="153"/>
      <c r="E242" s="155"/>
      <c r="F242" s="155"/>
      <c r="H242" s="155"/>
      <c r="I242" s="155"/>
      <c r="J242" s="162"/>
      <c r="K242" s="155"/>
      <c r="L242" s="155"/>
      <c r="M242" s="155"/>
      <c r="N242" s="155"/>
      <c r="O242" s="153"/>
      <c r="P242" s="153"/>
      <c r="Q242" s="153"/>
      <c r="R242" s="153"/>
    </row>
    <row r="243" spans="1:18">
      <c r="A243" s="154"/>
      <c r="B243" s="13"/>
      <c r="C243" s="152"/>
      <c r="D243" s="153"/>
      <c r="E243" s="155"/>
      <c r="F243" s="155"/>
      <c r="H243" s="155"/>
      <c r="I243" s="155"/>
      <c r="J243" s="162"/>
      <c r="K243" s="155"/>
      <c r="L243" s="155"/>
      <c r="M243" s="155"/>
      <c r="N243" s="155"/>
      <c r="O243" s="153"/>
      <c r="P243" s="153"/>
      <c r="Q243" s="153"/>
      <c r="R243" s="153"/>
    </row>
    <row r="244" spans="1:18">
      <c r="A244" s="154"/>
      <c r="B244" s="13"/>
      <c r="C244" s="152"/>
      <c r="D244" s="153"/>
      <c r="E244" s="155"/>
      <c r="F244" s="155"/>
      <c r="H244" s="155"/>
      <c r="I244" s="155"/>
      <c r="J244" s="162"/>
      <c r="K244" s="155"/>
      <c r="L244" s="155"/>
      <c r="M244" s="155"/>
      <c r="N244" s="155"/>
      <c r="O244" s="153"/>
      <c r="P244" s="153"/>
      <c r="Q244" s="153"/>
      <c r="R244" s="153"/>
    </row>
    <row r="245" spans="1:18">
      <c r="A245" s="154"/>
      <c r="B245" s="155"/>
      <c r="C245" s="152"/>
      <c r="D245" s="153"/>
      <c r="E245" s="155"/>
      <c r="F245" s="155"/>
      <c r="G245" s="136"/>
      <c r="H245" s="155"/>
      <c r="I245" s="155"/>
      <c r="J245" s="162"/>
      <c r="K245" s="155"/>
      <c r="L245" s="155"/>
      <c r="M245" s="155"/>
      <c r="N245" s="155"/>
      <c r="O245" s="153"/>
      <c r="P245" s="153"/>
      <c r="Q245" s="153"/>
      <c r="R245" s="153"/>
    </row>
    <row r="246" spans="1:18">
      <c r="A246" s="154"/>
      <c r="B246" s="155"/>
      <c r="C246" s="152"/>
      <c r="D246" s="153"/>
      <c r="E246" s="155"/>
      <c r="F246" s="155"/>
      <c r="G246" s="136"/>
      <c r="H246" s="155"/>
      <c r="I246" s="155"/>
      <c r="J246" s="162"/>
      <c r="K246" s="155"/>
      <c r="L246" s="155"/>
      <c r="M246" s="155"/>
      <c r="N246" s="155"/>
      <c r="O246" s="153"/>
      <c r="P246" s="153"/>
      <c r="Q246" s="153"/>
      <c r="R246" s="153"/>
    </row>
    <row r="247" spans="1:18">
      <c r="A247" s="154"/>
      <c r="B247" s="155"/>
      <c r="C247" s="152"/>
      <c r="D247" s="153"/>
      <c r="E247" s="155"/>
      <c r="F247" s="155"/>
      <c r="G247" s="136"/>
      <c r="H247" s="155"/>
      <c r="I247" s="155"/>
      <c r="J247" s="162"/>
      <c r="K247" s="155"/>
      <c r="L247" s="155"/>
      <c r="M247" s="155"/>
      <c r="N247" s="155"/>
      <c r="O247" s="153"/>
      <c r="P247" s="153"/>
      <c r="Q247" s="153"/>
      <c r="R247" s="153"/>
    </row>
    <row r="248" spans="1:18">
      <c r="A248" s="154"/>
      <c r="B248" s="155"/>
      <c r="C248" s="152"/>
      <c r="D248" s="153"/>
      <c r="E248" s="155"/>
      <c r="F248" s="155"/>
      <c r="G248" s="136"/>
      <c r="H248" s="155"/>
      <c r="I248" s="155"/>
      <c r="J248" s="162"/>
      <c r="K248" s="155"/>
      <c r="L248" s="155"/>
      <c r="M248" s="155"/>
      <c r="N248" s="155"/>
      <c r="O248" s="153"/>
      <c r="P248" s="153"/>
      <c r="Q248" s="153"/>
      <c r="R248" s="153"/>
    </row>
    <row r="249" spans="1:18">
      <c r="A249" s="154"/>
      <c r="B249" s="155"/>
      <c r="C249" s="152"/>
      <c r="D249" s="153"/>
      <c r="E249" s="155"/>
      <c r="F249" s="155"/>
      <c r="G249" s="136"/>
      <c r="H249" s="155"/>
      <c r="I249" s="155"/>
      <c r="J249" s="162"/>
      <c r="K249" s="155"/>
      <c r="L249" s="155"/>
      <c r="M249" s="155"/>
      <c r="N249" s="155"/>
      <c r="O249" s="153"/>
      <c r="P249" s="153"/>
      <c r="Q249" s="153"/>
      <c r="R249" s="153"/>
    </row>
    <row r="250" spans="1:18">
      <c r="A250" s="154"/>
      <c r="B250" s="155"/>
      <c r="C250" s="152"/>
      <c r="D250" s="153"/>
      <c r="E250" s="155"/>
      <c r="F250" s="155"/>
      <c r="G250" s="136"/>
      <c r="H250" s="155"/>
      <c r="I250" s="155"/>
      <c r="J250" s="162"/>
      <c r="K250" s="155"/>
      <c r="L250" s="155"/>
      <c r="M250" s="155"/>
      <c r="N250" s="155"/>
      <c r="O250" s="153"/>
      <c r="P250" s="153"/>
      <c r="Q250" s="153"/>
      <c r="R250" s="153"/>
    </row>
    <row r="251" spans="1:18">
      <c r="A251" s="154"/>
      <c r="B251" s="155"/>
      <c r="C251" s="152"/>
      <c r="D251" s="153"/>
      <c r="E251" s="155"/>
      <c r="F251" s="155"/>
      <c r="G251" s="136"/>
      <c r="H251" s="155"/>
      <c r="I251" s="155"/>
      <c r="J251" s="162"/>
      <c r="K251" s="155"/>
      <c r="L251" s="155"/>
      <c r="M251" s="155"/>
      <c r="N251" s="155"/>
      <c r="O251" s="153"/>
      <c r="P251" s="153"/>
      <c r="Q251" s="153"/>
      <c r="R251" s="153"/>
    </row>
    <row r="252" spans="1:18">
      <c r="A252" s="154"/>
      <c r="B252" s="155"/>
      <c r="C252" s="152"/>
      <c r="D252" s="153"/>
      <c r="E252" s="155"/>
      <c r="F252" s="155"/>
      <c r="H252" s="155"/>
      <c r="I252" s="155"/>
      <c r="J252" s="162"/>
      <c r="K252" s="155"/>
      <c r="L252" s="155"/>
      <c r="M252" s="155"/>
      <c r="N252" s="155"/>
      <c r="O252" s="153"/>
      <c r="P252" s="153"/>
      <c r="Q252" s="153"/>
      <c r="R252" s="153"/>
    </row>
    <row r="253" spans="1:18">
      <c r="A253" s="154"/>
      <c r="B253" s="155"/>
      <c r="C253" s="152"/>
      <c r="D253" s="153"/>
      <c r="E253" s="155"/>
      <c r="F253" s="155"/>
      <c r="H253" s="155"/>
      <c r="I253" s="155"/>
      <c r="J253" s="162"/>
      <c r="K253" s="155"/>
      <c r="L253" s="155"/>
      <c r="M253" s="155"/>
      <c r="N253" s="155"/>
      <c r="O253" s="153"/>
      <c r="P253" s="153"/>
      <c r="Q253" s="153"/>
      <c r="R253" s="153"/>
    </row>
    <row r="254" spans="1:18">
      <c r="A254" s="154"/>
      <c r="B254" s="153"/>
      <c r="C254" s="152"/>
      <c r="D254" s="153"/>
      <c r="E254" s="155"/>
      <c r="F254" s="156"/>
      <c r="G254" s="157"/>
      <c r="H254" s="155"/>
      <c r="I254" s="155"/>
      <c r="J254" s="162"/>
      <c r="K254" s="155"/>
      <c r="L254" s="155"/>
      <c r="M254" s="155"/>
      <c r="N254" s="155"/>
      <c r="O254" s="153"/>
      <c r="P254" s="153"/>
      <c r="Q254" s="153"/>
      <c r="R254" s="153"/>
    </row>
    <row r="255" spans="1:18">
      <c r="A255" s="152"/>
      <c r="B255" s="153"/>
      <c r="C255" s="152"/>
      <c r="D255" s="153"/>
      <c r="E255" s="153"/>
      <c r="F255" s="153"/>
      <c r="G255" s="157"/>
      <c r="H255" s="153"/>
      <c r="I255" s="153"/>
      <c r="J255" s="72"/>
      <c r="K255" s="153"/>
      <c r="L255" s="153"/>
      <c r="M255" s="153"/>
      <c r="N255" s="153"/>
      <c r="O255" s="153"/>
      <c r="P255" s="153"/>
      <c r="Q255" s="153"/>
      <c r="R255" s="153"/>
    </row>
    <row r="256" spans="1:18">
      <c r="A256" s="152"/>
      <c r="B256" s="153"/>
      <c r="C256" s="152"/>
      <c r="D256" s="153"/>
      <c r="E256" s="153"/>
      <c r="F256" s="153"/>
      <c r="G256" s="159"/>
      <c r="H256" s="153"/>
      <c r="I256" s="153"/>
      <c r="J256" s="72"/>
      <c r="K256" s="153"/>
      <c r="L256" s="153"/>
      <c r="M256" s="153"/>
      <c r="N256" s="153"/>
      <c r="O256" s="153"/>
      <c r="P256" s="153"/>
      <c r="Q256" s="153"/>
      <c r="R256" s="153"/>
    </row>
    <row r="257" spans="1:19">
      <c r="A257" s="154"/>
      <c r="B257" s="155"/>
      <c r="C257" s="152"/>
      <c r="D257" s="153"/>
      <c r="E257" s="155"/>
      <c r="F257" s="155"/>
      <c r="G257" s="136"/>
      <c r="H257" s="155"/>
      <c r="I257" s="155"/>
      <c r="J257" s="181"/>
      <c r="K257" s="155"/>
      <c r="L257" s="155"/>
      <c r="M257" s="155"/>
      <c r="N257" s="155"/>
      <c r="O257" s="153"/>
      <c r="P257" s="153"/>
      <c r="Q257" s="153"/>
      <c r="R257" s="153"/>
      <c r="S257" s="153"/>
    </row>
    <row r="258" spans="1:19">
      <c r="A258" s="133"/>
      <c r="C258" s="133"/>
    </row>
    <row r="259" spans="1:19">
      <c r="A259" s="133"/>
      <c r="C259" s="133"/>
    </row>
    <row r="260" spans="1:19">
      <c r="A260" s="133"/>
      <c r="C260" s="133"/>
    </row>
    <row r="261" spans="1:19">
      <c r="A261" s="133"/>
      <c r="C261" s="133"/>
    </row>
    <row r="262" spans="1:19">
      <c r="A262" s="133"/>
      <c r="C262" s="133"/>
    </row>
    <row r="263" spans="1:19">
      <c r="A263" s="133"/>
      <c r="C263" s="133"/>
    </row>
    <row r="264" spans="1:19">
      <c r="A264" s="133"/>
      <c r="C264" s="133"/>
    </row>
    <row r="265" spans="1:19">
      <c r="A265" s="133"/>
      <c r="C265" s="133"/>
    </row>
    <row r="266" spans="1:19">
      <c r="A266" s="133"/>
      <c r="C266" s="133"/>
    </row>
    <row r="267" spans="1:19">
      <c r="A267" s="133"/>
      <c r="C267" s="133"/>
    </row>
    <row r="268" spans="1:19">
      <c r="A268" s="133"/>
      <c r="B268" s="134"/>
      <c r="C268" s="133"/>
      <c r="D268" s="134"/>
    </row>
    <row r="269" spans="1:19">
      <c r="A269" s="133"/>
      <c r="B269" s="134"/>
      <c r="C269" s="133"/>
      <c r="D269" s="134"/>
    </row>
    <row r="270" spans="1:19">
      <c r="A270" s="133"/>
      <c r="B270" s="135"/>
      <c r="C270" s="133"/>
      <c r="D270" s="135"/>
      <c r="E270" s="136"/>
    </row>
    <row r="271" spans="1:19">
      <c r="A271" s="133"/>
      <c r="B271" s="135"/>
      <c r="C271" s="133"/>
      <c r="D271" s="135"/>
      <c r="E271" s="136"/>
    </row>
    <row r="272" spans="1:19">
      <c r="A272" s="133"/>
      <c r="B272" s="135"/>
      <c r="C272" s="133"/>
      <c r="D272" s="135"/>
      <c r="E272" s="136"/>
    </row>
    <row r="273" spans="1:9">
      <c r="A273" s="133"/>
      <c r="B273" s="135"/>
      <c r="C273" s="133"/>
      <c r="D273" s="135"/>
      <c r="E273" s="136"/>
    </row>
    <row r="274" spans="1:9">
      <c r="A274" s="133"/>
      <c r="B274" s="135"/>
      <c r="C274" s="133"/>
      <c r="D274" s="135"/>
      <c r="E274" s="136"/>
    </row>
    <row r="275" spans="1:9">
      <c r="A275" s="133"/>
      <c r="B275" s="135"/>
      <c r="C275" s="133"/>
      <c r="D275" s="135"/>
      <c r="E275" s="136"/>
    </row>
    <row r="276" spans="1:9">
      <c r="A276" s="133"/>
      <c r="B276" s="135"/>
      <c r="C276" s="133"/>
      <c r="D276" s="135"/>
      <c r="E276" s="136"/>
      <c r="H276" s="136"/>
      <c r="I276" s="136"/>
    </row>
    <row r="277" spans="1:9">
      <c r="A277" s="133"/>
      <c r="B277" s="134"/>
      <c r="C277" s="133"/>
      <c r="D277" s="134"/>
    </row>
    <row r="278" spans="1:9">
      <c r="A278" s="133"/>
      <c r="C278" s="133"/>
    </row>
    <row r="279" spans="1:9">
      <c r="A279" s="133"/>
      <c r="B279" s="134"/>
      <c r="C279" s="133"/>
      <c r="D279" s="134"/>
    </row>
    <row r="280" spans="1:9">
      <c r="A280" s="133"/>
      <c r="C280" s="133"/>
    </row>
    <row r="281" spans="1:9">
      <c r="A281" s="133"/>
      <c r="C281" s="133"/>
    </row>
    <row r="282" spans="1:9">
      <c r="A282" s="133"/>
      <c r="C282" s="133"/>
    </row>
    <row r="283" spans="1:9">
      <c r="A283" s="133"/>
      <c r="C283" s="133"/>
    </row>
    <row r="284" spans="1:9">
      <c r="A284" s="133"/>
      <c r="C284" s="133"/>
    </row>
    <row r="285" spans="1:9">
      <c r="A285" s="133"/>
      <c r="C285" s="133"/>
      <c r="G285" s="136"/>
    </row>
    <row r="286" spans="1:9">
      <c r="A286" s="133"/>
      <c r="C286" s="133"/>
    </row>
    <row r="287" spans="1:9">
      <c r="A287" s="133"/>
      <c r="C287" s="133"/>
    </row>
    <row r="288" spans="1:9">
      <c r="A288" s="133"/>
      <c r="B288" s="134"/>
      <c r="C288" s="133"/>
      <c r="D288" s="134"/>
    </row>
    <row r="289" spans="1:4">
      <c r="A289" s="133"/>
      <c r="C289" s="133"/>
    </row>
    <row r="290" spans="1:4">
      <c r="A290" s="133"/>
      <c r="B290" s="134"/>
      <c r="C290" s="133"/>
      <c r="D290" s="134"/>
    </row>
    <row r="291" spans="1:4">
      <c r="A291" s="133"/>
      <c r="C291" s="133"/>
    </row>
    <row r="292" spans="1:4">
      <c r="A292" s="133"/>
      <c r="C292" s="133"/>
    </row>
    <row r="293" spans="1:4">
      <c r="A293" s="133"/>
      <c r="C293" s="133"/>
    </row>
    <row r="294" spans="1:4">
      <c r="A294" s="133"/>
      <c r="C294" s="133"/>
    </row>
    <row r="295" spans="1:4">
      <c r="A295" s="133"/>
      <c r="C295" s="133"/>
    </row>
    <row r="296" spans="1:4">
      <c r="A296" s="133"/>
      <c r="C296" s="133"/>
    </row>
    <row r="297" spans="1:4">
      <c r="A297" s="133"/>
      <c r="C297" s="133"/>
    </row>
    <row r="298" spans="1:4">
      <c r="A298" s="133"/>
      <c r="C298" s="133"/>
    </row>
    <row r="299" spans="1:4">
      <c r="A299" s="133"/>
      <c r="C299" s="133"/>
    </row>
    <row r="300" spans="1:4">
      <c r="A300" s="133"/>
      <c r="C300" s="133"/>
    </row>
    <row r="301" spans="1:4">
      <c r="A301" s="133"/>
      <c r="C301" s="133"/>
    </row>
    <row r="302" spans="1:4">
      <c r="A302" s="133"/>
      <c r="C302" s="133"/>
    </row>
    <row r="303" spans="1:4">
      <c r="A303" s="133"/>
      <c r="C303" s="133"/>
    </row>
    <row r="304" spans="1:4">
      <c r="A304" s="133"/>
      <c r="C304" s="133"/>
    </row>
    <row r="305" spans="1:7">
      <c r="A305" s="133"/>
      <c r="C305" s="133"/>
    </row>
    <row r="306" spans="1:7">
      <c r="A306" s="133"/>
      <c r="C306" s="133"/>
      <c r="G306" s="137"/>
    </row>
    <row r="307" spans="1:7">
      <c r="A307" s="133"/>
      <c r="C307" s="133"/>
    </row>
    <row r="308" spans="1:7">
      <c r="A308" s="133"/>
      <c r="C308" s="133"/>
    </row>
    <row r="309" spans="1:7">
      <c r="A309" s="133"/>
      <c r="C309" s="133"/>
    </row>
    <row r="310" spans="1:7">
      <c r="A310" s="133"/>
      <c r="C310" s="133"/>
    </row>
    <row r="311" spans="1:7">
      <c r="A311" s="133"/>
      <c r="C311" s="133"/>
    </row>
    <row r="312" spans="1:7">
      <c r="A312" s="133"/>
      <c r="B312" s="134"/>
      <c r="C312" s="133"/>
      <c r="D312" s="134"/>
    </row>
    <row r="313" spans="1:7">
      <c r="A313" s="133"/>
      <c r="B313" s="134"/>
      <c r="C313" s="133"/>
      <c r="D313" s="134"/>
    </row>
    <row r="314" spans="1:7">
      <c r="A314" s="133"/>
      <c r="B314" s="134"/>
      <c r="C314" s="133"/>
      <c r="D314" s="134"/>
    </row>
    <row r="315" spans="1:7">
      <c r="A315" s="133"/>
      <c r="C315" s="133"/>
    </row>
    <row r="316" spans="1:7">
      <c r="A316" s="133"/>
      <c r="B316" s="134"/>
      <c r="C316" s="133"/>
      <c r="D316" s="134"/>
    </row>
    <row r="317" spans="1:7">
      <c r="A317" s="133"/>
      <c r="B317" s="134"/>
      <c r="C317" s="133"/>
      <c r="D317" s="134"/>
    </row>
    <row r="318" spans="1:7">
      <c r="A318" s="133"/>
      <c r="B318" s="134"/>
      <c r="C318" s="133"/>
      <c r="D318" s="134"/>
    </row>
    <row r="319" spans="1:7">
      <c r="A319" s="133"/>
      <c r="B319" s="134"/>
      <c r="C319" s="133"/>
      <c r="D319" s="134"/>
    </row>
    <row r="320" spans="1:7">
      <c r="A320" s="133"/>
      <c r="B320" s="134"/>
      <c r="C320" s="133"/>
      <c r="D320" s="134"/>
    </row>
    <row r="321" spans="1:4">
      <c r="A321" s="133"/>
      <c r="C321" s="133"/>
    </row>
    <row r="322" spans="1:4">
      <c r="A322" s="133"/>
      <c r="C322" s="133"/>
    </row>
    <row r="323" spans="1:4">
      <c r="A323" s="133"/>
      <c r="C323" s="133"/>
    </row>
    <row r="324" spans="1:4">
      <c r="A324" s="133"/>
      <c r="C324" s="133"/>
    </row>
    <row r="325" spans="1:4">
      <c r="A325" s="133"/>
      <c r="B325" s="134"/>
      <c r="C325" s="133"/>
      <c r="D325" s="134"/>
    </row>
    <row r="326" spans="1:4">
      <c r="A326" s="133"/>
      <c r="C326" s="133"/>
    </row>
    <row r="327" spans="1:4">
      <c r="A327" s="133"/>
      <c r="C327" s="133"/>
    </row>
    <row r="328" spans="1:4">
      <c r="A328" s="133"/>
      <c r="C328" s="133"/>
    </row>
    <row r="329" spans="1:4">
      <c r="A329" s="133"/>
      <c r="C329" s="133"/>
    </row>
    <row r="330" spans="1:4">
      <c r="A330" s="133"/>
      <c r="C330" s="133"/>
    </row>
    <row r="331" spans="1:4">
      <c r="A331" s="133"/>
      <c r="C331" s="133"/>
    </row>
    <row r="332" spans="1:4">
      <c r="A332" s="133"/>
      <c r="C332" s="133"/>
    </row>
    <row r="333" spans="1:4">
      <c r="A333" s="133"/>
      <c r="C333" s="133"/>
    </row>
    <row r="334" spans="1:4">
      <c r="A334" s="133"/>
      <c r="C334" s="133"/>
    </row>
    <row r="335" spans="1:4">
      <c r="A335" s="133"/>
      <c r="C335" s="133"/>
    </row>
    <row r="336" spans="1:4">
      <c r="A336" s="133"/>
      <c r="C336" s="133"/>
    </row>
    <row r="337" spans="1:7">
      <c r="A337" s="133"/>
      <c r="C337" s="133"/>
    </row>
    <row r="338" spans="1:7">
      <c r="A338" s="133"/>
      <c r="B338" s="134"/>
      <c r="C338" s="133"/>
      <c r="D338" s="134"/>
    </row>
    <row r="339" spans="1:7">
      <c r="A339" s="133"/>
      <c r="C339" s="133"/>
    </row>
    <row r="340" spans="1:7">
      <c r="A340" s="133"/>
      <c r="C340" s="133"/>
    </row>
    <row r="341" spans="1:7">
      <c r="A341" s="133"/>
      <c r="C341" s="133"/>
    </row>
    <row r="342" spans="1:7">
      <c r="A342" s="133"/>
      <c r="C342" s="133"/>
    </row>
    <row r="343" spans="1:7">
      <c r="A343" s="133"/>
      <c r="C343" s="133"/>
    </row>
    <row r="344" spans="1:7">
      <c r="A344" s="133"/>
      <c r="C344" s="133"/>
    </row>
    <row r="345" spans="1:7">
      <c r="A345" s="133"/>
      <c r="C345" s="133"/>
    </row>
    <row r="346" spans="1:7">
      <c r="A346" s="133"/>
      <c r="C346" s="133"/>
      <c r="G346" s="136"/>
    </row>
    <row r="347" spans="1:7">
      <c r="A347" s="133"/>
      <c r="C347" s="133"/>
      <c r="G347" s="136"/>
    </row>
    <row r="348" spans="1:7">
      <c r="A348" s="133"/>
      <c r="C348" s="133"/>
      <c r="G348" s="136"/>
    </row>
    <row r="349" spans="1:7">
      <c r="A349" s="133"/>
      <c r="C349" s="133"/>
      <c r="G349" s="136"/>
    </row>
    <row r="350" spans="1:7">
      <c r="A350" s="133"/>
      <c r="B350" s="134"/>
      <c r="C350" s="133"/>
      <c r="D350" s="134"/>
    </row>
    <row r="351" spans="1:7">
      <c r="A351" s="133"/>
      <c r="B351" s="134"/>
      <c r="C351" s="133"/>
      <c r="D351" s="134"/>
    </row>
    <row r="352" spans="1:7">
      <c r="A352" s="133"/>
      <c r="B352" s="134"/>
      <c r="C352" s="133"/>
      <c r="D352" s="134"/>
    </row>
    <row r="353" spans="1:7">
      <c r="A353" s="133"/>
      <c r="B353" s="134"/>
      <c r="C353" s="133"/>
      <c r="D353" s="134"/>
    </row>
    <row r="354" spans="1:7">
      <c r="A354" s="133"/>
      <c r="C354" s="133"/>
      <c r="G354" s="136"/>
    </row>
    <row r="355" spans="1:7">
      <c r="A355" s="133"/>
      <c r="C355" s="133"/>
      <c r="G355" s="136"/>
    </row>
    <row r="356" spans="1:7" ht="30.4" customHeight="1">
      <c r="A356" s="133"/>
      <c r="C356" s="133"/>
      <c r="G356" s="138"/>
    </row>
    <row r="357" spans="1:7">
      <c r="A357" s="133"/>
      <c r="C357" s="133"/>
    </row>
    <row r="358" spans="1:7">
      <c r="A358" s="133"/>
      <c r="C358" s="133"/>
      <c r="G358" s="136"/>
    </row>
    <row r="359" spans="1:7">
      <c r="A359" s="133"/>
      <c r="C359" s="133"/>
      <c r="G359" s="136"/>
    </row>
    <row r="360" spans="1:7">
      <c r="A360" s="133"/>
      <c r="C360" s="133"/>
      <c r="G360" s="136"/>
    </row>
    <row r="361" spans="1:7" ht="18.75" customHeight="1">
      <c r="A361" s="133"/>
      <c r="C361" s="133"/>
      <c r="G361" s="138"/>
    </row>
    <row r="362" spans="1:7">
      <c r="A362" s="133"/>
      <c r="C362" s="133"/>
      <c r="G362" s="136"/>
    </row>
    <row r="363" spans="1:7">
      <c r="A363" s="133"/>
      <c r="C363" s="133"/>
    </row>
    <row r="364" spans="1:7">
      <c r="A364" s="133"/>
      <c r="C364" s="133"/>
      <c r="G364" s="136"/>
    </row>
    <row r="365" spans="1:7">
      <c r="A365" s="133"/>
      <c r="C365" s="133"/>
      <c r="G365" s="136"/>
    </row>
    <row r="366" spans="1:7">
      <c r="A366" s="133"/>
      <c r="C366" s="133"/>
      <c r="G366" s="136"/>
    </row>
    <row r="367" spans="1:7">
      <c r="A367" s="133"/>
      <c r="B367" s="134"/>
      <c r="C367" s="133"/>
      <c r="D367" s="134"/>
    </row>
    <row r="368" spans="1:7">
      <c r="A368" s="133"/>
      <c r="C368" s="133"/>
      <c r="G368" s="136"/>
    </row>
    <row r="369" spans="1:7">
      <c r="A369" s="133"/>
      <c r="C369" s="133"/>
      <c r="G369" s="136"/>
    </row>
    <row r="370" spans="1:7">
      <c r="A370" s="133"/>
      <c r="C370" s="133"/>
      <c r="G370" s="136"/>
    </row>
    <row r="371" spans="1:7">
      <c r="A371" s="133"/>
      <c r="B371" s="134"/>
      <c r="C371" s="133"/>
      <c r="D371" s="134"/>
    </row>
    <row r="372" spans="1:7">
      <c r="A372" s="133"/>
      <c r="C372" s="133"/>
    </row>
    <row r="373" spans="1:7">
      <c r="A373" s="133"/>
      <c r="C373" s="133"/>
      <c r="G373" s="136"/>
    </row>
    <row r="374" spans="1:7">
      <c r="A374" s="133"/>
      <c r="C374" s="133"/>
    </row>
    <row r="375" spans="1:7">
      <c r="A375" s="133"/>
      <c r="C375" s="133"/>
      <c r="G375" s="136"/>
    </row>
    <row r="376" spans="1:7">
      <c r="A376" s="133"/>
      <c r="C376" s="133"/>
      <c r="G376" s="136"/>
    </row>
    <row r="377" spans="1:7">
      <c r="A377" s="133"/>
      <c r="C377" s="133"/>
      <c r="G377" s="136"/>
    </row>
    <row r="378" spans="1:7">
      <c r="A378" s="133"/>
      <c r="C378" s="133"/>
      <c r="G378" s="136"/>
    </row>
    <row r="379" spans="1:7">
      <c r="A379" s="133"/>
      <c r="B379" s="134"/>
      <c r="C379" s="133"/>
      <c r="D379" s="134"/>
    </row>
    <row r="380" spans="1:7">
      <c r="A380" s="133"/>
      <c r="C380" s="133"/>
      <c r="G380" s="136"/>
    </row>
    <row r="381" spans="1:7" ht="24" customHeight="1">
      <c r="A381" s="133"/>
      <c r="C381" s="133"/>
      <c r="G381" s="138"/>
    </row>
    <row r="382" spans="1:7">
      <c r="A382" s="133"/>
      <c r="C382" s="133"/>
      <c r="G382" s="136"/>
    </row>
    <row r="383" spans="1:7">
      <c r="A383" s="133"/>
      <c r="C383" s="133"/>
      <c r="G383" s="136"/>
    </row>
    <row r="384" spans="1:7">
      <c r="A384" s="133"/>
      <c r="C384" s="133"/>
      <c r="G384" s="136"/>
    </row>
    <row r="385" spans="1:7">
      <c r="A385" s="133"/>
      <c r="C385" s="133"/>
      <c r="G385" s="136"/>
    </row>
    <row r="386" spans="1:7">
      <c r="A386" s="133"/>
      <c r="C386" s="133"/>
      <c r="G386" s="136"/>
    </row>
    <row r="387" spans="1:7">
      <c r="A387" s="133"/>
      <c r="C387" s="133"/>
    </row>
    <row r="388" spans="1:7">
      <c r="A388" s="133"/>
      <c r="C388" s="133"/>
      <c r="G388" s="136"/>
    </row>
    <row r="389" spans="1:7">
      <c r="A389" s="133"/>
      <c r="C389" s="133"/>
      <c r="G389" s="136"/>
    </row>
    <row r="390" spans="1:7">
      <c r="A390" s="133"/>
      <c r="C390" s="133"/>
      <c r="G390" s="136"/>
    </row>
    <row r="391" spans="1:7">
      <c r="A391" s="133"/>
      <c r="C391" s="133"/>
      <c r="G391" s="136"/>
    </row>
    <row r="392" spans="1:7">
      <c r="A392" s="133"/>
      <c r="C392" s="133"/>
    </row>
    <row r="393" spans="1:7">
      <c r="A393" s="133"/>
      <c r="C393" s="133"/>
    </row>
    <row r="394" spans="1:7">
      <c r="A394" s="133"/>
      <c r="C394" s="133"/>
    </row>
    <row r="395" spans="1:7">
      <c r="A395" s="133"/>
      <c r="C395" s="133"/>
    </row>
    <row r="396" spans="1:7">
      <c r="A396" s="133"/>
      <c r="C396" s="133"/>
    </row>
  </sheetData>
  <autoFilter ref="A39:R396" xr:uid="{C348F576-EBAF-448A-AEC9-B1C55250FA63}"/>
  <mergeCells count="5">
    <mergeCell ref="AO3:AT3"/>
    <mergeCell ref="AA3:AF3"/>
    <mergeCell ref="AH3:AM3"/>
    <mergeCell ref="U3:Y3"/>
    <mergeCell ref="U1:X1"/>
  </mergeCells>
  <dataValidations count="4">
    <dataValidation type="custom" showInputMessage="1" showErrorMessage="1" sqref="AF38 P38" xr:uid="{DB5366E2-0E62-4A93-9B3F-F542F8107150}">
      <formula1>_xlfn.DAYS(M328,K328)</formula1>
    </dataValidation>
    <dataValidation type="custom" allowBlank="1" showInputMessage="1" showErrorMessage="1" sqref="AE38 O38" xr:uid="{4718B30F-49A1-4A8C-94D1-924A0329D74E}">
      <formula1>_xlfn.DAYS(L329,J329)</formula1>
    </dataValidation>
    <dataValidation type="custom" showInputMessage="1" showErrorMessage="1" sqref="K34:K35" xr:uid="{284871E5-E243-4C73-A0DB-92EAABB9C058}">
      <formula1>_xlfn.DAYS(H326,F326)</formula1>
    </dataValidation>
    <dataValidation showInputMessage="1" showErrorMessage="1" sqref="F32:F35 K33 P206:R257 O130:R205 P129:R129 P40:R40 O41:R128" xr:uid="{5A6691AC-C983-46B1-867C-F56112885A06}"/>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72BD3658-1B4F-4841-A405-FD864EB52DE4}">
          <x14:formula1>
            <xm:f>Cadastros!$F$12:$F$25</xm:f>
          </x14:formula1>
          <xm:sqref>G38 AM38 K24 F234 F255:F256 F230 F227</xm:sqref>
        </x14:dataValidation>
        <x14:dataValidation type="list" allowBlank="1" showInputMessage="1" showErrorMessage="1" xr:uid="{E8FB4555-1512-4C29-902A-2D5C6C1C747E}">
          <x14:formula1>
            <xm:f>Cadastros!$Q$12:$Q$17</xm:f>
          </x14:formula1>
          <xm:sqref>K38 AA38 K28 K255:K256</xm:sqref>
        </x14:dataValidation>
        <x14:dataValidation type="list" allowBlank="1" showInputMessage="1" showErrorMessage="1" xr:uid="{8ED1837B-9E85-476C-93EA-75C10C32C8E3}">
          <x14:formula1>
            <xm:f>Cadastros!$N$12:$N$16</xm:f>
          </x14:formula1>
          <xm:sqref>I38 Y38 K26 I255:I256</xm:sqref>
        </x14:dataValidation>
        <x14:dataValidation type="list" allowBlank="1" showInputMessage="1" showErrorMessage="1" xr:uid="{D29EBA55-404F-4B5E-9E7B-1FAF059BF39B}">
          <x14:formula1>
            <xm:f>Cadastros!$S$12:$S$13</xm:f>
          </x14:formula1>
          <xm:sqref>M38:N38 AC38:AD38 K30:K31 F30:F31 M130:N256 M41:N128</xm:sqref>
        </x14:dataValidation>
        <x14:dataValidation type="list" errorStyle="information" allowBlank="1" showInputMessage="1" showErrorMessage="1" xr:uid="{F2B342D3-4C15-42E7-9A4C-B9EDBA3743E2}">
          <x14:formula1>
            <xm:f>Cadastros!$I$12:$I$21</xm:f>
          </x14:formula1>
          <xm:sqref>H38</xm:sqref>
        </x14:dataValidation>
        <x14:dataValidation type="list" showInputMessage="1" showErrorMessage="1" xr:uid="{FACA9D02-AA40-4342-AACE-22E11356CC7E}">
          <x14:formula1>
            <xm:f>Cadastros!$C$12:$C$16</xm:f>
          </x14:formula1>
          <xm:sqref>AK38 E38 K22 E255:E256</xm:sqref>
        </x14:dataValidation>
        <x14:dataValidation type="list" errorStyle="information" allowBlank="1" showInputMessage="1" showErrorMessage="1" xr:uid="{AF31713D-BAC9-4234-8F8A-48F95FD2B949}">
          <x14:formula1>
            <xm:f>Cadastros!$I$12:$I$33</xm:f>
          </x14:formula1>
          <xm:sqref>K25 H255:H256</xm:sqref>
        </x14:dataValidation>
        <x14:dataValidation type="list" allowBlank="1" showInputMessage="1" showErrorMessage="1" xr:uid="{8D6D9E17-FD5C-44E0-A7D2-27F23BAB8167}">
          <x14:formula1>
            <xm:f>Cadastros!$C$12:$C$16</xm:f>
          </x14:formula1>
          <xm:sqref>F22 E130:E254 E41:E128</xm:sqref>
        </x14:dataValidation>
        <x14:dataValidation type="list" allowBlank="1" showInputMessage="1" showErrorMessage="1" xr:uid="{3734C152-45BB-48BC-806D-84485C2D8F69}">
          <x14:formula1>
            <xm:f>Cadastros!$F$12:$F$15</xm:f>
          </x14:formula1>
          <xm:sqref>F23 F235:F253 F231:F233 F228:F229 F130:F226 F41:F128</xm:sqref>
        </x14:dataValidation>
        <x14:dataValidation type="list" allowBlank="1" showInputMessage="1" showErrorMessage="1" xr:uid="{306D1D03-84B0-4DD5-8B37-D780B6C53A6D}">
          <x14:formula1>
            <xm:f>Cadastros!$I$12:$I$36</xm:f>
          </x14:formula1>
          <xm:sqref>F25 H130:H254 H41:H128</xm:sqref>
        </x14:dataValidation>
        <x14:dataValidation type="list" allowBlank="1" showInputMessage="1" showErrorMessage="1" xr:uid="{BE7A1C55-D984-440F-A3AB-99E728CAC3E6}">
          <x14:formula1>
            <xm:f>Cadastros!$Q$12:$Q$15</xm:f>
          </x14:formula1>
          <xm:sqref>F28 K130:K254 K41:K128</xm:sqref>
        </x14:dataValidation>
        <x14:dataValidation type="list" allowBlank="1" showInputMessage="1" showErrorMessage="1" xr:uid="{6887BABB-3204-49D8-81C7-EDC5BCED2835}">
          <x14:formula1>
            <xm:f>Cadastros!$N$12:$N$17</xm:f>
          </x14:formula1>
          <xm:sqref>I254</xm:sqref>
        </x14:dataValidation>
        <x14:dataValidation type="list" allowBlank="1" showInputMessage="1" showErrorMessage="1" xr:uid="{B08715CA-6AFF-4C34-B2AE-D55E1BAE220F}">
          <x14:formula1>
            <xm:f>Cadastros!$N$12:$N$19</xm:f>
          </x14:formula1>
          <xm:sqref>F26 I130:I253 I41:I128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19E9-50DD-467B-880F-03B3045B03C9}">
  <sheetPr codeName="Planilha5"/>
  <dimension ref="A1:AT293"/>
  <sheetViews>
    <sheetView topLeftCell="G37" workbookViewId="0">
      <selection activeCell="Q55" sqref="Q55:Q120"/>
    </sheetView>
  </sheetViews>
  <sheetFormatPr defaultRowHeight="15"/>
  <cols>
    <col min="1" max="1" width="10.7109375" bestFit="1" customWidth="1"/>
    <col min="2" max="2" width="13.140625" bestFit="1" customWidth="1"/>
    <col min="3" max="3" width="14" bestFit="1" customWidth="1"/>
    <col min="5" max="5" width="26.28515625" bestFit="1" customWidth="1"/>
    <col min="6" max="6" width="64.28515625" customWidth="1"/>
    <col min="7" max="7" width="82.28515625" customWidth="1"/>
    <col min="8" max="8" width="15.28515625" bestFit="1" customWidth="1"/>
    <col min="9" max="9" width="14" customWidth="1"/>
    <col min="10" max="10" width="9.28515625" customWidth="1"/>
    <col min="11" max="11" width="16.28515625" customWidth="1"/>
    <col min="12" max="12" width="13.28515625" customWidth="1"/>
    <col min="13" max="13" width="18.28515625" customWidth="1"/>
    <col min="14" max="17" width="12.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6:46" ht="15.75" thickBot="1">
      <c r="U1" s="198" t="s">
        <v>70</v>
      </c>
      <c r="V1" s="199"/>
      <c r="W1" s="199"/>
      <c r="X1" s="199"/>
      <c r="Y1" s="23">
        <f>COUNTA(B$40:B442)</f>
        <v>116</v>
      </c>
    </row>
    <row r="2" spans="6:46" ht="15.75" thickBot="1"/>
    <row r="3" spans="6: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6: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6:46" ht="15.75" thickBot="1">
      <c r="U5" s="87" t="str">
        <f>Cadastros!I12</f>
        <v>Bárbara Leite</v>
      </c>
      <c r="V5" s="146">
        <f>COUNTIFS(H$39:H560,U5,K$39:K560,V4)</f>
        <v>6</v>
      </c>
      <c r="W5" s="147">
        <f>COUNTIFS(H$39:H560,U5,K$39:K560,W4)</f>
        <v>1</v>
      </c>
      <c r="X5" s="147">
        <f>COUNTIFS(H$39:H560,U5,K$39:K560,X4)</f>
        <v>0</v>
      </c>
      <c r="Y5" s="148">
        <f t="shared" ref="Y5:Y11" si="0">SUM(V5:X5)</f>
        <v>7</v>
      </c>
      <c r="Z5" s="13"/>
      <c r="AA5" s="88" t="str">
        <f>U5</f>
        <v>Bárbara Leite</v>
      </c>
      <c r="AB5" s="33">
        <f>SUMIFS(J$40:J481,H$40:H481,AA5,E$40:E481,"SAL")</f>
        <v>0</v>
      </c>
      <c r="AC5" s="34">
        <f>SUMIFS(J$40:J555,H$40:H555,AA5,E$40:E555,"SAM")</f>
        <v>265</v>
      </c>
      <c r="AD5" s="34">
        <f>SUMIFS(J$40:J555,H$40:H555,AA5,E$40:E555,"NE")</f>
        <v>33</v>
      </c>
      <c r="AE5" s="34">
        <f>SUMIFS(J$40:J555,H$40:H555,AA5,E$40:E555,"SAIL")</f>
        <v>9931</v>
      </c>
      <c r="AF5" s="35">
        <f t="shared" ref="AF5:AF12" si="1">SUBTOTAL(9,AB5:AE5)</f>
        <v>10229</v>
      </c>
      <c r="AH5" s="88" t="str">
        <f>U5</f>
        <v>Bárbara Leite</v>
      </c>
      <c r="AI5" s="33">
        <f>COUNTIFS(H$40:H555,AH5,E$40:E555,"SAL")</f>
        <v>0</v>
      </c>
      <c r="AJ5" s="34">
        <f t="shared" ref="AJ5:AJ29" si="2">COUNTIFS(H$40:H$555,AH5,E$40:E$555,"SAM")</f>
        <v>3</v>
      </c>
      <c r="AK5" s="34">
        <f>COUNTIFS(H$40:H555,AH5,E$40:E$555,"NE")</f>
        <v>1</v>
      </c>
      <c r="AL5" s="34">
        <f>COUNTIFS(H$40:H555,AH5,E$40:E555,"SAIL")</f>
        <v>3</v>
      </c>
      <c r="AM5" s="35">
        <f t="shared" ref="AM5:AM29" si="3">SUBTOTAL(9,AI5:AL5)</f>
        <v>7</v>
      </c>
      <c r="AO5" s="88" t="str">
        <f>U5</f>
        <v>Bárbara Leite</v>
      </c>
      <c r="AP5" s="33">
        <f t="shared" ref="AP5:AP29" si="4">SUMIFS(Q$40:Q$480,H$40:H$480,AO5,E$40:E$480,"SAL")</f>
        <v>0</v>
      </c>
      <c r="AQ5" s="34">
        <f t="shared" ref="AQ5:AQ29" si="5">SUMIFS(Q$40:Q$480,H$40:H$480,AO5,E$40:E$480,"SAM")</f>
        <v>34.5</v>
      </c>
      <c r="AR5" s="34">
        <f t="shared" ref="AR5:AR29" si="6">SUMIFS(Q$40:Q$480,H$40:H$480,AO5,E$40:E$480,"NE")</f>
        <v>4</v>
      </c>
      <c r="AS5" s="34">
        <f t="shared" ref="AS5:AS29" si="7">SUMIFS(Q$40:Q$480,H$40:H$480,AO5,E$40:E$480,"SAIL")</f>
        <v>92</v>
      </c>
      <c r="AT5" s="35">
        <f t="shared" ref="AT5:AT29" si="8">SUBTOTAL(9,AP5:AS5)</f>
        <v>130.5</v>
      </c>
    </row>
    <row r="6" spans="6:46" ht="15.75" thickBot="1">
      <c r="U6" s="87" t="str">
        <f>Cadastros!I13</f>
        <v>Bárbara Teixeira</v>
      </c>
      <c r="V6" s="85">
        <f>COUNTIFS(H$39:H560,U6,K$39:K560,V4)</f>
        <v>0</v>
      </c>
      <c r="W6" s="18">
        <f>COUNTIFS(H$39:H560,U6,K$39:K560,W4)</f>
        <v>0</v>
      </c>
      <c r="X6" s="18">
        <f>COUNTIFS(H$39:H560,U6,K$39:K560,X4)</f>
        <v>0</v>
      </c>
      <c r="Y6" s="19">
        <f t="shared" si="0"/>
        <v>0</v>
      </c>
      <c r="Z6" s="13"/>
      <c r="AA6" s="22" t="str">
        <f>U6</f>
        <v>Bárbara Teixeira</v>
      </c>
      <c r="AB6" s="30">
        <f>SUMIFS(J$40:J482,H$40:H482,AA6,E$40:E482,"SAL")</f>
        <v>0</v>
      </c>
      <c r="AC6" s="29">
        <f>SUMIFS(J$40:J556,H$40:H556,AA6,E$40:E556,"SAM")</f>
        <v>0</v>
      </c>
      <c r="AD6" s="29">
        <f>SUMIFS(J$40:J556,H$40:H556,AA6,E$40:E556,"NE")</f>
        <v>0</v>
      </c>
      <c r="AE6" s="29">
        <f>SUMIFS(J$40:J556,H$40:H556,AA6,E$40:E556,"SAIL")</f>
        <v>0</v>
      </c>
      <c r="AF6" s="31">
        <f t="shared" si="1"/>
        <v>0</v>
      </c>
      <c r="AH6" s="22" t="str">
        <f>U6</f>
        <v>Bárbara Teixeira</v>
      </c>
      <c r="AI6" s="30">
        <f>COUNTIFS(H$40:H556,AH6,E$40:E556,"SAL")</f>
        <v>0</v>
      </c>
      <c r="AJ6" s="29">
        <f t="shared" si="2"/>
        <v>0</v>
      </c>
      <c r="AK6" s="29">
        <f t="shared" ref="AK6:AK29" si="9">COUNTIFS(H$40:H$555,AH6,E$40:E$555,"NE")</f>
        <v>0</v>
      </c>
      <c r="AL6" s="29">
        <f>COUNTIFS(H$40:H556,AH6,E$40:E556,"SAIL")</f>
        <v>0</v>
      </c>
      <c r="AM6" s="31">
        <f t="shared" si="3"/>
        <v>0</v>
      </c>
      <c r="AO6" s="22" t="str">
        <f>U6</f>
        <v>Bárbara Teixeira</v>
      </c>
      <c r="AP6" s="30">
        <f t="shared" si="4"/>
        <v>0</v>
      </c>
      <c r="AQ6" s="29">
        <f t="shared" si="5"/>
        <v>0</v>
      </c>
      <c r="AR6" s="29">
        <f t="shared" si="6"/>
        <v>0</v>
      </c>
      <c r="AS6" s="29">
        <f t="shared" si="7"/>
        <v>0</v>
      </c>
      <c r="AT6" s="31">
        <f t="shared" si="8"/>
        <v>0</v>
      </c>
    </row>
    <row r="7" spans="6:46" ht="15.75" thickBot="1">
      <c r="U7" s="87" t="str">
        <f>Cadastros!I14</f>
        <v>Bruna Ferro</v>
      </c>
      <c r="V7" s="86">
        <f>COUNTIFS(H$39:H560,U7,K$39:K560,V4)</f>
        <v>2</v>
      </c>
      <c r="W7" s="14">
        <f>COUNTIFS(H$39:H560,U7,K$39:K560,W4)</f>
        <v>0</v>
      </c>
      <c r="X7" s="14">
        <f>COUNTIFS(H$39:H560,U7,K$39:K560,X4)</f>
        <v>0</v>
      </c>
      <c r="Y7" s="15">
        <f t="shared" si="0"/>
        <v>2</v>
      </c>
      <c r="Z7" s="13"/>
      <c r="AA7" s="21" t="str">
        <f t="shared" ref="AA7:AA11" si="10">U7</f>
        <v>Bruna Ferro</v>
      </c>
      <c r="AB7" s="37">
        <f>SUMIFS(J$40:J483,H$40:H483,AA7,E$40:E483,"SAL")</f>
        <v>0</v>
      </c>
      <c r="AC7" s="38">
        <f>SUMIFS(J$40:J557,H$40:H557,AA7,E$40:E557,"SAM")</f>
        <v>60</v>
      </c>
      <c r="AD7" s="38">
        <f>SUMIFS(J$40:J557,H$40:H557,AA7,E$40:E557,"NE")</f>
        <v>0</v>
      </c>
      <c r="AE7" s="38">
        <f>SUMIFS(J$40:J557,H$40:H557,AA7,E$40:E557,"SAIL")</f>
        <v>0</v>
      </c>
      <c r="AF7" s="39">
        <f t="shared" si="1"/>
        <v>60</v>
      </c>
      <c r="AH7" s="21" t="str">
        <f t="shared" ref="AH7:AH11" si="11">U7</f>
        <v>Bruna Ferro</v>
      </c>
      <c r="AI7" s="37">
        <f>COUNTIFS(H$40:H557,AH7,E$40:E557,"SAL")</f>
        <v>0</v>
      </c>
      <c r="AJ7" s="38">
        <f t="shared" si="2"/>
        <v>2</v>
      </c>
      <c r="AK7" s="38">
        <f t="shared" si="9"/>
        <v>0</v>
      </c>
      <c r="AL7" s="38">
        <f>COUNTIFS(H$40:H557,AH7,E$40:E557,"SAIL")</f>
        <v>0</v>
      </c>
      <c r="AM7" s="39">
        <f t="shared" si="3"/>
        <v>2</v>
      </c>
      <c r="AO7" s="21" t="str">
        <f>U7</f>
        <v>Bruna Ferro</v>
      </c>
      <c r="AP7" s="37">
        <f t="shared" si="4"/>
        <v>0</v>
      </c>
      <c r="AQ7" s="38">
        <f t="shared" si="5"/>
        <v>0</v>
      </c>
      <c r="AR7" s="38">
        <f t="shared" si="6"/>
        <v>0</v>
      </c>
      <c r="AS7" s="38">
        <f t="shared" si="7"/>
        <v>0</v>
      </c>
      <c r="AT7" s="39">
        <f t="shared" si="8"/>
        <v>0</v>
      </c>
    </row>
    <row r="8" spans="6:46" ht="15.75" thickBot="1">
      <c r="U8" s="87" t="str">
        <f>Cadastros!I15</f>
        <v>Carolina Esmeraldino</v>
      </c>
      <c r="V8" s="85">
        <f>COUNTIFS(H$39:H560,U8,K$39:K560,V4)</f>
        <v>2</v>
      </c>
      <c r="W8" s="18">
        <f>COUNTIFS(H$39:H560,U8,K$39:K560,W4)</f>
        <v>0</v>
      </c>
      <c r="X8" s="18">
        <f>COUNTIFS(H$39:H560,U8,K$39:K560,X4)</f>
        <v>0</v>
      </c>
      <c r="Y8" s="19">
        <f t="shared" si="0"/>
        <v>2</v>
      </c>
      <c r="Z8" s="13"/>
      <c r="AA8" s="22" t="str">
        <f t="shared" si="10"/>
        <v>Carolina Esmeraldino</v>
      </c>
      <c r="AB8" s="30">
        <f>SUMIFS(J$40:J484,H$40:H484,AA8,E$40:E484,"SAL")</f>
        <v>0</v>
      </c>
      <c r="AC8" s="29">
        <f>SUMIFS(J$40:J558,H$40:H558,AA8,E$40:E558,"SAM")</f>
        <v>100</v>
      </c>
      <c r="AD8" s="29">
        <f>SUMIFS(J$40:J558,H$40:H558,AA8,E$40:E558,"NE")</f>
        <v>0</v>
      </c>
      <c r="AE8" s="29">
        <f>SUMIFS(J$40:J558,H$40:H558,AA8,E$40:E558,"SAIL")</f>
        <v>0</v>
      </c>
      <c r="AF8" s="31">
        <f t="shared" si="1"/>
        <v>100</v>
      </c>
      <c r="AH8" s="22" t="str">
        <f t="shared" si="11"/>
        <v>Carolina Esmeraldino</v>
      </c>
      <c r="AI8" s="30">
        <f>COUNTIFS(H$40:H558,AH8,E$40:E558,"SAL")</f>
        <v>0</v>
      </c>
      <c r="AJ8" s="29">
        <f t="shared" si="2"/>
        <v>2</v>
      </c>
      <c r="AK8" s="29">
        <f t="shared" si="9"/>
        <v>0</v>
      </c>
      <c r="AL8" s="29">
        <f>COUNTIFS(H$40:H558,AH8,E$40:E558,"SAIL")</f>
        <v>0</v>
      </c>
      <c r="AM8" s="31">
        <f t="shared" si="3"/>
        <v>2</v>
      </c>
      <c r="AO8" s="22" t="str">
        <f>U8</f>
        <v>Carolina Esmeraldino</v>
      </c>
      <c r="AP8" s="30">
        <f t="shared" si="4"/>
        <v>0</v>
      </c>
      <c r="AQ8" s="29">
        <f t="shared" si="5"/>
        <v>16</v>
      </c>
      <c r="AR8" s="29">
        <f t="shared" si="6"/>
        <v>0</v>
      </c>
      <c r="AS8" s="29">
        <f t="shared" si="7"/>
        <v>0</v>
      </c>
      <c r="AT8" s="31">
        <f t="shared" si="8"/>
        <v>16</v>
      </c>
    </row>
    <row r="9" spans="6:46" ht="15.75" thickBot="1">
      <c r="U9" s="87" t="str">
        <f>Cadastros!I16</f>
        <v>Claudia Savois</v>
      </c>
      <c r="V9" s="86">
        <f>COUNTIFS(H$39:H560,U9,K$39:K560,V4)</f>
        <v>0</v>
      </c>
      <c r="W9" s="14">
        <f>COUNTIFS(H$39:H560,U9,K$39:K560,W4)</f>
        <v>0</v>
      </c>
      <c r="X9" s="14">
        <f>COUNTIFS(H$39:H560,U9,K$39:K560,X4)</f>
        <v>0</v>
      </c>
      <c r="Y9" s="15">
        <f t="shared" si="0"/>
        <v>0</v>
      </c>
      <c r="Z9" s="13"/>
      <c r="AA9" s="21" t="str">
        <f t="shared" si="10"/>
        <v>Claudia Savois</v>
      </c>
      <c r="AB9" s="37">
        <f>SUMIFS(J$40:J485,H$40:H485,AA9,E$40:E485,"SAL")</f>
        <v>0</v>
      </c>
      <c r="AC9" s="38">
        <f>SUMIFS(J$40:J559,H$40:H559,AA9,E$40:E559,"SAM")</f>
        <v>0</v>
      </c>
      <c r="AD9" s="38">
        <f>SUMIFS(J$40:J559,H$40:H559,AA9,E$40:E559,"NE")</f>
        <v>0</v>
      </c>
      <c r="AE9" s="38">
        <f>SUMIFS(J$40:J559,H$40:H559,AA9,E$40:E559,"SAIL")</f>
        <v>0</v>
      </c>
      <c r="AF9" s="39">
        <f t="shared" si="1"/>
        <v>0</v>
      </c>
      <c r="AH9" s="21" t="str">
        <f t="shared" si="11"/>
        <v>Claudia Savois</v>
      </c>
      <c r="AI9" s="37">
        <f>COUNTIFS(H$40:H559,AH9,E$40:E559,"SAL")</f>
        <v>0</v>
      </c>
      <c r="AJ9" s="38">
        <f t="shared" si="2"/>
        <v>0</v>
      </c>
      <c r="AK9" s="38">
        <f t="shared" si="9"/>
        <v>0</v>
      </c>
      <c r="AL9" s="38">
        <f>COUNTIFS(H$40:H559,AH9,E$40:E559,"SAIL")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6:46" ht="15.75" thickBot="1">
      <c r="F10" s="4"/>
      <c r="U10" s="87" t="str">
        <f>Cadastros!I17</f>
        <v>Daniela Stupp</v>
      </c>
      <c r="V10" s="86">
        <f>COUNTIFS(H$39:H561,U10,K$39:K561,V4)</f>
        <v>0</v>
      </c>
      <c r="W10" s="14">
        <f>COUNTIFS(H$39:H561,U10,K$39:K561,W4)</f>
        <v>0</v>
      </c>
      <c r="X10" s="14">
        <f>COUNTIFS(H$39:H561,U10,K$39:K561,X4)</f>
        <v>0</v>
      </c>
      <c r="Y10" s="15">
        <f t="shared" si="0"/>
        <v>0</v>
      </c>
      <c r="Z10" s="13"/>
      <c r="AA10" s="22" t="str">
        <f t="shared" si="10"/>
        <v>Daniela Stupp</v>
      </c>
      <c r="AB10" s="30">
        <f>SUMIFS(J$40:J486,H$40:H486,AA10,E$40:E486,"SAL")</f>
        <v>0</v>
      </c>
      <c r="AC10" s="29">
        <f>SUMIFS(J$40:J560,H$40:H560,AA10,E$40:E560,"SAM")</f>
        <v>0</v>
      </c>
      <c r="AD10" s="29">
        <f>SUMIFS(J$40:J560,H$40:H560,AA10,E$40:E560,"NE")</f>
        <v>0</v>
      </c>
      <c r="AE10" s="29">
        <f>SUMIFS(J$40:J560,H$40:H560,AA10,E$40:E560,"SAIL")</f>
        <v>0</v>
      </c>
      <c r="AF10" s="31">
        <f t="shared" si="1"/>
        <v>0</v>
      </c>
      <c r="AH10" s="22" t="str">
        <f t="shared" si="11"/>
        <v>Daniela Stupp</v>
      </c>
      <c r="AI10" s="30">
        <f>COUNTIFS(H$40:H560,AH10,E$40:E560,"SAL")</f>
        <v>0</v>
      </c>
      <c r="AJ10" s="29">
        <f t="shared" si="2"/>
        <v>0</v>
      </c>
      <c r="AK10" s="29">
        <f t="shared" si="9"/>
        <v>0</v>
      </c>
      <c r="AL10" s="29">
        <f>COUNTIFS(H$40:H560,AH10,E$40:E560,"SAIL")</f>
        <v>0</v>
      </c>
      <c r="AM10" s="31">
        <f t="shared" si="3"/>
        <v>0</v>
      </c>
      <c r="AO10" s="22" t="str">
        <f t="shared" si="12"/>
        <v>Daniela Stupp</v>
      </c>
      <c r="AP10" s="30">
        <f t="shared" si="4"/>
        <v>0</v>
      </c>
      <c r="AQ10" s="29">
        <f t="shared" si="5"/>
        <v>0</v>
      </c>
      <c r="AR10" s="29">
        <f t="shared" si="6"/>
        <v>0</v>
      </c>
      <c r="AS10" s="29">
        <f t="shared" si="7"/>
        <v>0</v>
      </c>
      <c r="AT10" s="31">
        <f t="shared" si="8"/>
        <v>0</v>
      </c>
    </row>
    <row r="11" spans="6:46" ht="15.75" thickBot="1">
      <c r="F11" s="5"/>
      <c r="U11" s="87" t="str">
        <f>Cadastros!I18</f>
        <v>Gabriely</v>
      </c>
      <c r="V11" s="85">
        <f>COUNTIFS(H$39:H560,U11,K$39:K560,V4)</f>
        <v>6</v>
      </c>
      <c r="W11" s="18">
        <f>COUNTIFS(H$39:H560,U11,K$39:K560,W4)</f>
        <v>0</v>
      </c>
      <c r="X11" s="18">
        <f>COUNTIFS(H$39:H560,U11,K$39:K560,X4)</f>
        <v>0</v>
      </c>
      <c r="Y11" s="19">
        <f t="shared" si="0"/>
        <v>6</v>
      </c>
      <c r="Z11" s="13"/>
      <c r="AA11" s="21" t="str">
        <f t="shared" si="10"/>
        <v>Gabriely</v>
      </c>
      <c r="AB11" s="37">
        <f>SUMIFS(J$40:J487,H$40:H487,AA11,E$40:E487,"SAL")</f>
        <v>6419</v>
      </c>
      <c r="AC11" s="38">
        <f>SUMIFS(J$40:J561,H$40:H561,AA11,E$40:E561,"SAM")</f>
        <v>928</v>
      </c>
      <c r="AD11" s="38">
        <f>SUMIFS(J$40:J561,H$40:H561,AA11,E$40:E561,"NE")</f>
        <v>0</v>
      </c>
      <c r="AE11" s="38">
        <f>SUMIFS(J$40:J561,H$40:H561,AA11,E$40:E561,"SAIL")</f>
        <v>0</v>
      </c>
      <c r="AF11" s="39">
        <f t="shared" si="1"/>
        <v>7347</v>
      </c>
      <c r="AH11" s="21" t="str">
        <f t="shared" si="11"/>
        <v>Gabriely</v>
      </c>
      <c r="AI11" s="37">
        <f>COUNTIFS(H$40:H561,AH11,E$40:E561,"SAL")</f>
        <v>4</v>
      </c>
      <c r="AJ11" s="38">
        <f t="shared" si="2"/>
        <v>2</v>
      </c>
      <c r="AK11" s="38">
        <f t="shared" si="9"/>
        <v>0</v>
      </c>
      <c r="AL11" s="38">
        <f>COUNTIFS(H$40:H561,AH11,E$40:E561,"SAIL")</f>
        <v>0</v>
      </c>
      <c r="AM11" s="39">
        <f t="shared" si="3"/>
        <v>6</v>
      </c>
      <c r="AO11" s="21" t="str">
        <f t="shared" si="12"/>
        <v>Gabriely</v>
      </c>
      <c r="AP11" s="37">
        <f t="shared" si="4"/>
        <v>40</v>
      </c>
      <c r="AQ11" s="38">
        <f t="shared" si="5"/>
        <v>23</v>
      </c>
      <c r="AR11" s="38">
        <f t="shared" si="6"/>
        <v>0</v>
      </c>
      <c r="AS11" s="38">
        <f t="shared" si="7"/>
        <v>0</v>
      </c>
      <c r="AT11" s="39">
        <f t="shared" si="8"/>
        <v>63</v>
      </c>
    </row>
    <row r="12" spans="6:46" ht="15.75" thickBot="1">
      <c r="F12" s="4"/>
      <c r="U12" s="87" t="str">
        <f>Cadastros!I19</f>
        <v>Fabio Sasso</v>
      </c>
      <c r="V12" s="86">
        <f>COUNTIFS(H$39:H561,U12,K$39:K561,V4)</f>
        <v>1</v>
      </c>
      <c r="W12" s="14">
        <f>COUNTIFS(H$39:H561,U12,K$39:K561,W4)</f>
        <v>2</v>
      </c>
      <c r="X12" s="14">
        <f>COUNTIFS(H$39:H561,U12,K$39:K561,X4)</f>
        <v>0</v>
      </c>
      <c r="Y12" s="15">
        <f t="shared" ref="Y12:Y29" si="13">SUM(V12:X12)</f>
        <v>3</v>
      </c>
      <c r="AA12" s="22" t="str">
        <f>U12</f>
        <v>Fabio Sasso</v>
      </c>
      <c r="AB12" s="30">
        <f>SUMIFS(J$40:J488,H$40:H488,AA12,E$40:E488,"SAL")</f>
        <v>1675</v>
      </c>
      <c r="AC12" s="29">
        <f>SUMIFS(J$40:J562,H$40:H562,AA12,E$40:E562,"SAM")</f>
        <v>3516</v>
      </c>
      <c r="AD12" s="29">
        <f>SUMIFS(J$40:J562,H$40:H562,AA12,E$40:E562,"NE")</f>
        <v>0</v>
      </c>
      <c r="AE12" s="29">
        <f>SUMIFS(J$40:J562,H$40:H562,AA12,E$40:E562,"SAIL")</f>
        <v>0</v>
      </c>
      <c r="AF12" s="31">
        <f t="shared" si="1"/>
        <v>5191</v>
      </c>
      <c r="AH12" s="22" t="str">
        <f>U12</f>
        <v>Fabio Sasso</v>
      </c>
      <c r="AI12" s="30">
        <f>COUNTIFS(H$40:H562,AH12,E$40:E562,"SAL")</f>
        <v>2</v>
      </c>
      <c r="AJ12" s="29">
        <f t="shared" si="2"/>
        <v>2</v>
      </c>
      <c r="AK12" s="29">
        <f t="shared" si="9"/>
        <v>0</v>
      </c>
      <c r="AL12" s="29">
        <f>COUNTIFS(H$40:H562,AH12,E$40:E562,"SAIL")</f>
        <v>0</v>
      </c>
      <c r="AM12" s="31">
        <f t="shared" si="3"/>
        <v>4</v>
      </c>
      <c r="AO12" s="22" t="str">
        <f t="shared" si="12"/>
        <v>Fabio Sasso</v>
      </c>
      <c r="AP12" s="30">
        <f t="shared" si="4"/>
        <v>21</v>
      </c>
      <c r="AQ12" s="29">
        <f t="shared" si="5"/>
        <v>100</v>
      </c>
      <c r="AR12" s="29">
        <f t="shared" si="6"/>
        <v>0</v>
      </c>
      <c r="AS12" s="29">
        <f t="shared" si="7"/>
        <v>0</v>
      </c>
      <c r="AT12" s="31">
        <f t="shared" si="8"/>
        <v>121</v>
      </c>
    </row>
    <row r="13" spans="6:46" ht="15.75" thickBot="1">
      <c r="F13" s="171"/>
      <c r="U13" s="87" t="str">
        <f>Cadastros!I20</f>
        <v>Felipi Ferreira</v>
      </c>
      <c r="V13" s="85">
        <f>COUNTIFS(H$39:H562,U13,K$39:K562,V$4)</f>
        <v>5</v>
      </c>
      <c r="W13" s="18">
        <f>COUNTIFS(H$39:H562,U13,K$39:K562,W$4)</f>
        <v>1</v>
      </c>
      <c r="X13" s="18">
        <f>COUNTIFS(H$39:H562,U13,K$39:K562,X$4)</f>
        <v>0</v>
      </c>
      <c r="Y13" s="19">
        <f t="shared" si="13"/>
        <v>6</v>
      </c>
      <c r="AA13" s="21" t="str">
        <f t="shared" ref="AA13:AA29" si="14">U13</f>
        <v>Felipi Ferreira</v>
      </c>
      <c r="AB13" s="37">
        <f>SUMIFS(J$40:J489,H$40:H489,AA13,E$40:E489,"SAL")</f>
        <v>2283</v>
      </c>
      <c r="AC13" s="38">
        <f>SUMIFS(J$40:J563,H$40:H563,AA13,E$40:E563,"SAM")</f>
        <v>592</v>
      </c>
      <c r="AD13" s="38">
        <f>SUMIFS(J$40:J563,H$40:H563,AA13,E$40:E563,"NE")</f>
        <v>0</v>
      </c>
      <c r="AE13" s="38">
        <f>SUMIFS(J$40:J563,H$40:H563,AA13,E$40:E563,"SAIL")</f>
        <v>0</v>
      </c>
      <c r="AF13" s="39">
        <f t="shared" ref="AF13:AF29" si="15">SUBTOTAL(9,AB13:AE13)</f>
        <v>2875</v>
      </c>
      <c r="AH13" s="21" t="str">
        <f t="shared" ref="AH13:AH29" si="16">U13</f>
        <v>Felipi Ferreira</v>
      </c>
      <c r="AI13" s="37">
        <f>COUNTIFS(H$40:H563,AH13,E$40:E563,"SAL")</f>
        <v>3</v>
      </c>
      <c r="AJ13" s="38">
        <f t="shared" si="2"/>
        <v>3</v>
      </c>
      <c r="AK13" s="38">
        <f t="shared" si="9"/>
        <v>0</v>
      </c>
      <c r="AL13" s="38">
        <f>COUNTIFS(H$40:H563,AH13,E$40:E563,"SAIL")</f>
        <v>0</v>
      </c>
      <c r="AM13" s="39">
        <f t="shared" si="3"/>
        <v>6</v>
      </c>
      <c r="AO13" s="21" t="str">
        <f t="shared" si="12"/>
        <v>Felipi Ferreira</v>
      </c>
      <c r="AP13" s="37">
        <f t="shared" si="4"/>
        <v>29</v>
      </c>
      <c r="AQ13" s="139">
        <f t="shared" si="5"/>
        <v>30</v>
      </c>
      <c r="AR13" s="139">
        <f t="shared" si="6"/>
        <v>0</v>
      </c>
      <c r="AS13" s="38">
        <f t="shared" si="7"/>
        <v>0</v>
      </c>
      <c r="AT13" s="39">
        <f t="shared" si="8"/>
        <v>59</v>
      </c>
    </row>
    <row r="14" spans="6:46" ht="15.75" thickBot="1">
      <c r="U14" s="87" t="str">
        <f>Cadastros!I21</f>
        <v>Flávia Cardoso</v>
      </c>
      <c r="V14" s="86">
        <f>COUNTIFS(H$39:H563,U14,K$39:K563,V$4)</f>
        <v>6</v>
      </c>
      <c r="W14" s="14">
        <f>COUNTIFS(H$39:H563,U14,K$39:K563,W$4)</f>
        <v>0</v>
      </c>
      <c r="X14" s="14">
        <f>COUNTIFS(H$39:H563,U14,K$39:K563,X$4)</f>
        <v>0</v>
      </c>
      <c r="Y14" s="15">
        <f t="shared" si="13"/>
        <v>6</v>
      </c>
      <c r="AA14" s="22" t="str">
        <f t="shared" si="14"/>
        <v>Flávia Cardoso</v>
      </c>
      <c r="AB14" s="30">
        <f>SUMIFS(J$40:J490,H$40:H490,AA14,E$40:E490,"SAL")</f>
        <v>1921</v>
      </c>
      <c r="AC14" s="29">
        <f>SUMIFS(J$40:J564,H$40:H564,AA14,E$40:E564,"SAM")</f>
        <v>2284</v>
      </c>
      <c r="AD14" s="29">
        <f>SUMIFS(J$40:J564,H$40:H564,AA14,E$40:E564,"NE")</f>
        <v>0</v>
      </c>
      <c r="AE14" s="29">
        <f>SUMIFS(J$40:J564,H$40:H564,AA14,E$40:E564,"SAIL")</f>
        <v>0</v>
      </c>
      <c r="AF14" s="31">
        <f t="shared" si="15"/>
        <v>4205</v>
      </c>
      <c r="AH14" s="22" t="str">
        <f t="shared" si="16"/>
        <v>Flávia Cardoso</v>
      </c>
      <c r="AI14" s="30">
        <f>COUNTIFS(H$40:H564,AH14,E$40:E564,"SAL")</f>
        <v>2</v>
      </c>
      <c r="AJ14" s="29">
        <f t="shared" si="2"/>
        <v>4</v>
      </c>
      <c r="AK14" s="29">
        <f t="shared" si="9"/>
        <v>0</v>
      </c>
      <c r="AL14" s="29">
        <f>COUNTIFS(H$40:H564,AH14,E$40:E564,"SAIL")</f>
        <v>0</v>
      </c>
      <c r="AM14" s="31">
        <f t="shared" si="3"/>
        <v>6</v>
      </c>
      <c r="AO14" s="22" t="str">
        <f t="shared" si="12"/>
        <v>Flávia Cardoso</v>
      </c>
      <c r="AP14" s="30">
        <f t="shared" si="4"/>
        <v>20</v>
      </c>
      <c r="AQ14" s="29">
        <f t="shared" si="5"/>
        <v>46</v>
      </c>
      <c r="AR14" s="38">
        <f t="shared" si="6"/>
        <v>0</v>
      </c>
      <c r="AS14" s="29">
        <f t="shared" si="7"/>
        <v>0</v>
      </c>
      <c r="AT14" s="31">
        <f t="shared" si="8"/>
        <v>66</v>
      </c>
    </row>
    <row r="15" spans="6:46" ht="15.75" thickBot="1">
      <c r="F15" s="5"/>
      <c r="U15" s="87" t="str">
        <f>Cadastros!I22</f>
        <v>Giovani cunha</v>
      </c>
      <c r="V15" s="85">
        <f>COUNTIFS(H$39:H564,U15,K$39:K564,V$4)</f>
        <v>2</v>
      </c>
      <c r="W15" s="18">
        <f>COUNTIFS(H$39:H564,U15,K$39:K564,W$4)</f>
        <v>0</v>
      </c>
      <c r="X15" s="18">
        <f>COUNTIFS(H$39:H564,U15,K$39:K564,X$4)</f>
        <v>0</v>
      </c>
      <c r="Y15" s="19">
        <f t="shared" si="13"/>
        <v>2</v>
      </c>
      <c r="AA15" s="21" t="str">
        <f t="shared" si="14"/>
        <v>Giovani cunha</v>
      </c>
      <c r="AB15" s="37">
        <f>SUMIFS(J$40:J491,H$40:H491,AA15,E$40:E491,"SAL")</f>
        <v>0</v>
      </c>
      <c r="AC15" s="38">
        <f>SUMIFS(J$40:J565,H$40:H565,AA15,E$40:E565,"SAM")</f>
        <v>134</v>
      </c>
      <c r="AD15" s="38">
        <f>SUMIFS(J$40:J565,H$40:H565,AA15,E$40:E565,"NE")</f>
        <v>0</v>
      </c>
      <c r="AE15" s="38">
        <f>SUMIFS(J$40:J565,H$40:H565,AA15,E$40:E565,"SAIL")</f>
        <v>0</v>
      </c>
      <c r="AF15" s="39">
        <f t="shared" si="15"/>
        <v>134</v>
      </c>
      <c r="AH15" s="21" t="str">
        <f t="shared" si="16"/>
        <v>Giovani cunha</v>
      </c>
      <c r="AI15" s="37">
        <f>COUNTIFS(H$40:H565,AH15,E$40:E565,"SAL")</f>
        <v>0</v>
      </c>
      <c r="AJ15" s="38">
        <f t="shared" si="2"/>
        <v>2</v>
      </c>
      <c r="AK15" s="38">
        <f t="shared" si="9"/>
        <v>0</v>
      </c>
      <c r="AL15" s="38">
        <f>COUNTIFS(H$40:H565,AH15,E$40:E565,"SAIL")</f>
        <v>0</v>
      </c>
      <c r="AM15" s="39">
        <f t="shared" si="3"/>
        <v>2</v>
      </c>
      <c r="AO15" s="21" t="str">
        <f t="shared" si="12"/>
        <v>Giovani cunha</v>
      </c>
      <c r="AP15" s="37">
        <f t="shared" si="4"/>
        <v>0</v>
      </c>
      <c r="AQ15" s="139">
        <f t="shared" si="5"/>
        <v>0</v>
      </c>
      <c r="AR15" s="38">
        <f t="shared" si="6"/>
        <v>0</v>
      </c>
      <c r="AS15" s="38">
        <f t="shared" si="7"/>
        <v>0</v>
      </c>
      <c r="AT15" s="39">
        <f t="shared" si="8"/>
        <v>0</v>
      </c>
    </row>
    <row r="16" spans="6:46" ht="15.75" thickBot="1">
      <c r="U16" s="87" t="str">
        <f>Cadastros!I23</f>
        <v>Jennifer Rodrigues</v>
      </c>
      <c r="V16" s="86">
        <f>COUNTIFS(H$39:H565,U16,K$39:K565,V$4)</f>
        <v>30</v>
      </c>
      <c r="W16" s="14">
        <f>COUNTIFS(H$39:H565,U16,K$39:K565,W$4)</f>
        <v>0</v>
      </c>
      <c r="X16" s="14">
        <f>COUNTIFS(H$39:H565,U16,K$39:K565,X$4)</f>
        <v>0</v>
      </c>
      <c r="Y16" s="15">
        <f t="shared" si="13"/>
        <v>30</v>
      </c>
      <c r="AA16" s="22" t="str">
        <f t="shared" si="14"/>
        <v>Jennifer Rodrigues</v>
      </c>
      <c r="AB16" s="30">
        <f>SUMIFS(J$40:J492,H$40:H492,AA16,E$40:E492,"SAL")</f>
        <v>0</v>
      </c>
      <c r="AC16" s="29">
        <f>SUMIFS(J$40:J566,H$40:H566,AA16,E$40:E566,"SAM")</f>
        <v>0</v>
      </c>
      <c r="AD16" s="29">
        <f>SUMIFS(J$40:J566,H$40:H566,AA16,E$40:E566,"NE")</f>
        <v>2100</v>
      </c>
      <c r="AE16" s="29">
        <f>SUMIFS(J$40:J566,H$40:H566,AA16,E$40:E566,"SAIL")</f>
        <v>0</v>
      </c>
      <c r="AF16" s="31">
        <f t="shared" si="15"/>
        <v>2100</v>
      </c>
      <c r="AH16" s="22" t="str">
        <f t="shared" si="16"/>
        <v>Jennifer Rodrigues</v>
      </c>
      <c r="AI16" s="30">
        <f>COUNTIFS(H$40:H566,AH16,E$40:E566,"SAL")</f>
        <v>0</v>
      </c>
      <c r="AJ16" s="29">
        <f t="shared" si="2"/>
        <v>0</v>
      </c>
      <c r="AK16" s="29">
        <f t="shared" si="9"/>
        <v>30</v>
      </c>
      <c r="AL16" s="29">
        <f>COUNTIFS(H$40:H566,AH16,E$40:E566,"SAIL")</f>
        <v>0</v>
      </c>
      <c r="AM16" s="31">
        <f t="shared" si="3"/>
        <v>30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COUNTIFS(H$39:H566,U17,K$39:K566,V$4)</f>
        <v>0</v>
      </c>
      <c r="W17" s="18">
        <f>COUNTIFS(H$39:H566,U17,K$39:K566,W$4)</f>
        <v>3</v>
      </c>
      <c r="X17" s="18">
        <f>COUNTIFS(H$39:H566,U17,K$39:K566,X$4)</f>
        <v>1</v>
      </c>
      <c r="Y17" s="19">
        <f t="shared" si="13"/>
        <v>4</v>
      </c>
      <c r="AA17" s="21" t="str">
        <f t="shared" si="14"/>
        <v>Juliana Guizoni</v>
      </c>
      <c r="AB17" s="37">
        <f>SUMIFS(J$40:J493,H$40:H493,AA17,E$40:E493,"SAL")</f>
        <v>1632</v>
      </c>
      <c r="AC17" s="38">
        <f>SUMIFS(J$40:J567,H$40:H567,AA17,E$40:E567,"SAM")</f>
        <v>0</v>
      </c>
      <c r="AD17" s="38">
        <f>SUMIFS(J$40:J567,H$40:H567,AA17,E$40:E567,"NE")</f>
        <v>0</v>
      </c>
      <c r="AE17" s="38">
        <f>SUMIFS(J$40:J567,H$40:H567,AA17,E$40:E567,"SAIL")</f>
        <v>5223</v>
      </c>
      <c r="AF17" s="39">
        <f t="shared" si="15"/>
        <v>6855</v>
      </c>
      <c r="AH17" s="21" t="str">
        <f t="shared" si="16"/>
        <v>Juliana Guizoni</v>
      </c>
      <c r="AI17" s="37">
        <f>COUNTIFS(H$40:H567,AH17,E$40:E567,"SAL")</f>
        <v>2</v>
      </c>
      <c r="AJ17" s="38">
        <f t="shared" si="2"/>
        <v>0</v>
      </c>
      <c r="AK17" s="38">
        <f t="shared" si="9"/>
        <v>0</v>
      </c>
      <c r="AL17" s="38">
        <f>COUNTIFS(H$40:H567,AH17,E$40:E567,"SAIL")</f>
        <v>2</v>
      </c>
      <c r="AM17" s="39">
        <f t="shared" si="3"/>
        <v>4</v>
      </c>
      <c r="AO17" s="21" t="str">
        <f t="shared" si="12"/>
        <v>Juliana Guizoni</v>
      </c>
      <c r="AP17" s="140">
        <f t="shared" si="4"/>
        <v>26</v>
      </c>
      <c r="AQ17" s="139">
        <f t="shared" si="5"/>
        <v>0</v>
      </c>
      <c r="AR17" s="38">
        <f t="shared" si="6"/>
        <v>0</v>
      </c>
      <c r="AS17" s="38">
        <f t="shared" si="7"/>
        <v>106</v>
      </c>
      <c r="AT17" s="39">
        <f t="shared" si="8"/>
        <v>132</v>
      </c>
    </row>
    <row r="18" spans="2:46" ht="15.75" thickBot="1">
      <c r="B18" s="24" t="s">
        <v>76</v>
      </c>
      <c r="C18" s="73" t="s">
        <v>77</v>
      </c>
      <c r="D18" s="10"/>
      <c r="E18" s="74" t="s">
        <v>78</v>
      </c>
      <c r="F18" s="4"/>
      <c r="G18" s="11"/>
      <c r="K18" s="4"/>
      <c r="U18" s="87" t="str">
        <f>Cadastros!I25</f>
        <v>Vinicyos Maguns</v>
      </c>
      <c r="V18" s="86">
        <f>COUNTIFS(H$39:H567,U18,K$39:K567,V$4)</f>
        <v>4</v>
      </c>
      <c r="W18" s="14">
        <f>COUNTIFS(H$39:H567,U18,K$39:K567,W$4)</f>
        <v>0</v>
      </c>
      <c r="X18" s="14">
        <f>COUNTIFS(H$39:H567,U18,K$39:K567,X$4)</f>
        <v>0</v>
      </c>
      <c r="Y18" s="15">
        <f t="shared" si="13"/>
        <v>4</v>
      </c>
      <c r="AA18" s="22" t="str">
        <f t="shared" si="14"/>
        <v>Vinicyos Maguns</v>
      </c>
      <c r="AB18" s="30">
        <f>SUMIFS(J$40:J494,H$40:H494,AA18,E$40:E494,"SAL")</f>
        <v>566</v>
      </c>
      <c r="AC18" s="29">
        <f>SUMIFS(J$40:J568,H$40:H568,AA18,E$40:E568,"SAM")</f>
        <v>0</v>
      </c>
      <c r="AD18" s="29">
        <f>SUMIFS(J$40:J568,H$40:H568,AA18,E$40:E568,"NE")</f>
        <v>881</v>
      </c>
      <c r="AE18" s="29">
        <f>SUMIFS(J$40:J568,H$40:H568,AA18,E$40:E568,"SAIL")</f>
        <v>0</v>
      </c>
      <c r="AF18" s="31">
        <f t="shared" si="15"/>
        <v>1447</v>
      </c>
      <c r="AH18" s="22" t="str">
        <f t="shared" si="16"/>
        <v>Vinicyos Maguns</v>
      </c>
      <c r="AI18" s="30">
        <f>COUNTIFS(H$40:H568,AH18,E$40:E568,"SAL")</f>
        <v>1</v>
      </c>
      <c r="AJ18" s="29">
        <f t="shared" si="2"/>
        <v>0</v>
      </c>
      <c r="AK18" s="29">
        <f t="shared" si="9"/>
        <v>3</v>
      </c>
      <c r="AL18" s="29">
        <f>COUNTIFS(H$40:H568,AH18,E$40:E568,"SAIL")</f>
        <v>0</v>
      </c>
      <c r="AM18" s="31">
        <f t="shared" si="3"/>
        <v>4</v>
      </c>
      <c r="AO18" s="22" t="str">
        <f t="shared" si="12"/>
        <v>Vinicyos Maguns</v>
      </c>
      <c r="AP18" s="30">
        <f t="shared" si="4"/>
        <v>10</v>
      </c>
      <c r="AQ18" s="29">
        <f t="shared" si="5"/>
        <v>0</v>
      </c>
      <c r="AR18" s="29">
        <f t="shared" si="6"/>
        <v>12</v>
      </c>
      <c r="AS18" s="29">
        <f t="shared" si="7"/>
        <v>0</v>
      </c>
      <c r="AT18" s="31">
        <f t="shared" si="8"/>
        <v>22</v>
      </c>
    </row>
    <row r="19" spans="2:46" ht="15.75" thickBot="1">
      <c r="B19" s="23">
        <v>126583</v>
      </c>
      <c r="C19" s="45">
        <v>100068</v>
      </c>
      <c r="D19" s="10"/>
      <c r="E19" s="74" t="s">
        <v>79</v>
      </c>
      <c r="F19" s="5"/>
      <c r="G19" s="11"/>
      <c r="K19" s="5"/>
      <c r="U19" s="87" t="str">
        <f>Cadastros!I26</f>
        <v>Laís Andrade</v>
      </c>
      <c r="V19" s="85">
        <f>COUNTIFS(H$39:H568,U19,K$39:K568,V$4)</f>
        <v>1</v>
      </c>
      <c r="W19" s="18">
        <f>COUNTIFS(H$39:H568,U19,K$39:K568,W$4)</f>
        <v>0</v>
      </c>
      <c r="X19" s="18">
        <f>COUNTIFS(H$39:H568,U19,K$39:K568,X$4)</f>
        <v>0</v>
      </c>
      <c r="Y19" s="19">
        <f t="shared" si="13"/>
        <v>1</v>
      </c>
      <c r="AA19" s="21" t="str">
        <f t="shared" si="14"/>
        <v>Laís Andrade</v>
      </c>
      <c r="AB19" s="37">
        <f>SUMIFS(J$40:J495,H$40:H495,AA19,E$40:E495,"SAL")</f>
        <v>0</v>
      </c>
      <c r="AC19" s="38">
        <f>SUMIFS(J$40:J569,H$40:H569,AA19,E$40:E569,"SAM")</f>
        <v>5</v>
      </c>
      <c r="AD19" s="38">
        <f>SUMIFS(J$40:J569,H$40:H569,AA19,E$40:E569,"NE")</f>
        <v>0</v>
      </c>
      <c r="AE19" s="38">
        <f>SUMIFS(J$40:J569,H$40:H569,AA19,E$40:E569,"SAIL")</f>
        <v>0</v>
      </c>
      <c r="AF19" s="39">
        <f t="shared" si="15"/>
        <v>5</v>
      </c>
      <c r="AH19" s="21" t="str">
        <f t="shared" si="16"/>
        <v>Laís Andrade</v>
      </c>
      <c r="AI19" s="37">
        <f>COUNTIFS(H$40:H569,AH19,E$40:E569,"SAL")</f>
        <v>0</v>
      </c>
      <c r="AJ19" s="38">
        <f t="shared" si="2"/>
        <v>1</v>
      </c>
      <c r="AK19" s="38">
        <f t="shared" si="9"/>
        <v>0</v>
      </c>
      <c r="AL19" s="38">
        <f>COUNTIFS(H$40:H569,AH19,E$40:E569,"SAIL")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COUNTIFS(H$39:H569,U20,K$39:K569,V$4)</f>
        <v>0</v>
      </c>
      <c r="W20" s="14">
        <f>COUNTIFS(H$39:H569,U20,K$39:K569,W$4)</f>
        <v>0</v>
      </c>
      <c r="X20" s="14">
        <f>COUNTIFS(H$39:H569,U20,K$39:K569,X$4)</f>
        <v>0</v>
      </c>
      <c r="Y20" s="15">
        <f t="shared" si="13"/>
        <v>0</v>
      </c>
      <c r="AA20" s="22" t="str">
        <f t="shared" si="14"/>
        <v>Luciana Mercante</v>
      </c>
      <c r="AB20" s="30">
        <f>SUMIFS(J$40:J496,H$40:H496,AA20,E$40:E496,"SAL")</f>
        <v>0</v>
      </c>
      <c r="AC20" s="29">
        <f>SUMIFS(J$40:J570,H$40:H570,AA20,E$40:E570,"SAM")</f>
        <v>0</v>
      </c>
      <c r="AD20" s="29">
        <f>SUMIFS(J$40:J570,H$40:H570,AA20,E$40:E570,"NE")</f>
        <v>0</v>
      </c>
      <c r="AE20" s="29">
        <f>SUMIFS(J$40:J570,H$40:H570,AA20,E$40:E570,"SAIL")</f>
        <v>0</v>
      </c>
      <c r="AF20" s="31">
        <f t="shared" si="15"/>
        <v>0</v>
      </c>
      <c r="AH20" s="22" t="str">
        <f t="shared" si="16"/>
        <v>Luciana Mercante</v>
      </c>
      <c r="AI20" s="30">
        <f>COUNTIFS(H$40:H570,AH20,E$40:E570,"SAL")</f>
        <v>0</v>
      </c>
      <c r="AJ20" s="29">
        <f t="shared" si="2"/>
        <v>0</v>
      </c>
      <c r="AK20" s="29">
        <f t="shared" si="9"/>
        <v>0</v>
      </c>
      <c r="AL20" s="29">
        <f>COUNTIFS(H$40:H570,AH20,E$40:E570,"SAIL")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71"/>
      <c r="G21" s="11"/>
      <c r="K21" s="5"/>
      <c r="U21" s="87" t="str">
        <f>Cadastros!I28</f>
        <v>Mateus Alves</v>
      </c>
      <c r="V21" s="85">
        <f>COUNTIFS(H$39:H570,U21,K$39:K570,V$4)</f>
        <v>1</v>
      </c>
      <c r="W21" s="18">
        <f>COUNTIFS(H$39:H570,U21,K$39:K570,W$4)</f>
        <v>0</v>
      </c>
      <c r="X21" s="18">
        <f>COUNTIFS(H$39:H570,U21,K$39:K570,X$4)</f>
        <v>1</v>
      </c>
      <c r="Y21" s="19">
        <f t="shared" si="13"/>
        <v>2</v>
      </c>
      <c r="AA21" s="21" t="str">
        <f t="shared" si="14"/>
        <v>Mateus Alves</v>
      </c>
      <c r="AB21" s="37">
        <f>SUMIFS(J$40:J497,H$40:H497,AA21,E$40:E497,"SAL")</f>
        <v>0</v>
      </c>
      <c r="AC21" s="38">
        <f>SUMIFS(J$40:J571,H$40:H571,AA21,E$40:E571,"SAM")</f>
        <v>5159</v>
      </c>
      <c r="AD21" s="38">
        <f>SUMIFS(J$40:J571,H$40:H571,AA21,E$40:E571,"NE")</f>
        <v>0</v>
      </c>
      <c r="AE21" s="38">
        <f>SUMIFS(J$40:J571,H$40:H571,AA21,E$40:E571,"SAIL")</f>
        <v>0</v>
      </c>
      <c r="AF21" s="39">
        <f t="shared" si="15"/>
        <v>5159</v>
      </c>
      <c r="AH21" s="21" t="str">
        <f t="shared" si="16"/>
        <v>Mateus Alves</v>
      </c>
      <c r="AI21" s="37">
        <f>COUNTIFS(H$40:H571,AH21,E$40:E571,"SAL")</f>
        <v>0</v>
      </c>
      <c r="AJ21" s="38">
        <f t="shared" si="2"/>
        <v>2</v>
      </c>
      <c r="AK21" s="38">
        <f t="shared" si="9"/>
        <v>0</v>
      </c>
      <c r="AL21" s="38">
        <f>COUNTIFS(H$40:H571,AH21,E$40:E571,"SAIL")</f>
        <v>0</v>
      </c>
      <c r="AM21" s="39">
        <f t="shared" si="3"/>
        <v>2</v>
      </c>
      <c r="AO21" s="21" t="str">
        <f t="shared" si="12"/>
        <v>Mateus Alves</v>
      </c>
      <c r="AP21" s="140">
        <f t="shared" si="4"/>
        <v>0</v>
      </c>
      <c r="AQ21" s="139">
        <f t="shared" si="5"/>
        <v>51.5</v>
      </c>
      <c r="AR21" s="38">
        <f t="shared" si="6"/>
        <v>0</v>
      </c>
      <c r="AS21" s="38">
        <f t="shared" si="7"/>
        <v>0</v>
      </c>
      <c r="AT21" s="39">
        <f t="shared" si="8"/>
        <v>51.5</v>
      </c>
    </row>
    <row r="22" spans="2:46" ht="15.75" thickBot="1">
      <c r="D22" s="10"/>
      <c r="E22" s="74" t="s">
        <v>81</v>
      </c>
      <c r="G22" s="11"/>
      <c r="K22" s="5"/>
      <c r="U22" s="87" t="str">
        <f>Cadastros!I29</f>
        <v>Patricia Costa</v>
      </c>
      <c r="V22" s="86">
        <f>COUNTIFS(H$39:H571,U22,K$39:K571,V$4)</f>
        <v>1</v>
      </c>
      <c r="W22" s="14">
        <f>COUNTIFS(H$39:H571,U22,K$39:K571,W$4)</f>
        <v>0</v>
      </c>
      <c r="X22" s="14">
        <f>COUNTIFS(H$39:H571,U22,K$39:K571,X$4)</f>
        <v>0</v>
      </c>
      <c r="Y22" s="15">
        <f t="shared" si="13"/>
        <v>1</v>
      </c>
      <c r="AA22" s="22" t="str">
        <f t="shared" si="14"/>
        <v>Patricia Costa</v>
      </c>
      <c r="AB22" s="30">
        <f>SUMIFS(J$40:J498,H$40:H498,AA22,E$40:E498,"SAL")</f>
        <v>0</v>
      </c>
      <c r="AC22" s="29">
        <f>SUMIFS(J$40:J572,H$40:H572,AA22,E$40:E572,"SAM")</f>
        <v>14</v>
      </c>
      <c r="AD22" s="29">
        <f>SUMIFS(J$40:J572,H$40:H572,AA22,E$40:E572,"NE")</f>
        <v>0</v>
      </c>
      <c r="AE22" s="29">
        <f>SUMIFS(J$40:J572,H$40:H572,AA22,E$40:E572,"SAIL")</f>
        <v>0</v>
      </c>
      <c r="AF22" s="31">
        <f t="shared" si="15"/>
        <v>14</v>
      </c>
      <c r="AH22" s="22" t="str">
        <f t="shared" si="16"/>
        <v>Patricia Costa</v>
      </c>
      <c r="AI22" s="30">
        <f>COUNTIFS(H$40:H572,AH22,E$40:E572,"SAL")</f>
        <v>0</v>
      </c>
      <c r="AJ22" s="29">
        <f t="shared" si="2"/>
        <v>1</v>
      </c>
      <c r="AK22" s="29">
        <f t="shared" si="9"/>
        <v>0</v>
      </c>
      <c r="AL22" s="29">
        <f>COUNTIFS(H$40:H572,AH22,E$40:E572,"SAIL")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COUNTIFS(H$39:H572,U23,K$39:K572,V$4)</f>
        <v>4</v>
      </c>
      <c r="W23" s="18">
        <f>COUNTIFS(H$39:H572,U23,K$39:K572,W$4)</f>
        <v>0</v>
      </c>
      <c r="X23" s="18">
        <f>COUNTIFS(H$39:H572,U23,K$39:K572,X$4)</f>
        <v>0</v>
      </c>
      <c r="Y23" s="19">
        <f t="shared" si="13"/>
        <v>4</v>
      </c>
      <c r="AA23" s="21" t="str">
        <f t="shared" si="14"/>
        <v>Rafaela Ribeiro</v>
      </c>
      <c r="AB23" s="37">
        <f>SUMIFS(J$40:J499,H$40:H499,AA23,E$40:E499,"SAL")</f>
        <v>1002</v>
      </c>
      <c r="AC23" s="38">
        <f>SUMIFS(J$40:J573,H$40:H573,AA23,E$40:E573,"SAM")</f>
        <v>0</v>
      </c>
      <c r="AD23" s="38">
        <f>SUMIFS(J$40:J573,H$40:H573,AA23,E$40:E573,"NE")</f>
        <v>1123</v>
      </c>
      <c r="AE23" s="38">
        <f>SUMIFS(J$40:J573,H$40:H573,AA23,E$40:E573,"SAIL")</f>
        <v>0</v>
      </c>
      <c r="AF23" s="39">
        <f t="shared" si="15"/>
        <v>2125</v>
      </c>
      <c r="AH23" s="21" t="str">
        <f t="shared" si="16"/>
        <v>Rafaela Ribeiro</v>
      </c>
      <c r="AI23" s="37">
        <f>COUNTIFS(H$40:H573,AH23,E$40:E573,"SAL")</f>
        <v>1</v>
      </c>
      <c r="AJ23" s="38">
        <f t="shared" si="2"/>
        <v>0</v>
      </c>
      <c r="AK23" s="38">
        <f t="shared" si="9"/>
        <v>3</v>
      </c>
      <c r="AL23" s="38">
        <f>COUNTIFS(H$40:H573,AH23,E$40:E573,"SAIL")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COUNTIFS(H$39:H573,U24,K$39:K573,V$4)</f>
        <v>2</v>
      </c>
      <c r="W24" s="14">
        <f>COUNTIFS(H$39:H573,U24,K$39:K573,W$4)</f>
        <v>1</v>
      </c>
      <c r="X24" s="14">
        <f>COUNTIFS(H$39:H573,U24,K$39:K573,X$4)</f>
        <v>0</v>
      </c>
      <c r="Y24" s="15">
        <f t="shared" si="13"/>
        <v>3</v>
      </c>
      <c r="AA24" s="22" t="str">
        <f t="shared" si="14"/>
        <v>Renan Maiato</v>
      </c>
      <c r="AB24" s="30">
        <f>SUMIFS(J$40:J500,H$40:H500,AA24,E$40:E500,"SAL")</f>
        <v>0</v>
      </c>
      <c r="AC24" s="29">
        <f>SUMIFS(J$40:J574,H$40:H574,AA24,E$40:E574,"SAM")</f>
        <v>3249</v>
      </c>
      <c r="AD24" s="29">
        <f>SUMIFS(J$40:J574,H$40:H574,AA24,E$40:E574,"NE")</f>
        <v>0</v>
      </c>
      <c r="AE24" s="29">
        <f>SUMIFS(J$40:J574,H$40:H574,AA24,E$40:E574,"SAIL")</f>
        <v>0</v>
      </c>
      <c r="AF24" s="31">
        <f t="shared" si="15"/>
        <v>3249</v>
      </c>
      <c r="AH24" s="22" t="str">
        <f t="shared" si="16"/>
        <v>Renan Maiato</v>
      </c>
      <c r="AI24" s="30">
        <f>COUNTIFS(H$40:H574,AH24,E$40:E574,"SAL")</f>
        <v>0</v>
      </c>
      <c r="AJ24" s="29">
        <f t="shared" si="2"/>
        <v>3</v>
      </c>
      <c r="AK24" s="29">
        <f t="shared" si="9"/>
        <v>0</v>
      </c>
      <c r="AL24" s="29">
        <f>COUNTIFS(H$40:H574,AH24,E$40:E574,"SAIL")</f>
        <v>0</v>
      </c>
      <c r="AM24" s="31">
        <f t="shared" si="3"/>
        <v>3</v>
      </c>
      <c r="AO24" s="22" t="str">
        <f t="shared" si="12"/>
        <v>Renan Maiato</v>
      </c>
      <c r="AP24" s="30">
        <f t="shared" si="4"/>
        <v>0</v>
      </c>
      <c r="AQ24" s="29">
        <f t="shared" si="5"/>
        <v>40</v>
      </c>
      <c r="AR24" s="29">
        <f t="shared" si="6"/>
        <v>0</v>
      </c>
      <c r="AS24" s="29">
        <f t="shared" si="7"/>
        <v>0</v>
      </c>
      <c r="AT24" s="31">
        <f t="shared" si="8"/>
        <v>40</v>
      </c>
    </row>
    <row r="25" spans="2:46" ht="15.75" thickBot="1">
      <c r="D25" s="10"/>
      <c r="E25" s="74" t="s">
        <v>84</v>
      </c>
      <c r="F25" s="5"/>
      <c r="G25" s="11"/>
      <c r="K25" s="5"/>
      <c r="U25" s="87" t="str">
        <f>Cadastros!I32</f>
        <v>Sabrine Neves</v>
      </c>
      <c r="V25" s="85">
        <f>COUNTIFS(H$39:H574,U25,K$39:K574,V$4)</f>
        <v>1</v>
      </c>
      <c r="W25" s="18">
        <f>COUNTIFS(H$39:H574,U25,K$39:K574,W$4)</f>
        <v>0</v>
      </c>
      <c r="X25" s="18">
        <f>COUNTIFS(H$39:H574,U25,K$39:K574,X$4)</f>
        <v>0</v>
      </c>
      <c r="Y25" s="19">
        <f t="shared" si="13"/>
        <v>1</v>
      </c>
      <c r="AA25" s="21" t="str">
        <f t="shared" si="14"/>
        <v>Sabrine Neves</v>
      </c>
      <c r="AB25" s="37">
        <f>SUMIFS(J$40:J501,H$40:H501,AA25,E$40:E501,"SAL")</f>
        <v>607</v>
      </c>
      <c r="AC25" s="38">
        <f>SUMIFS(J$40:J575,H$40:H575,AA25,E$40:E575,"SAM")</f>
        <v>0</v>
      </c>
      <c r="AD25" s="38">
        <f>SUMIFS(J$40:J575,H$40:H575,AA25,E$40:E575,"NE")</f>
        <v>0</v>
      </c>
      <c r="AE25" s="38">
        <f>SUMIFS(J$40:J575,H$40:H575,AA25,E$40:E575,"SAIL")</f>
        <v>0</v>
      </c>
      <c r="AF25" s="39">
        <f t="shared" si="15"/>
        <v>607</v>
      </c>
      <c r="AH25" s="21" t="str">
        <f t="shared" si="16"/>
        <v>Sabrine Neves</v>
      </c>
      <c r="AI25" s="37">
        <f>COUNTIFS(H$40:H575,AH25,E$40:E575,"SAL")</f>
        <v>1</v>
      </c>
      <c r="AJ25" s="38">
        <f t="shared" si="2"/>
        <v>0</v>
      </c>
      <c r="AK25" s="38">
        <f t="shared" si="9"/>
        <v>0</v>
      </c>
      <c r="AL25" s="38">
        <f>COUNTIFS(H$40:H575,AH25,E$40:E575,"SAIL")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5"/>
      <c r="G26" s="11"/>
      <c r="K26" s="5"/>
      <c r="U26" s="87" t="str">
        <f>Cadastros!I33</f>
        <v>Victor Ferreira</v>
      </c>
      <c r="V26" s="86">
        <f>COUNTIFS(H$39:H575,U26,K$39:K575,V$4)</f>
        <v>11</v>
      </c>
      <c r="W26" s="14">
        <f>COUNTIFS(H$39:H575,U26,K$39:K575,W$4)</f>
        <v>0</v>
      </c>
      <c r="X26" s="14">
        <f>COUNTIFS(H$39:H575,U26,K$39:K575,X$4)</f>
        <v>0</v>
      </c>
      <c r="Y26" s="15">
        <f t="shared" si="13"/>
        <v>11</v>
      </c>
      <c r="AA26" s="22" t="str">
        <f t="shared" si="14"/>
        <v>Victor Ferreira</v>
      </c>
      <c r="AB26" s="30">
        <f>SUMIFS(J$40:J502,H$40:H502,AA26,E$40:E502,"SAL")</f>
        <v>0</v>
      </c>
      <c r="AC26" s="29">
        <f>SUMIFS(J$40:J576,H$40:H576,AA26,E$40:E576,"SAM")</f>
        <v>419</v>
      </c>
      <c r="AD26" s="29">
        <f>SUMIFS(J$40:J576,H$40:H576,AA26,E$40:E576,"NE")</f>
        <v>0</v>
      </c>
      <c r="AE26" s="29">
        <f>SUMIFS(J$40:J576,H$40:H576,AA26,E$40:E576,"SAIL")</f>
        <v>0</v>
      </c>
      <c r="AF26" s="31">
        <f t="shared" si="15"/>
        <v>419</v>
      </c>
      <c r="AH26" s="22" t="str">
        <f t="shared" si="16"/>
        <v>Victor Ferreira</v>
      </c>
      <c r="AI26" s="30">
        <f>COUNTIFS(H$40:H576,AH26,E$40:E576,"SAL")</f>
        <v>0</v>
      </c>
      <c r="AJ26" s="29">
        <f t="shared" si="2"/>
        <v>11</v>
      </c>
      <c r="AK26" s="29">
        <f t="shared" si="9"/>
        <v>0</v>
      </c>
      <c r="AL26" s="29">
        <f>COUNTIFS(H$40:H576,AH26,E$40:E576,"SAIL")</f>
        <v>0</v>
      </c>
      <c r="AM26" s="31">
        <f t="shared" si="3"/>
        <v>11</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COUNTIFS(H$39:H576,U27,K$39:K576,V$4)</f>
        <v>16</v>
      </c>
      <c r="W27" s="18">
        <f>COUNTIFS(H$39:H576,U27,K$39:K576,W$4)</f>
        <v>0</v>
      </c>
      <c r="X27" s="18">
        <f>COUNTIFS(H$39:H576,U27,K$39:K576,X$4)</f>
        <v>0</v>
      </c>
      <c r="Y27" s="19">
        <f t="shared" si="13"/>
        <v>16</v>
      </c>
      <c r="AA27" s="21" t="str">
        <f t="shared" si="14"/>
        <v>Erick Vicente</v>
      </c>
      <c r="AB27" s="37">
        <f>SUMIFS(J$40:J503,H$40:H503,AA27,E$40:E503,"SAL")</f>
        <v>0</v>
      </c>
      <c r="AC27" s="38">
        <f>SUMIFS(J$40:J577,H$40:H577,AA27,E$40:E577,"SAM")</f>
        <v>1505</v>
      </c>
      <c r="AD27" s="38">
        <f>SUMIFS(J$40:J577,H$40:H577,AA27,E$40:E577,"NE")</f>
        <v>1948</v>
      </c>
      <c r="AE27" s="38">
        <f>SUMIFS(J$40:J577,H$40:H577,AA27,E$40:E577,"SAIL")</f>
        <v>0</v>
      </c>
      <c r="AF27" s="39">
        <f t="shared" si="15"/>
        <v>3453</v>
      </c>
      <c r="AH27" s="21" t="str">
        <f t="shared" si="16"/>
        <v>Erick Vicente</v>
      </c>
      <c r="AI27" s="37">
        <f>COUNTIFS(H$40:H577,AH27,E$40:E577,"SAL")</f>
        <v>0</v>
      </c>
      <c r="AJ27" s="38">
        <f t="shared" si="2"/>
        <v>8</v>
      </c>
      <c r="AK27" s="38">
        <f t="shared" si="9"/>
        <v>8</v>
      </c>
      <c r="AL27" s="38">
        <f>COUNTIFS(H$40:H577,AH27,E$40:E577,"SAIL")</f>
        <v>0</v>
      </c>
      <c r="AM27" s="39">
        <f t="shared" si="3"/>
        <v>16</v>
      </c>
      <c r="AO27" s="21" t="str">
        <f t="shared" si="12"/>
        <v>Erick Vicente</v>
      </c>
      <c r="AP27" s="140">
        <f t="shared" si="4"/>
        <v>0</v>
      </c>
      <c r="AQ27" s="139">
        <f t="shared" si="5"/>
        <v>80</v>
      </c>
      <c r="AR27" s="38">
        <f t="shared" si="6"/>
        <v>24</v>
      </c>
      <c r="AS27" s="38">
        <f t="shared" si="7"/>
        <v>0</v>
      </c>
      <c r="AT27" s="39">
        <f t="shared" si="8"/>
        <v>104</v>
      </c>
    </row>
    <row r="28" spans="2:46" ht="15.75" thickBot="1">
      <c r="D28" s="10"/>
      <c r="E28" s="74" t="s">
        <v>25</v>
      </c>
      <c r="F28" s="172"/>
      <c r="G28" s="11"/>
      <c r="K28" s="5"/>
      <c r="U28" s="87" t="str">
        <f>Cadastros!I35</f>
        <v>Rafaela Sampaio</v>
      </c>
      <c r="V28" s="86">
        <f>COUNTIFS(H$39:H577,U28,K$39:K577,V$4)</f>
        <v>1</v>
      </c>
      <c r="W28" s="14">
        <f>COUNTIFS(H$39:H577,U28,K$39:K577,W$4)</f>
        <v>0</v>
      </c>
      <c r="X28" s="14">
        <f>COUNTIFS(H$39:H577,U28,K$39:K577,X$4)</f>
        <v>0</v>
      </c>
      <c r="Y28" s="15">
        <f t="shared" si="13"/>
        <v>1</v>
      </c>
      <c r="AA28" s="22" t="str">
        <f t="shared" si="14"/>
        <v>Rafaela Sampaio</v>
      </c>
      <c r="AB28" s="30">
        <f>SUMIFS(J$40:J504,H$40:H504,AA28,E$40:E504,"SAL")</f>
        <v>7012</v>
      </c>
      <c r="AC28" s="29">
        <f>SUMIFS(J$40:J578,H$40:H578,AA28,E$40:E578,"SAM")</f>
        <v>0</v>
      </c>
      <c r="AD28" s="29">
        <f>SUMIFS(J$40:J578,H$40:H578,AA28,E$40:E578,"NE")</f>
        <v>0</v>
      </c>
      <c r="AE28" s="29">
        <f>SUMIFS(J$40:J578,H$40:H578,AA28,E$40:E578,"SAIL")</f>
        <v>0</v>
      </c>
      <c r="AF28" s="31">
        <f t="shared" si="15"/>
        <v>7012</v>
      </c>
      <c r="AH28" s="22" t="str">
        <f t="shared" si="16"/>
        <v>Rafaela Sampaio</v>
      </c>
      <c r="AI28" s="30">
        <f>COUNTIFS(H$40:H578,AH28,E$40:E578,"SAL")</f>
        <v>1</v>
      </c>
      <c r="AJ28" s="29">
        <f t="shared" si="2"/>
        <v>0</v>
      </c>
      <c r="AK28" s="29">
        <f t="shared" si="9"/>
        <v>0</v>
      </c>
      <c r="AL28" s="29">
        <f>COUNTIFS(H$40:H578,AH28,E$40:E578,"SAIL")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COUNTIFS(H$39:H578,U29,K$39:K578,V$4)</f>
        <v>3</v>
      </c>
      <c r="W29" s="98">
        <f>COUNTIFS(H$39:H578,U29,K$39:K578,W$4)</f>
        <v>0</v>
      </c>
      <c r="X29" s="98">
        <f>COUNTIFS(H$39:H578,U29,K$39:K578,X$4)</f>
        <v>0</v>
      </c>
      <c r="Y29" s="99">
        <f t="shared" si="13"/>
        <v>3</v>
      </c>
      <c r="AA29" s="89" t="str">
        <f t="shared" si="14"/>
        <v>Laysa Gabriela</v>
      </c>
      <c r="AB29" s="90">
        <f>SUMIFS(J$40:J505,H$40:H505,AA29,E$40:E505,"SAL")</f>
        <v>2788</v>
      </c>
      <c r="AC29" s="91">
        <f>SUMIFS(J$40:J579,H$40:H579,AA29,E$40:E579,"SAM")</f>
        <v>0</v>
      </c>
      <c r="AD29" s="91">
        <f>SUMIFS(J$40:J579,H$40:H579,AA29,E$40:E579,"NE")</f>
        <v>0</v>
      </c>
      <c r="AE29" s="91">
        <f>SUMIFS(J$40:J579,H$40:H579,AA29,E$40:E579,"SAIL")</f>
        <v>0</v>
      </c>
      <c r="AF29" s="92">
        <f t="shared" si="15"/>
        <v>2788</v>
      </c>
      <c r="AH29" s="89" t="str">
        <f t="shared" si="16"/>
        <v>Laysa Gabriela</v>
      </c>
      <c r="AI29" s="90">
        <f>COUNTIFS(H$40:H579,AH29,E$40:E579,"SAL")</f>
        <v>3</v>
      </c>
      <c r="AJ29" s="91">
        <f t="shared" si="2"/>
        <v>0</v>
      </c>
      <c r="AK29" s="91">
        <f t="shared" si="9"/>
        <v>0</v>
      </c>
      <c r="AL29" s="91">
        <f>COUNTIFS(H$40:H579,AH29,E$40:E579,"SAIL")</f>
        <v>0</v>
      </c>
      <c r="AM29" s="92">
        <f t="shared" si="3"/>
        <v>3</v>
      </c>
      <c r="AO29" s="89" t="str">
        <f t="shared" si="12"/>
        <v>Laysa Gabriela</v>
      </c>
      <c r="AP29" s="141">
        <f t="shared" si="4"/>
        <v>30</v>
      </c>
      <c r="AQ29" s="142">
        <f t="shared" si="5"/>
        <v>0</v>
      </c>
      <c r="AR29" s="142">
        <f t="shared" si="6"/>
        <v>0</v>
      </c>
      <c r="AS29" s="91">
        <f t="shared" si="7"/>
        <v>0</v>
      </c>
      <c r="AT29" s="92">
        <f t="shared" si="8"/>
        <v>30</v>
      </c>
    </row>
    <row r="30" spans="2:46" ht="15.75" thickBot="1">
      <c r="D30" s="10"/>
      <c r="E30" s="74" t="s">
        <v>87</v>
      </c>
      <c r="F30" s="5"/>
      <c r="G30" s="11"/>
      <c r="K30" s="5"/>
      <c r="U30" s="62" t="s">
        <v>88</v>
      </c>
      <c r="V30" s="93">
        <f>SUM(V5:V29)</f>
        <v>105</v>
      </c>
      <c r="W30" s="20">
        <f>SUM(W5:W29)</f>
        <v>8</v>
      </c>
      <c r="X30" s="20">
        <f>SUM(X5:X29)</f>
        <v>2</v>
      </c>
      <c r="Y30" s="100">
        <f>SUM(Y5:Y29)</f>
        <v>115</v>
      </c>
      <c r="AA30" s="62" t="s">
        <v>88</v>
      </c>
      <c r="AB30" s="79">
        <f>SUM(AB5:AB29)</f>
        <v>25905</v>
      </c>
      <c r="AC30" s="80">
        <f>SUM(AC5:AC29)</f>
        <v>18230</v>
      </c>
      <c r="AD30" s="80">
        <f>SUM(AD5:AD29)</f>
        <v>6085</v>
      </c>
      <c r="AE30" s="81">
        <f>SUM(AE5:AE29)</f>
        <v>15154</v>
      </c>
      <c r="AF30" s="62">
        <f>SUM(AB30:AE30)</f>
        <v>65374</v>
      </c>
      <c r="AH30" s="62" t="s">
        <v>88</v>
      </c>
      <c r="AI30" s="79">
        <f>SUM(AI5:AI29)</f>
        <v>20</v>
      </c>
      <c r="AJ30" s="80">
        <f>SUM(AJ5:AJ29)</f>
        <v>46</v>
      </c>
      <c r="AK30" s="80">
        <f>SUM(AK5:AK29)</f>
        <v>45</v>
      </c>
      <c r="AL30" s="81">
        <f>SUM(AL5:AL29)</f>
        <v>5</v>
      </c>
      <c r="AM30" s="62">
        <f>SUM(AI30:AL30)</f>
        <v>116</v>
      </c>
      <c r="AO30" s="62" t="s">
        <v>88</v>
      </c>
      <c r="AP30" s="79">
        <f>SUM(AP5:AP29)</f>
        <v>206</v>
      </c>
      <c r="AQ30" s="80">
        <f>SUM(AQ5:AQ29)</f>
        <v>421</v>
      </c>
      <c r="AR30" s="80">
        <f>SUM(AR5:AR29)</f>
        <v>52</v>
      </c>
      <c r="AS30" s="81">
        <f>SUM(AS5:AS29)</f>
        <v>198</v>
      </c>
      <c r="AT30" s="62">
        <f>SUM(AT5:AT29)</f>
        <v>877</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v>46076</v>
      </c>
      <c r="B41" s="5">
        <v>126583</v>
      </c>
      <c r="C41" s="4">
        <v>46076</v>
      </c>
      <c r="D41" s="171">
        <v>100068</v>
      </c>
      <c r="E41" t="s">
        <v>9</v>
      </c>
      <c r="F41" s="5" t="s">
        <v>34</v>
      </c>
      <c r="G41" s="168"/>
      <c r="H41" s="5" t="s">
        <v>46</v>
      </c>
      <c r="I41" s="5" t="s">
        <v>40</v>
      </c>
      <c r="J41" s="5">
        <v>202</v>
      </c>
      <c r="K41" s="172" t="s">
        <v>10</v>
      </c>
      <c r="L41" s="5">
        <v>1</v>
      </c>
      <c r="M41" s="5" t="s">
        <v>33</v>
      </c>
      <c r="N41" s="5" t="s">
        <v>33</v>
      </c>
      <c r="O41" s="5">
        <v>0</v>
      </c>
      <c r="P41" s="5" t="s">
        <v>8</v>
      </c>
      <c r="Q41" s="5">
        <v>10</v>
      </c>
      <c r="R41" s="5">
        <v>3</v>
      </c>
    </row>
    <row r="42" spans="1:18">
      <c r="A42" s="4">
        <v>46071</v>
      </c>
      <c r="B42" s="5">
        <v>128103</v>
      </c>
      <c r="C42" s="4">
        <v>46071</v>
      </c>
      <c r="D42" s="171">
        <v>99959</v>
      </c>
      <c r="E42" t="s">
        <v>16</v>
      </c>
      <c r="F42" s="5" t="s">
        <v>34</v>
      </c>
      <c r="G42" s="168"/>
      <c r="H42" s="5" t="s">
        <v>27</v>
      </c>
      <c r="I42" s="5" t="s">
        <v>28</v>
      </c>
      <c r="J42" s="5">
        <v>33</v>
      </c>
      <c r="K42" s="172" t="s">
        <v>10</v>
      </c>
      <c r="L42" s="5">
        <v>0</v>
      </c>
      <c r="M42" s="5" t="s">
        <v>33</v>
      </c>
      <c r="N42" s="5" t="s">
        <v>33</v>
      </c>
      <c r="O42" s="5">
        <v>0</v>
      </c>
      <c r="P42" s="5" t="s">
        <v>8</v>
      </c>
      <c r="Q42" s="5">
        <v>4</v>
      </c>
      <c r="R42" s="5">
        <v>3</v>
      </c>
    </row>
    <row r="44" spans="1:18">
      <c r="A44" s="4">
        <v>46080</v>
      </c>
      <c r="B44" s="5">
        <v>128630</v>
      </c>
      <c r="C44" s="4">
        <v>46080</v>
      </c>
      <c r="D44" s="171">
        <v>100223</v>
      </c>
      <c r="E44" t="s">
        <v>18</v>
      </c>
      <c r="F44" s="5" t="s">
        <v>38</v>
      </c>
      <c r="G44" t="s">
        <v>192</v>
      </c>
      <c r="H44" s="5" t="s">
        <v>67</v>
      </c>
      <c r="I44" s="5" t="s">
        <v>43</v>
      </c>
      <c r="J44" s="5">
        <v>25</v>
      </c>
      <c r="K44" s="172" t="s">
        <v>10</v>
      </c>
      <c r="L44" s="5">
        <v>0</v>
      </c>
      <c r="M44" s="5" t="s">
        <v>33</v>
      </c>
      <c r="N44" s="5" t="s">
        <v>33</v>
      </c>
      <c r="O44" s="5">
        <v>0</v>
      </c>
      <c r="P44" s="5" t="s">
        <v>14</v>
      </c>
      <c r="Q44" s="5">
        <v>10</v>
      </c>
      <c r="R44" s="5">
        <v>3</v>
      </c>
    </row>
    <row r="45" spans="1:18">
      <c r="A45" s="4">
        <v>46080</v>
      </c>
      <c r="B45" s="5">
        <v>128430</v>
      </c>
      <c r="C45" s="4">
        <v>46080</v>
      </c>
      <c r="D45" s="171">
        <v>100230</v>
      </c>
      <c r="E45" t="s">
        <v>16</v>
      </c>
      <c r="F45" s="5" t="s">
        <v>34</v>
      </c>
      <c r="G45" t="s">
        <v>193</v>
      </c>
      <c r="H45" s="5" t="s">
        <v>56</v>
      </c>
      <c r="I45" s="5" t="s">
        <v>28</v>
      </c>
      <c r="J45" s="5"/>
      <c r="K45" s="172" t="s">
        <v>10</v>
      </c>
      <c r="L45" s="5">
        <v>0</v>
      </c>
      <c r="M45" s="5" t="s">
        <v>33</v>
      </c>
      <c r="N45" s="5" t="s">
        <v>33</v>
      </c>
      <c r="O45" s="5">
        <v>0</v>
      </c>
      <c r="P45" s="5" t="s">
        <v>36</v>
      </c>
      <c r="Q45" s="5">
        <v>0</v>
      </c>
      <c r="R45" s="5">
        <v>3</v>
      </c>
    </row>
    <row r="46" spans="1:18">
      <c r="A46" s="4">
        <v>46080</v>
      </c>
      <c r="B46" s="5">
        <v>128585</v>
      </c>
      <c r="C46" s="4">
        <v>46080</v>
      </c>
      <c r="D46" s="171">
        <v>100203</v>
      </c>
      <c r="E46" t="s">
        <v>16</v>
      </c>
      <c r="F46" s="5" t="s">
        <v>34</v>
      </c>
      <c r="G46" t="s">
        <v>194</v>
      </c>
      <c r="H46" s="5" t="s">
        <v>56</v>
      </c>
      <c r="I46" s="5" t="s">
        <v>28</v>
      </c>
      <c r="J46" s="5">
        <v>77</v>
      </c>
      <c r="K46" s="172" t="s">
        <v>10</v>
      </c>
      <c r="L46" s="5">
        <v>0</v>
      </c>
      <c r="M46" s="5" t="s">
        <v>33</v>
      </c>
      <c r="N46" s="5" t="s">
        <v>33</v>
      </c>
      <c r="O46" s="5">
        <v>0</v>
      </c>
      <c r="P46" s="5" t="s">
        <v>36</v>
      </c>
      <c r="Q46" s="5">
        <v>0</v>
      </c>
      <c r="R46" s="5">
        <v>3</v>
      </c>
    </row>
    <row r="47" spans="1:18">
      <c r="A47" s="4">
        <v>46080</v>
      </c>
      <c r="B47" s="5">
        <v>128589</v>
      </c>
      <c r="C47" s="4">
        <v>46080</v>
      </c>
      <c r="D47" s="171">
        <v>100221</v>
      </c>
      <c r="E47" t="s">
        <v>16</v>
      </c>
      <c r="F47" s="5" t="s">
        <v>34</v>
      </c>
      <c r="G47" t="s">
        <v>195</v>
      </c>
      <c r="H47" s="5" t="s">
        <v>56</v>
      </c>
      <c r="I47" s="5" t="s">
        <v>28</v>
      </c>
      <c r="J47" s="5">
        <v>134</v>
      </c>
      <c r="K47" s="172" t="s">
        <v>10</v>
      </c>
      <c r="L47" s="5">
        <v>0</v>
      </c>
      <c r="M47" s="5" t="s">
        <v>33</v>
      </c>
      <c r="N47" s="5" t="s">
        <v>33</v>
      </c>
      <c r="O47" s="5">
        <v>0</v>
      </c>
      <c r="P47" s="5" t="s">
        <v>36</v>
      </c>
      <c r="Q47" s="5">
        <v>0</v>
      </c>
      <c r="R47" s="5">
        <v>3</v>
      </c>
    </row>
    <row r="48" spans="1:18">
      <c r="A48" s="4">
        <v>46080</v>
      </c>
      <c r="B48" s="5">
        <v>128618</v>
      </c>
      <c r="C48" s="4">
        <v>46080</v>
      </c>
      <c r="D48" s="171">
        <v>100222</v>
      </c>
      <c r="E48" t="s">
        <v>16</v>
      </c>
      <c r="F48" s="5" t="s">
        <v>34</v>
      </c>
      <c r="G48" t="s">
        <v>196</v>
      </c>
      <c r="H48" s="5" t="s">
        <v>56</v>
      </c>
      <c r="I48" s="5" t="s">
        <v>28</v>
      </c>
      <c r="J48" s="5"/>
      <c r="K48" s="172" t="s">
        <v>10</v>
      </c>
      <c r="L48" s="5">
        <v>0</v>
      </c>
      <c r="M48" s="5" t="s">
        <v>33</v>
      </c>
      <c r="N48" s="5" t="s">
        <v>33</v>
      </c>
      <c r="O48" s="5">
        <v>0</v>
      </c>
      <c r="P48" s="5" t="s">
        <v>36</v>
      </c>
      <c r="Q48" s="5">
        <v>0</v>
      </c>
      <c r="R48" s="5">
        <v>3</v>
      </c>
    </row>
    <row r="49" spans="1:18">
      <c r="A49" s="4">
        <v>46079</v>
      </c>
      <c r="B49" s="5">
        <v>115197</v>
      </c>
      <c r="C49" s="4">
        <v>46080</v>
      </c>
      <c r="D49" s="171">
        <v>100195</v>
      </c>
      <c r="E49" t="s">
        <v>18</v>
      </c>
      <c r="F49" s="5" t="s">
        <v>38</v>
      </c>
      <c r="G49" t="s">
        <v>197</v>
      </c>
      <c r="H49" s="5" t="s">
        <v>67</v>
      </c>
      <c r="I49" s="5" t="s">
        <v>43</v>
      </c>
      <c r="J49" s="5">
        <v>132</v>
      </c>
      <c r="K49" s="172" t="s">
        <v>10</v>
      </c>
      <c r="L49" s="5">
        <v>0</v>
      </c>
      <c r="M49" s="5" t="s">
        <v>33</v>
      </c>
      <c r="N49" s="5" t="s">
        <v>33</v>
      </c>
      <c r="O49" s="5">
        <v>1</v>
      </c>
      <c r="P49" s="5" t="s">
        <v>14</v>
      </c>
      <c r="Q49" s="5">
        <v>10</v>
      </c>
      <c r="R49" s="5">
        <v>3</v>
      </c>
    </row>
    <row r="50" spans="1:18">
      <c r="A50" s="4">
        <v>46079</v>
      </c>
      <c r="B50" s="5">
        <v>128253</v>
      </c>
      <c r="C50" s="4">
        <v>46079</v>
      </c>
      <c r="D50" s="171">
        <v>100187</v>
      </c>
      <c r="E50" t="s">
        <v>16</v>
      </c>
      <c r="F50" s="5" t="s">
        <v>34</v>
      </c>
      <c r="G50" t="s">
        <v>198</v>
      </c>
      <c r="H50" s="5" t="s">
        <v>63</v>
      </c>
      <c r="I50" s="5" t="s">
        <v>28</v>
      </c>
      <c r="J50" s="5">
        <v>714</v>
      </c>
      <c r="K50" s="172" t="s">
        <v>10</v>
      </c>
      <c r="L50" s="5">
        <v>1</v>
      </c>
      <c r="M50" s="5" t="s">
        <v>29</v>
      </c>
      <c r="N50" s="5" t="s">
        <v>33</v>
      </c>
      <c r="O50" s="5">
        <v>0</v>
      </c>
      <c r="P50" s="5" t="s">
        <v>8</v>
      </c>
      <c r="Q50" s="5">
        <v>4</v>
      </c>
      <c r="R50" s="5">
        <v>2</v>
      </c>
    </row>
    <row r="51" spans="1:18">
      <c r="A51" s="4">
        <v>46078</v>
      </c>
      <c r="B51" s="5">
        <v>128433</v>
      </c>
      <c r="C51" s="4">
        <v>46079</v>
      </c>
      <c r="D51" s="171">
        <v>100184</v>
      </c>
      <c r="E51" t="s">
        <v>16</v>
      </c>
      <c r="F51" s="5" t="s">
        <v>34</v>
      </c>
      <c r="G51" t="s">
        <v>199</v>
      </c>
      <c r="H51" s="5" t="s">
        <v>56</v>
      </c>
      <c r="I51" s="5" t="s">
        <v>28</v>
      </c>
      <c r="J51" s="5">
        <v>92</v>
      </c>
      <c r="K51" s="172" t="s">
        <v>10</v>
      </c>
      <c r="L51" s="5">
        <v>0</v>
      </c>
      <c r="M51" s="5" t="s">
        <v>33</v>
      </c>
      <c r="N51" s="5" t="s">
        <v>33</v>
      </c>
      <c r="O51" s="5">
        <v>1</v>
      </c>
      <c r="P51" s="5" t="s">
        <v>36</v>
      </c>
      <c r="Q51" s="5">
        <v>0</v>
      </c>
      <c r="R51" s="5">
        <v>3</v>
      </c>
    </row>
    <row r="52" spans="1:18">
      <c r="A52" s="4">
        <v>46079</v>
      </c>
      <c r="B52" s="5">
        <v>128563</v>
      </c>
      <c r="C52" s="4">
        <v>46079</v>
      </c>
      <c r="D52" s="171">
        <v>100182</v>
      </c>
      <c r="E52" t="s">
        <v>18</v>
      </c>
      <c r="F52" s="5" t="s">
        <v>38</v>
      </c>
      <c r="G52" t="s">
        <v>200</v>
      </c>
      <c r="H52" s="5" t="s">
        <v>66</v>
      </c>
      <c r="I52" s="5" t="s">
        <v>43</v>
      </c>
      <c r="J52" s="5">
        <v>30</v>
      </c>
      <c r="K52" s="172" t="s">
        <v>10</v>
      </c>
      <c r="L52" s="5">
        <v>0</v>
      </c>
      <c r="M52" s="5" t="s">
        <v>33</v>
      </c>
      <c r="N52" s="5" t="s">
        <v>33</v>
      </c>
      <c r="O52" s="5">
        <v>0</v>
      </c>
      <c r="P52" s="5" t="s">
        <v>36</v>
      </c>
      <c r="Q52" s="5">
        <v>0</v>
      </c>
      <c r="R52" s="5">
        <v>3</v>
      </c>
    </row>
    <row r="53" spans="1:18">
      <c r="A53" s="4">
        <v>46079</v>
      </c>
      <c r="B53" s="5">
        <v>128549</v>
      </c>
      <c r="C53" s="4">
        <v>46079</v>
      </c>
      <c r="D53" s="171">
        <v>100170</v>
      </c>
      <c r="E53" t="s">
        <v>16</v>
      </c>
      <c r="F53" s="5" t="s">
        <v>34</v>
      </c>
      <c r="G53" t="s">
        <v>201</v>
      </c>
      <c r="H53" s="5" t="s">
        <v>56</v>
      </c>
      <c r="I53" s="5" t="s">
        <v>28</v>
      </c>
      <c r="J53" s="5">
        <v>23</v>
      </c>
      <c r="K53" s="172" t="s">
        <v>10</v>
      </c>
      <c r="L53" s="5">
        <v>0</v>
      </c>
      <c r="M53" s="5" t="s">
        <v>33</v>
      </c>
      <c r="N53" s="5" t="s">
        <v>33</v>
      </c>
      <c r="O53" s="5">
        <v>0</v>
      </c>
      <c r="P53" s="5" t="s">
        <v>36</v>
      </c>
      <c r="Q53" s="5">
        <v>0</v>
      </c>
      <c r="R53" s="5">
        <v>3</v>
      </c>
    </row>
    <row r="54" spans="1:18">
      <c r="A54" s="4">
        <v>46079</v>
      </c>
      <c r="B54" s="5">
        <v>128541</v>
      </c>
      <c r="C54" s="4">
        <v>46079</v>
      </c>
      <c r="D54" s="171">
        <v>100166</v>
      </c>
      <c r="E54" t="s">
        <v>16</v>
      </c>
      <c r="F54" s="5" t="s">
        <v>34</v>
      </c>
      <c r="G54" t="s">
        <v>202</v>
      </c>
      <c r="H54" s="5" t="s">
        <v>56</v>
      </c>
      <c r="I54" s="5" t="s">
        <v>28</v>
      </c>
      <c r="J54" s="5">
        <v>71</v>
      </c>
      <c r="K54" s="172" t="s">
        <v>10</v>
      </c>
      <c r="L54" s="5">
        <v>0</v>
      </c>
      <c r="M54" s="5" t="s">
        <v>33</v>
      </c>
      <c r="N54" s="5" t="s">
        <v>33</v>
      </c>
      <c r="O54" s="5">
        <v>0</v>
      </c>
      <c r="P54" s="5" t="s">
        <v>36</v>
      </c>
      <c r="Q54" s="5">
        <v>0</v>
      </c>
      <c r="R54" s="5">
        <v>3</v>
      </c>
    </row>
    <row r="55" spans="1:18">
      <c r="A55" s="4">
        <v>46078</v>
      </c>
      <c r="B55" s="5">
        <v>128512</v>
      </c>
      <c r="C55" s="4">
        <v>46078</v>
      </c>
      <c r="D55" s="171">
        <v>100156</v>
      </c>
      <c r="E55" t="s">
        <v>16</v>
      </c>
      <c r="F55" s="5" t="s">
        <v>34</v>
      </c>
      <c r="G55" t="s">
        <v>203</v>
      </c>
      <c r="H55" s="5" t="s">
        <v>58</v>
      </c>
      <c r="I55" s="5" t="s">
        <v>28</v>
      </c>
      <c r="J55" s="5">
        <v>158</v>
      </c>
      <c r="K55" s="172" t="s">
        <v>10</v>
      </c>
      <c r="L55" s="5">
        <v>0</v>
      </c>
      <c r="M55" s="5" t="s">
        <v>33</v>
      </c>
      <c r="N55" s="5" t="s">
        <v>33</v>
      </c>
      <c r="O55" s="5">
        <v>0</v>
      </c>
      <c r="P55" s="5" t="s">
        <v>8</v>
      </c>
      <c r="Q55" s="5">
        <v>4</v>
      </c>
      <c r="R55" s="5">
        <v>2</v>
      </c>
    </row>
    <row r="56" spans="1:18">
      <c r="A56" s="4">
        <v>45989</v>
      </c>
      <c r="B56" s="5">
        <v>124376</v>
      </c>
      <c r="C56" s="4">
        <v>46077</v>
      </c>
      <c r="D56" s="171">
        <v>100128</v>
      </c>
      <c r="E56" t="s">
        <v>9</v>
      </c>
      <c r="F56" s="5" t="s">
        <v>34</v>
      </c>
      <c r="G56" t="s">
        <v>204</v>
      </c>
      <c r="H56" s="5" t="s">
        <v>46</v>
      </c>
      <c r="I56" s="5" t="s">
        <v>40</v>
      </c>
      <c r="J56" s="5">
        <f>1709+1374</f>
        <v>3083</v>
      </c>
      <c r="K56" s="172" t="s">
        <v>10</v>
      </c>
      <c r="L56" s="5">
        <v>2</v>
      </c>
      <c r="M56" s="5" t="s">
        <v>33</v>
      </c>
      <c r="N56" s="5" t="s">
        <v>33</v>
      </c>
      <c r="O56" s="5">
        <v>62</v>
      </c>
      <c r="P56" s="5" t="s">
        <v>8</v>
      </c>
      <c r="Q56" s="5">
        <v>10</v>
      </c>
      <c r="R56" s="5">
        <v>3</v>
      </c>
    </row>
    <row r="57" spans="1:18">
      <c r="A57" s="4">
        <v>46077</v>
      </c>
      <c r="B57" s="5">
        <v>128227</v>
      </c>
      <c r="C57" s="4">
        <v>46077</v>
      </c>
      <c r="D57" s="171">
        <v>100109</v>
      </c>
      <c r="E57" t="s">
        <v>16</v>
      </c>
      <c r="F57" s="5" t="s">
        <v>34</v>
      </c>
      <c r="G57" t="s">
        <v>205</v>
      </c>
      <c r="H57" s="5" t="s">
        <v>56</v>
      </c>
      <c r="I57" s="5" t="s">
        <v>28</v>
      </c>
      <c r="J57" s="5">
        <v>147</v>
      </c>
      <c r="K57" s="172" t="s">
        <v>10</v>
      </c>
      <c r="L57" s="5">
        <v>0</v>
      </c>
      <c r="M57" s="5" t="s">
        <v>33</v>
      </c>
      <c r="N57" s="5" t="s">
        <v>33</v>
      </c>
      <c r="O57" s="5">
        <v>0</v>
      </c>
      <c r="P57" s="5" t="s">
        <v>36</v>
      </c>
      <c r="Q57" s="5">
        <v>0</v>
      </c>
      <c r="R57" s="5">
        <v>3</v>
      </c>
    </row>
    <row r="58" spans="1:18">
      <c r="A58" s="4">
        <v>46076</v>
      </c>
      <c r="B58" s="5">
        <v>126442</v>
      </c>
      <c r="C58" s="4">
        <v>46077</v>
      </c>
      <c r="D58" s="171">
        <v>100121</v>
      </c>
      <c r="E58" t="s">
        <v>16</v>
      </c>
      <c r="F58" s="5" t="s">
        <v>34</v>
      </c>
      <c r="G58" t="s">
        <v>206</v>
      </c>
      <c r="H58" s="5" t="s">
        <v>58</v>
      </c>
      <c r="I58" s="5" t="s">
        <v>28</v>
      </c>
      <c r="J58" s="5">
        <v>132</v>
      </c>
      <c r="K58" s="172" t="s">
        <v>10</v>
      </c>
      <c r="L58" s="5">
        <v>1</v>
      </c>
      <c r="M58" s="5" t="s">
        <v>29</v>
      </c>
      <c r="N58" s="5" t="s">
        <v>33</v>
      </c>
      <c r="O58" s="5">
        <v>1</v>
      </c>
      <c r="P58" s="5" t="s">
        <v>8</v>
      </c>
      <c r="Q58" s="5">
        <v>4</v>
      </c>
      <c r="R58" s="5">
        <v>2</v>
      </c>
    </row>
    <row r="59" spans="1:18">
      <c r="A59" s="4">
        <v>45712</v>
      </c>
      <c r="B59" s="5">
        <v>128385</v>
      </c>
      <c r="C59" s="4">
        <v>45712</v>
      </c>
      <c r="D59" s="171">
        <v>100115</v>
      </c>
      <c r="E59" t="s">
        <v>9</v>
      </c>
      <c r="F59" s="5" t="s">
        <v>34</v>
      </c>
      <c r="G59" t="s">
        <v>207</v>
      </c>
      <c r="H59" s="5" t="s">
        <v>50</v>
      </c>
      <c r="I59" s="5" t="s">
        <v>40</v>
      </c>
      <c r="J59" s="5">
        <v>80</v>
      </c>
      <c r="K59" s="172" t="s">
        <v>10</v>
      </c>
      <c r="L59" s="5">
        <v>0</v>
      </c>
      <c r="M59" s="5" t="s">
        <v>33</v>
      </c>
      <c r="N59" s="5" t="s">
        <v>33</v>
      </c>
      <c r="O59" s="5">
        <v>0</v>
      </c>
      <c r="P59" s="5" t="s">
        <v>14</v>
      </c>
      <c r="Q59" s="5">
        <v>8</v>
      </c>
      <c r="R59" s="5">
        <v>2</v>
      </c>
    </row>
    <row r="60" spans="1:18">
      <c r="A60" s="4">
        <v>46077</v>
      </c>
      <c r="B60" s="5">
        <v>100114</v>
      </c>
      <c r="C60" s="4">
        <v>46077</v>
      </c>
      <c r="D60" s="171">
        <v>100114</v>
      </c>
      <c r="E60" t="s">
        <v>16</v>
      </c>
      <c r="F60" s="5" t="s">
        <v>34</v>
      </c>
      <c r="G60" t="s">
        <v>208</v>
      </c>
      <c r="H60" s="5" t="s">
        <v>56</v>
      </c>
      <c r="I60" s="5" t="s">
        <v>28</v>
      </c>
      <c r="J60" s="5">
        <v>37</v>
      </c>
      <c r="K60" s="172" t="s">
        <v>10</v>
      </c>
      <c r="L60" s="5">
        <v>0</v>
      </c>
      <c r="M60" s="5" t="s">
        <v>33</v>
      </c>
      <c r="N60" s="5" t="s">
        <v>33</v>
      </c>
      <c r="O60" s="5">
        <v>0</v>
      </c>
      <c r="P60" s="5" t="s">
        <v>36</v>
      </c>
      <c r="Q60" s="5">
        <v>0</v>
      </c>
      <c r="R60" s="5">
        <v>3</v>
      </c>
    </row>
    <row r="61" spans="1:18">
      <c r="A61" s="4">
        <v>46077</v>
      </c>
      <c r="B61" s="5">
        <v>127734</v>
      </c>
      <c r="C61" s="4">
        <v>46077</v>
      </c>
      <c r="D61" s="171">
        <v>100112</v>
      </c>
      <c r="E61" t="s">
        <v>18</v>
      </c>
      <c r="F61" s="5" t="s">
        <v>38</v>
      </c>
      <c r="G61" t="s">
        <v>209</v>
      </c>
      <c r="H61" s="5" t="s">
        <v>67</v>
      </c>
      <c r="I61" s="5" t="s">
        <v>43</v>
      </c>
      <c r="J61" s="5">
        <v>239</v>
      </c>
      <c r="K61" s="172" t="s">
        <v>10</v>
      </c>
      <c r="L61" s="5">
        <v>1</v>
      </c>
      <c r="M61" s="5" t="s">
        <v>33</v>
      </c>
      <c r="N61" s="5" t="s">
        <v>33</v>
      </c>
      <c r="O61" s="5">
        <v>0</v>
      </c>
      <c r="P61" s="5" t="s">
        <v>14</v>
      </c>
      <c r="Q61" s="5">
        <v>10</v>
      </c>
      <c r="R61" s="5">
        <v>3</v>
      </c>
    </row>
    <row r="62" spans="1:18">
      <c r="A62" s="4">
        <v>46076</v>
      </c>
      <c r="B62" s="5">
        <v>128116</v>
      </c>
      <c r="C62" s="4">
        <v>46076</v>
      </c>
      <c r="D62" s="171">
        <v>100104</v>
      </c>
      <c r="E62" t="s">
        <v>9</v>
      </c>
      <c r="F62" s="5" t="s">
        <v>34</v>
      </c>
      <c r="G62" t="s">
        <v>210</v>
      </c>
      <c r="H62" s="5" t="s">
        <v>52</v>
      </c>
      <c r="I62" s="5" t="s">
        <v>40</v>
      </c>
      <c r="J62" s="5">
        <f>264+433</f>
        <v>697</v>
      </c>
      <c r="K62" s="172" t="s">
        <v>10</v>
      </c>
      <c r="L62" s="5">
        <v>1</v>
      </c>
      <c r="M62" s="5" t="s">
        <v>33</v>
      </c>
      <c r="N62" s="5" t="s">
        <v>33</v>
      </c>
      <c r="O62" s="5">
        <v>0</v>
      </c>
      <c r="P62" s="5" t="s">
        <v>8</v>
      </c>
      <c r="Q62" s="5">
        <v>10</v>
      </c>
      <c r="R62" s="5">
        <v>2</v>
      </c>
    </row>
    <row r="63" spans="1:18">
      <c r="A63" s="4">
        <v>46076</v>
      </c>
      <c r="B63" s="5">
        <v>128354</v>
      </c>
      <c r="C63" s="4">
        <v>46076</v>
      </c>
      <c r="D63" s="171">
        <v>100084</v>
      </c>
      <c r="E63" t="s">
        <v>18</v>
      </c>
      <c r="F63" s="5" t="s">
        <v>38</v>
      </c>
      <c r="G63" t="s">
        <v>211</v>
      </c>
      <c r="H63" s="5" t="s">
        <v>66</v>
      </c>
      <c r="I63" s="5" t="s">
        <v>43</v>
      </c>
      <c r="J63" s="5">
        <v>20</v>
      </c>
      <c r="K63" s="172" t="s">
        <v>10</v>
      </c>
      <c r="L63" s="5">
        <v>0</v>
      </c>
      <c r="M63" s="5" t="s">
        <v>33</v>
      </c>
      <c r="N63" s="5" t="s">
        <v>33</v>
      </c>
      <c r="O63" s="5">
        <v>0</v>
      </c>
      <c r="P63" s="5" t="s">
        <v>36</v>
      </c>
      <c r="Q63" s="5">
        <v>0</v>
      </c>
      <c r="R63" s="5">
        <v>3</v>
      </c>
    </row>
    <row r="64" spans="1:18">
      <c r="A64" s="4">
        <v>46076</v>
      </c>
      <c r="B64" s="5">
        <v>128327</v>
      </c>
      <c r="C64" s="4">
        <v>46076</v>
      </c>
      <c r="D64" s="171">
        <v>100075</v>
      </c>
      <c r="E64" t="s">
        <v>18</v>
      </c>
      <c r="F64" s="5" t="s">
        <v>34</v>
      </c>
      <c r="G64" t="s">
        <v>212</v>
      </c>
      <c r="H64" s="5" t="s">
        <v>62</v>
      </c>
      <c r="I64" s="5" t="s">
        <v>40</v>
      </c>
      <c r="J64" s="5">
        <v>14</v>
      </c>
      <c r="K64" s="172" t="s">
        <v>10</v>
      </c>
      <c r="L64" s="5">
        <v>0</v>
      </c>
      <c r="M64" s="5" t="s">
        <v>33</v>
      </c>
      <c r="N64" s="5" t="s">
        <v>33</v>
      </c>
      <c r="O64" s="5">
        <v>0</v>
      </c>
      <c r="P64" s="5" t="s">
        <v>36</v>
      </c>
      <c r="Q64" s="5">
        <v>0</v>
      </c>
      <c r="R64" s="5">
        <v>2</v>
      </c>
    </row>
    <row r="65" spans="1:18">
      <c r="A65" s="4">
        <v>46076</v>
      </c>
      <c r="B65" s="5">
        <v>124540</v>
      </c>
      <c r="C65" s="4">
        <v>46076</v>
      </c>
      <c r="D65" s="171">
        <v>100078</v>
      </c>
      <c r="E65" t="s">
        <v>18</v>
      </c>
      <c r="F65" s="5" t="s">
        <v>38</v>
      </c>
      <c r="G65" s="168" t="s">
        <v>213</v>
      </c>
      <c r="H65" s="5" t="s">
        <v>66</v>
      </c>
      <c r="I65" s="5" t="s">
        <v>43</v>
      </c>
      <c r="J65" s="5">
        <v>20</v>
      </c>
      <c r="K65" s="172" t="s">
        <v>10</v>
      </c>
      <c r="L65" s="5">
        <v>0</v>
      </c>
      <c r="M65" s="5" t="s">
        <v>33</v>
      </c>
      <c r="N65" s="5" t="s">
        <v>33</v>
      </c>
      <c r="O65" s="5">
        <v>0</v>
      </c>
      <c r="P65" s="5" t="s">
        <v>36</v>
      </c>
      <c r="Q65" s="5">
        <v>0</v>
      </c>
      <c r="R65" s="5">
        <v>3</v>
      </c>
    </row>
    <row r="66" spans="1:18">
      <c r="A66" s="4">
        <v>46076</v>
      </c>
      <c r="B66" s="5">
        <v>127937</v>
      </c>
      <c r="C66" s="4">
        <v>46076</v>
      </c>
      <c r="D66" s="171">
        <v>100076</v>
      </c>
      <c r="E66" t="s">
        <v>16</v>
      </c>
      <c r="F66" s="5" t="s">
        <v>34</v>
      </c>
      <c r="G66" s="168" t="s">
        <v>214</v>
      </c>
      <c r="H66" s="5" t="s">
        <v>58</v>
      </c>
      <c r="I66" s="5" t="s">
        <v>28</v>
      </c>
      <c r="J66" s="5">
        <v>591</v>
      </c>
      <c r="K66" s="172" t="s">
        <v>10</v>
      </c>
      <c r="L66" s="5">
        <v>2</v>
      </c>
      <c r="M66" s="5" t="s">
        <v>33</v>
      </c>
      <c r="N66" s="5" t="s">
        <v>33</v>
      </c>
      <c r="O66" s="5">
        <v>0</v>
      </c>
      <c r="P66" s="5" t="s">
        <v>8</v>
      </c>
      <c r="Q66" s="5">
        <v>4</v>
      </c>
      <c r="R66" s="5">
        <v>2</v>
      </c>
    </row>
    <row r="67" spans="1:18">
      <c r="A67" s="4">
        <v>46073</v>
      </c>
      <c r="B67" s="5">
        <v>125848</v>
      </c>
      <c r="C67" s="4">
        <v>46076</v>
      </c>
      <c r="D67" s="171">
        <v>100066</v>
      </c>
      <c r="E67" t="s">
        <v>16</v>
      </c>
      <c r="F67" s="5" t="s">
        <v>34</v>
      </c>
      <c r="G67" s="168" t="s">
        <v>215</v>
      </c>
      <c r="H67" s="5" t="s">
        <v>56</v>
      </c>
      <c r="I67" s="5" t="s">
        <v>28</v>
      </c>
      <c r="J67" s="5">
        <v>306</v>
      </c>
      <c r="K67" s="172" t="s">
        <v>10</v>
      </c>
      <c r="L67" s="5">
        <v>0</v>
      </c>
      <c r="M67" s="5" t="s">
        <v>33</v>
      </c>
      <c r="N67" s="5" t="s">
        <v>33</v>
      </c>
      <c r="O67" s="5">
        <v>1</v>
      </c>
      <c r="P67" s="5" t="s">
        <v>36</v>
      </c>
      <c r="Q67" s="5">
        <v>0</v>
      </c>
      <c r="R67" s="5">
        <v>3</v>
      </c>
    </row>
    <row r="68" spans="1:18">
      <c r="A68" s="4">
        <v>46073</v>
      </c>
      <c r="B68" s="5">
        <v>128039</v>
      </c>
      <c r="C68" s="4">
        <v>46076</v>
      </c>
      <c r="D68" s="171">
        <v>100065</v>
      </c>
      <c r="E68" t="s">
        <v>16</v>
      </c>
      <c r="F68" s="5" t="s">
        <v>34</v>
      </c>
      <c r="G68" s="168" t="s">
        <v>216</v>
      </c>
      <c r="H68" s="5" t="s">
        <v>56</v>
      </c>
      <c r="I68" s="5" t="s">
        <v>28</v>
      </c>
      <c r="J68" s="5">
        <v>53</v>
      </c>
      <c r="K68" s="172" t="s">
        <v>10</v>
      </c>
      <c r="L68" s="5">
        <v>0</v>
      </c>
      <c r="M68" s="5" t="s">
        <v>33</v>
      </c>
      <c r="N68" s="5" t="s">
        <v>33</v>
      </c>
      <c r="O68" s="5">
        <v>1</v>
      </c>
      <c r="P68" s="5" t="s">
        <v>36</v>
      </c>
      <c r="Q68" s="5">
        <v>0</v>
      </c>
      <c r="R68" s="5">
        <v>3</v>
      </c>
    </row>
    <row r="69" spans="1:18">
      <c r="A69" s="4">
        <v>46073</v>
      </c>
      <c r="B69" s="5">
        <v>127423</v>
      </c>
      <c r="C69" s="4">
        <v>46076</v>
      </c>
      <c r="D69" s="171">
        <v>100063</v>
      </c>
      <c r="E69" t="s">
        <v>16</v>
      </c>
      <c r="F69" s="5" t="s">
        <v>34</v>
      </c>
      <c r="G69" s="168" t="s">
        <v>217</v>
      </c>
      <c r="H69" s="5" t="s">
        <v>56</v>
      </c>
      <c r="I69" s="5" t="s">
        <v>28</v>
      </c>
      <c r="J69" s="5">
        <v>17</v>
      </c>
      <c r="K69" s="172" t="s">
        <v>10</v>
      </c>
      <c r="L69" s="5">
        <v>0</v>
      </c>
      <c r="M69" s="5" t="s">
        <v>29</v>
      </c>
      <c r="N69" s="5" t="s">
        <v>33</v>
      </c>
      <c r="O69" s="5">
        <v>1</v>
      </c>
      <c r="P69" s="5" t="s">
        <v>36</v>
      </c>
      <c r="Q69" s="5">
        <v>0</v>
      </c>
      <c r="R69" s="5">
        <v>3</v>
      </c>
    </row>
    <row r="70" spans="1:18">
      <c r="A70" s="4">
        <v>46069</v>
      </c>
      <c r="B70" s="5">
        <v>128101</v>
      </c>
      <c r="C70" s="4">
        <v>46076</v>
      </c>
      <c r="D70" s="171">
        <v>100062</v>
      </c>
      <c r="E70" t="s">
        <v>16</v>
      </c>
      <c r="F70" s="5" t="s">
        <v>34</v>
      </c>
      <c r="G70" s="168" t="s">
        <v>218</v>
      </c>
      <c r="H70" s="5" t="s">
        <v>56</v>
      </c>
      <c r="I70" s="5" t="s">
        <v>28</v>
      </c>
      <c r="J70" s="5">
        <v>117</v>
      </c>
      <c r="K70" s="172" t="s">
        <v>10</v>
      </c>
      <c r="L70" s="5">
        <v>0</v>
      </c>
      <c r="M70" s="5" t="s">
        <v>33</v>
      </c>
      <c r="N70" s="5" t="s">
        <v>33</v>
      </c>
      <c r="O70" s="5">
        <v>5</v>
      </c>
      <c r="P70" s="5" t="s">
        <v>36</v>
      </c>
      <c r="Q70" s="5">
        <v>0</v>
      </c>
      <c r="R70" s="5">
        <v>3</v>
      </c>
    </row>
    <row r="71" spans="1:18">
      <c r="A71" s="4">
        <v>46051</v>
      </c>
      <c r="B71" s="5">
        <v>126693</v>
      </c>
      <c r="C71" s="4">
        <v>46076</v>
      </c>
      <c r="D71" s="171">
        <v>100061</v>
      </c>
      <c r="E71" t="s">
        <v>16</v>
      </c>
      <c r="F71" s="5" t="s">
        <v>34</v>
      </c>
      <c r="G71" s="168" t="s">
        <v>219</v>
      </c>
      <c r="H71" s="5" t="s">
        <v>63</v>
      </c>
      <c r="I71" s="5" t="s">
        <v>28</v>
      </c>
      <c r="J71" s="5">
        <v>182</v>
      </c>
      <c r="K71" s="172" t="s">
        <v>10</v>
      </c>
      <c r="L71" s="5">
        <v>0</v>
      </c>
      <c r="M71" s="5" t="s">
        <v>33</v>
      </c>
      <c r="N71" s="5" t="s">
        <v>33</v>
      </c>
      <c r="O71" s="5">
        <v>17</v>
      </c>
      <c r="P71" s="5" t="s">
        <v>8</v>
      </c>
      <c r="Q71" s="5">
        <v>4</v>
      </c>
      <c r="R71" s="5">
        <v>2</v>
      </c>
    </row>
    <row r="72" spans="1:18">
      <c r="A72" s="4">
        <v>46073</v>
      </c>
      <c r="B72" s="5">
        <v>128255</v>
      </c>
      <c r="C72" s="4">
        <v>46073</v>
      </c>
      <c r="D72" s="171">
        <v>100053</v>
      </c>
      <c r="E72" t="s">
        <v>16</v>
      </c>
      <c r="F72" s="5" t="s">
        <v>34</v>
      </c>
      <c r="G72" s="168" t="s">
        <v>220</v>
      </c>
      <c r="H72" s="5" t="s">
        <v>56</v>
      </c>
      <c r="I72" s="5" t="s">
        <v>28</v>
      </c>
      <c r="J72" s="5">
        <v>14</v>
      </c>
      <c r="K72" s="172" t="s">
        <v>10</v>
      </c>
      <c r="L72" s="5">
        <v>0</v>
      </c>
      <c r="M72" s="5" t="s">
        <v>33</v>
      </c>
      <c r="N72" s="5" t="s">
        <v>33</v>
      </c>
      <c r="O72" s="5">
        <v>0</v>
      </c>
      <c r="P72" s="5" t="s">
        <v>36</v>
      </c>
      <c r="Q72" s="5">
        <v>0</v>
      </c>
      <c r="R72" s="5">
        <v>3</v>
      </c>
    </row>
    <row r="73" spans="1:18">
      <c r="A73" s="4">
        <v>46073</v>
      </c>
      <c r="B73" s="5">
        <v>127853</v>
      </c>
      <c r="C73" s="4">
        <v>46073</v>
      </c>
      <c r="D73" s="171">
        <v>100049</v>
      </c>
      <c r="E73" t="s">
        <v>18</v>
      </c>
      <c r="F73" s="5" t="s">
        <v>34</v>
      </c>
      <c r="G73" s="168" t="s">
        <v>221</v>
      </c>
      <c r="H73" s="5" t="s">
        <v>61</v>
      </c>
      <c r="I73" s="5" t="s">
        <v>37</v>
      </c>
      <c r="J73" s="5">
        <v>862</v>
      </c>
      <c r="K73" s="172" t="s">
        <v>10</v>
      </c>
      <c r="L73" s="5">
        <v>1</v>
      </c>
      <c r="M73" s="5" t="s">
        <v>33</v>
      </c>
      <c r="N73" s="5" t="s">
        <v>33</v>
      </c>
      <c r="O73" s="5">
        <v>0</v>
      </c>
      <c r="P73" s="5" t="s">
        <v>8</v>
      </c>
      <c r="Q73" s="5">
        <v>11.5</v>
      </c>
      <c r="R73" s="5">
        <v>2</v>
      </c>
    </row>
    <row r="74" spans="1:18">
      <c r="A74" s="4">
        <v>46071</v>
      </c>
      <c r="B74" s="5">
        <v>128109</v>
      </c>
      <c r="C74" s="4">
        <v>45708</v>
      </c>
      <c r="D74" s="171">
        <v>100046</v>
      </c>
      <c r="E74" t="s">
        <v>16</v>
      </c>
      <c r="F74" s="5" t="s">
        <v>34</v>
      </c>
      <c r="G74" t="s">
        <v>222</v>
      </c>
      <c r="H74" s="5" t="s">
        <v>56</v>
      </c>
      <c r="I74" s="5" t="s">
        <v>28</v>
      </c>
      <c r="J74" s="5">
        <v>35</v>
      </c>
      <c r="K74" s="172" t="s">
        <v>10</v>
      </c>
      <c r="L74" s="5">
        <v>0</v>
      </c>
      <c r="M74" s="5" t="s">
        <v>33</v>
      </c>
      <c r="N74" s="5" t="s">
        <v>29</v>
      </c>
      <c r="O74" s="5">
        <v>-363</v>
      </c>
      <c r="P74" s="5" t="s">
        <v>36</v>
      </c>
      <c r="Q74" s="5">
        <v>0</v>
      </c>
      <c r="R74" s="5">
        <v>3</v>
      </c>
    </row>
    <row r="75" spans="1:18">
      <c r="A75" s="4">
        <v>46073</v>
      </c>
      <c r="B75" s="5">
        <v>128277</v>
      </c>
      <c r="C75" s="4">
        <v>46073</v>
      </c>
      <c r="D75" s="171">
        <v>100042</v>
      </c>
      <c r="E75" t="s">
        <v>18</v>
      </c>
      <c r="F75" s="5" t="s">
        <v>38</v>
      </c>
      <c r="G75" t="s">
        <v>223</v>
      </c>
      <c r="H75" s="5" t="s">
        <v>66</v>
      </c>
      <c r="I75" s="5" t="s">
        <v>43</v>
      </c>
      <c r="J75" s="5">
        <v>22</v>
      </c>
      <c r="K75" s="172" t="s">
        <v>10</v>
      </c>
      <c r="L75" s="5">
        <v>0</v>
      </c>
      <c r="M75" s="5" t="s">
        <v>33</v>
      </c>
      <c r="N75" s="5" t="s">
        <v>33</v>
      </c>
      <c r="O75" s="5">
        <v>0</v>
      </c>
      <c r="P75" s="5" t="s">
        <v>36</v>
      </c>
      <c r="Q75" s="5">
        <v>0</v>
      </c>
      <c r="R75" s="5">
        <v>3</v>
      </c>
    </row>
    <row r="76" spans="1:18">
      <c r="A76" s="4">
        <v>46073</v>
      </c>
      <c r="B76" s="5">
        <v>128205</v>
      </c>
      <c r="C76" s="4">
        <v>46073</v>
      </c>
      <c r="D76" s="171">
        <v>100038</v>
      </c>
      <c r="E76" t="s">
        <v>18</v>
      </c>
      <c r="F76" s="5" t="s">
        <v>38</v>
      </c>
      <c r="G76" t="s">
        <v>224</v>
      </c>
      <c r="H76" s="5" t="s">
        <v>67</v>
      </c>
      <c r="I76" s="5" t="s">
        <v>43</v>
      </c>
      <c r="J76" s="5"/>
      <c r="K76" s="172" t="s">
        <v>10</v>
      </c>
      <c r="L76" s="5">
        <v>0</v>
      </c>
      <c r="M76" s="5" t="s">
        <v>33</v>
      </c>
      <c r="N76" s="5" t="s">
        <v>33</v>
      </c>
      <c r="O76" s="5">
        <v>0</v>
      </c>
      <c r="P76" s="5" t="s">
        <v>14</v>
      </c>
      <c r="Q76" s="5">
        <v>10</v>
      </c>
      <c r="R76" s="5">
        <v>3</v>
      </c>
    </row>
    <row r="77" spans="1:18">
      <c r="A77" s="4">
        <v>46073</v>
      </c>
      <c r="B77" s="5">
        <v>128129</v>
      </c>
      <c r="C77" s="4">
        <v>46073</v>
      </c>
      <c r="D77" s="171">
        <v>100036</v>
      </c>
      <c r="E77" t="s">
        <v>18</v>
      </c>
      <c r="F77" s="5" t="s">
        <v>38</v>
      </c>
      <c r="G77" t="s">
        <v>225</v>
      </c>
      <c r="H77" s="5" t="s">
        <v>66</v>
      </c>
      <c r="I77" s="5" t="s">
        <v>43</v>
      </c>
      <c r="J77" s="5">
        <v>27</v>
      </c>
      <c r="K77" s="172" t="s">
        <v>10</v>
      </c>
      <c r="L77" s="5">
        <v>0</v>
      </c>
      <c r="M77" s="5" t="s">
        <v>33</v>
      </c>
      <c r="N77" s="5" t="s">
        <v>33</v>
      </c>
      <c r="O77" s="5">
        <v>0</v>
      </c>
      <c r="P77" s="5" t="s">
        <v>36</v>
      </c>
      <c r="Q77" s="5">
        <v>0</v>
      </c>
      <c r="R77" s="5">
        <v>3</v>
      </c>
    </row>
    <row r="78" spans="1:18">
      <c r="A78" s="4">
        <v>46073</v>
      </c>
      <c r="B78" s="5">
        <v>127842</v>
      </c>
      <c r="C78" s="4">
        <v>46073</v>
      </c>
      <c r="D78" s="171">
        <v>100029</v>
      </c>
      <c r="E78" t="s">
        <v>18</v>
      </c>
      <c r="F78" s="5" t="s">
        <v>38</v>
      </c>
      <c r="G78" t="s">
        <v>226</v>
      </c>
      <c r="H78" s="5" t="s">
        <v>67</v>
      </c>
      <c r="I78" s="5" t="s">
        <v>43</v>
      </c>
      <c r="J78" s="5">
        <v>744</v>
      </c>
      <c r="K78" s="172" t="s">
        <v>10</v>
      </c>
      <c r="L78" s="5">
        <v>1</v>
      </c>
      <c r="M78" s="5" t="s">
        <v>33</v>
      </c>
      <c r="N78" s="5" t="s">
        <v>33</v>
      </c>
      <c r="O78" s="5">
        <v>0</v>
      </c>
      <c r="P78" s="5" t="s">
        <v>14</v>
      </c>
      <c r="Q78" s="5">
        <v>10</v>
      </c>
      <c r="R78" s="5">
        <v>3</v>
      </c>
    </row>
    <row r="79" spans="1:18">
      <c r="A79" s="4">
        <v>46073</v>
      </c>
      <c r="B79" s="5">
        <v>128232</v>
      </c>
      <c r="C79" s="4">
        <v>46073</v>
      </c>
      <c r="D79" s="171">
        <v>100028</v>
      </c>
      <c r="E79" t="s">
        <v>18</v>
      </c>
      <c r="F79" s="5" t="s">
        <v>38</v>
      </c>
      <c r="G79" t="s">
        <v>227</v>
      </c>
      <c r="H79" s="5" t="s">
        <v>66</v>
      </c>
      <c r="I79" s="5" t="s">
        <v>43</v>
      </c>
      <c r="J79" s="5">
        <v>50</v>
      </c>
      <c r="K79" s="172" t="s">
        <v>10</v>
      </c>
      <c r="L79" s="5">
        <v>0</v>
      </c>
      <c r="M79" s="5" t="s">
        <v>33</v>
      </c>
      <c r="N79" s="5" t="s">
        <v>33</v>
      </c>
      <c r="O79" s="5">
        <v>0</v>
      </c>
      <c r="P79" s="5" t="s">
        <v>36</v>
      </c>
      <c r="Q79" s="5">
        <v>0</v>
      </c>
      <c r="R79" s="5">
        <v>3</v>
      </c>
    </row>
    <row r="80" spans="1:18">
      <c r="A80" s="4">
        <v>46057</v>
      </c>
      <c r="B80" s="5">
        <v>124951</v>
      </c>
      <c r="C80" s="4">
        <v>46072</v>
      </c>
      <c r="D80" s="171">
        <v>100020</v>
      </c>
      <c r="E80" t="s">
        <v>9</v>
      </c>
      <c r="F80" s="5" t="s">
        <v>34</v>
      </c>
      <c r="G80" t="s">
        <v>228</v>
      </c>
      <c r="H80" s="5" t="s">
        <v>63</v>
      </c>
      <c r="I80" s="5" t="s">
        <v>40</v>
      </c>
      <c r="J80" s="5">
        <f>440+562</f>
        <v>1002</v>
      </c>
      <c r="K80" s="172" t="s">
        <v>10</v>
      </c>
      <c r="L80" s="5">
        <v>2</v>
      </c>
      <c r="M80" s="5" t="s">
        <v>33</v>
      </c>
      <c r="N80" s="5" t="s">
        <v>33</v>
      </c>
      <c r="O80" s="5">
        <v>11</v>
      </c>
      <c r="P80" s="5" t="s">
        <v>8</v>
      </c>
      <c r="Q80" s="5">
        <v>10</v>
      </c>
      <c r="R80" s="5">
        <v>2</v>
      </c>
    </row>
    <row r="81" spans="1:18">
      <c r="A81" s="4">
        <v>46064</v>
      </c>
      <c r="B81" s="5">
        <v>127904</v>
      </c>
      <c r="C81" s="4">
        <v>46072</v>
      </c>
      <c r="D81" s="171">
        <v>100016</v>
      </c>
      <c r="E81" t="s">
        <v>16</v>
      </c>
      <c r="F81" s="5" t="s">
        <v>38</v>
      </c>
      <c r="G81" t="s">
        <v>229</v>
      </c>
      <c r="H81" s="5" t="s">
        <v>67</v>
      </c>
      <c r="I81" s="5" t="s">
        <v>45</v>
      </c>
      <c r="J81" s="5">
        <v>400</v>
      </c>
      <c r="K81" s="172" t="s">
        <v>10</v>
      </c>
      <c r="L81" s="5">
        <v>1</v>
      </c>
      <c r="M81" s="5" t="s">
        <v>33</v>
      </c>
      <c r="N81" s="5" t="s">
        <v>33</v>
      </c>
      <c r="O81" s="5">
        <v>6</v>
      </c>
      <c r="P81" s="5" t="s">
        <v>14</v>
      </c>
      <c r="Q81" s="5">
        <v>3</v>
      </c>
      <c r="R81" s="5">
        <v>3</v>
      </c>
    </row>
    <row r="82" spans="1:18">
      <c r="A82" s="4">
        <v>46065</v>
      </c>
      <c r="B82" s="5">
        <v>126993</v>
      </c>
      <c r="C82" s="4">
        <v>46072</v>
      </c>
      <c r="D82" s="171">
        <v>100015</v>
      </c>
      <c r="E82" t="s">
        <v>9</v>
      </c>
      <c r="F82" s="5" t="s">
        <v>34</v>
      </c>
      <c r="G82" t="s">
        <v>230</v>
      </c>
      <c r="H82" s="5" t="s">
        <v>57</v>
      </c>
      <c r="I82" s="5" t="s">
        <v>40</v>
      </c>
      <c r="J82" s="5">
        <v>854</v>
      </c>
      <c r="K82" s="172" t="s">
        <v>11</v>
      </c>
      <c r="L82" s="5">
        <v>1</v>
      </c>
      <c r="M82" s="5" t="s">
        <v>29</v>
      </c>
      <c r="N82" s="5" t="s">
        <v>33</v>
      </c>
      <c r="O82" s="5">
        <v>5</v>
      </c>
      <c r="P82" s="5" t="s">
        <v>14</v>
      </c>
      <c r="Q82" s="5">
        <v>13</v>
      </c>
      <c r="R82" s="5">
        <v>3</v>
      </c>
    </row>
    <row r="83" spans="1:18">
      <c r="A83" s="4">
        <v>46071</v>
      </c>
      <c r="B83" s="5">
        <v>128179</v>
      </c>
      <c r="C83" s="4">
        <v>46072</v>
      </c>
      <c r="D83" s="171">
        <v>100012</v>
      </c>
      <c r="E83" t="s">
        <v>16</v>
      </c>
      <c r="F83" s="5" t="s">
        <v>38</v>
      </c>
      <c r="G83" t="s">
        <v>231</v>
      </c>
      <c r="H83" s="5" t="s">
        <v>67</v>
      </c>
      <c r="I83" s="5" t="s">
        <v>45</v>
      </c>
      <c r="J83" s="5">
        <v>142</v>
      </c>
      <c r="K83" s="172" t="s">
        <v>10</v>
      </c>
      <c r="L83" s="5">
        <v>1</v>
      </c>
      <c r="M83" s="5" t="s">
        <v>33</v>
      </c>
      <c r="N83" s="5" t="s">
        <v>33</v>
      </c>
      <c r="O83" s="5">
        <v>1</v>
      </c>
      <c r="P83" s="5" t="s">
        <v>14</v>
      </c>
      <c r="Q83" s="5">
        <v>3</v>
      </c>
      <c r="R83" s="5">
        <v>3</v>
      </c>
    </row>
    <row r="84" spans="1:18">
      <c r="A84" s="4">
        <v>45707</v>
      </c>
      <c r="B84" s="5">
        <v>128189</v>
      </c>
      <c r="C84" s="4">
        <v>45707</v>
      </c>
      <c r="D84" s="171">
        <v>100011</v>
      </c>
      <c r="E84" t="s">
        <v>16</v>
      </c>
      <c r="F84" s="5" t="s">
        <v>34</v>
      </c>
      <c r="G84" t="s">
        <v>232</v>
      </c>
      <c r="H84" s="5" t="s">
        <v>56</v>
      </c>
      <c r="I84" s="5" t="s">
        <v>28</v>
      </c>
      <c r="J84" s="5"/>
      <c r="K84" s="172" t="s">
        <v>10</v>
      </c>
      <c r="L84" s="5">
        <v>0</v>
      </c>
      <c r="M84" s="5" t="s">
        <v>33</v>
      </c>
      <c r="N84" s="5" t="s">
        <v>33</v>
      </c>
      <c r="O84" s="5">
        <v>0</v>
      </c>
      <c r="P84" s="5" t="s">
        <v>36</v>
      </c>
      <c r="Q84" s="5">
        <v>0</v>
      </c>
      <c r="R84" s="5">
        <v>3</v>
      </c>
    </row>
    <row r="85" spans="1:18">
      <c r="A85" s="4">
        <v>45707</v>
      </c>
      <c r="B85" s="5">
        <v>128185</v>
      </c>
      <c r="C85" s="4">
        <v>45707</v>
      </c>
      <c r="D85" s="171">
        <v>100006</v>
      </c>
      <c r="E85" t="s">
        <v>16</v>
      </c>
      <c r="F85" s="5" t="s">
        <v>34</v>
      </c>
      <c r="G85" t="s">
        <v>233</v>
      </c>
      <c r="H85" s="5" t="s">
        <v>56</v>
      </c>
      <c r="I85" s="5" t="s">
        <v>28</v>
      </c>
      <c r="J85" s="5"/>
      <c r="K85" s="172" t="s">
        <v>10</v>
      </c>
      <c r="L85" s="5">
        <v>0</v>
      </c>
      <c r="M85" s="5" t="s">
        <v>33</v>
      </c>
      <c r="N85" s="5" t="s">
        <v>33</v>
      </c>
      <c r="O85" s="5">
        <v>0</v>
      </c>
      <c r="P85" s="5" t="s">
        <v>36</v>
      </c>
      <c r="Q85" s="5">
        <v>0</v>
      </c>
      <c r="R85" s="5">
        <v>3</v>
      </c>
    </row>
    <row r="86" spans="1:18">
      <c r="A86" s="4">
        <v>46071</v>
      </c>
      <c r="B86" s="5">
        <v>128103</v>
      </c>
      <c r="C86" s="4">
        <v>46071</v>
      </c>
      <c r="D86" s="171">
        <v>99959</v>
      </c>
      <c r="E86" t="s">
        <v>16</v>
      </c>
      <c r="F86" s="5" t="s">
        <v>34</v>
      </c>
      <c r="G86" t="s">
        <v>234</v>
      </c>
      <c r="H86" s="5" t="s">
        <v>56</v>
      </c>
      <c r="I86" s="5" t="s">
        <v>28</v>
      </c>
      <c r="J86" s="5">
        <v>36</v>
      </c>
      <c r="K86" s="172" t="s">
        <v>10</v>
      </c>
      <c r="L86" s="5">
        <v>0</v>
      </c>
      <c r="M86" s="5" t="s">
        <v>33</v>
      </c>
      <c r="N86" s="5" t="s">
        <v>33</v>
      </c>
      <c r="O86" s="5">
        <v>0</v>
      </c>
      <c r="P86" s="5" t="s">
        <v>36</v>
      </c>
      <c r="Q86" s="5">
        <v>0</v>
      </c>
      <c r="R86" s="5">
        <v>3</v>
      </c>
    </row>
    <row r="87" spans="1:18">
      <c r="A87" s="4">
        <v>46043</v>
      </c>
      <c r="B87" s="5">
        <v>126827</v>
      </c>
      <c r="C87" s="4">
        <v>46072</v>
      </c>
      <c r="D87" s="171">
        <v>100007</v>
      </c>
      <c r="E87" t="s">
        <v>9</v>
      </c>
      <c r="F87" s="5" t="s">
        <v>34</v>
      </c>
      <c r="G87" t="s">
        <v>235</v>
      </c>
      <c r="H87" s="5" t="s">
        <v>57</v>
      </c>
      <c r="I87" s="5" t="s">
        <v>40</v>
      </c>
      <c r="J87" s="5">
        <v>778</v>
      </c>
      <c r="K87" s="172" t="s">
        <v>11</v>
      </c>
      <c r="L87" s="5">
        <v>1</v>
      </c>
      <c r="M87" s="5" t="s">
        <v>29</v>
      </c>
      <c r="N87" s="5" t="s">
        <v>33</v>
      </c>
      <c r="O87" s="5">
        <v>21</v>
      </c>
      <c r="P87" s="5" t="s">
        <v>14</v>
      </c>
      <c r="Q87" s="5">
        <v>13</v>
      </c>
      <c r="R87" s="5">
        <v>3</v>
      </c>
    </row>
    <row r="88" spans="1:18">
      <c r="A88" s="4">
        <v>46072</v>
      </c>
      <c r="B88" s="5">
        <v>128206</v>
      </c>
      <c r="C88" s="4">
        <v>46072</v>
      </c>
      <c r="D88" s="171">
        <v>100005</v>
      </c>
      <c r="E88" t="s">
        <v>18</v>
      </c>
      <c r="F88" s="5" t="s">
        <v>38</v>
      </c>
      <c r="G88" s="168" t="s">
        <v>236</v>
      </c>
      <c r="H88" s="5" t="s">
        <v>39</v>
      </c>
      <c r="I88" s="5" t="s">
        <v>45</v>
      </c>
      <c r="J88" s="5">
        <v>10</v>
      </c>
      <c r="K88" s="172" t="s">
        <v>10</v>
      </c>
      <c r="L88" s="5">
        <v>0</v>
      </c>
      <c r="M88" s="5" t="s">
        <v>33</v>
      </c>
      <c r="N88" s="5" t="s">
        <v>33</v>
      </c>
      <c r="O88" s="5">
        <v>0</v>
      </c>
      <c r="P88" s="5" t="s">
        <v>15</v>
      </c>
      <c r="Q88" s="5">
        <v>8</v>
      </c>
      <c r="R88" s="5">
        <v>3</v>
      </c>
    </row>
    <row r="89" spans="1:18">
      <c r="A89" s="4">
        <v>46072</v>
      </c>
      <c r="B89" s="5">
        <v>128123</v>
      </c>
      <c r="C89" s="4">
        <v>46072</v>
      </c>
      <c r="D89" s="171">
        <v>100002</v>
      </c>
      <c r="E89" t="s">
        <v>18</v>
      </c>
      <c r="F89" s="5" t="s">
        <v>38</v>
      </c>
      <c r="G89" s="168" t="s">
        <v>237</v>
      </c>
      <c r="H89" s="5" t="s">
        <v>67</v>
      </c>
      <c r="I89" s="5" t="s">
        <v>43</v>
      </c>
      <c r="J89" s="5">
        <v>91</v>
      </c>
      <c r="K89" s="172" t="s">
        <v>10</v>
      </c>
      <c r="L89" s="5">
        <v>0</v>
      </c>
      <c r="M89" s="5" t="s">
        <v>33</v>
      </c>
      <c r="N89" s="5" t="s">
        <v>33</v>
      </c>
      <c r="O89" s="5">
        <v>0</v>
      </c>
      <c r="P89" s="5" t="s">
        <v>14</v>
      </c>
      <c r="Q89" s="5">
        <v>10</v>
      </c>
      <c r="R89" s="5">
        <v>3</v>
      </c>
    </row>
    <row r="90" spans="1:18">
      <c r="A90" s="4">
        <v>46045</v>
      </c>
      <c r="B90" s="5">
        <v>126938</v>
      </c>
      <c r="C90" s="4">
        <v>46072</v>
      </c>
      <c r="D90" s="171">
        <v>99996</v>
      </c>
      <c r="E90" t="s">
        <v>16</v>
      </c>
      <c r="F90" s="5" t="s">
        <v>38</v>
      </c>
      <c r="G90" s="168" t="s">
        <v>238</v>
      </c>
      <c r="H90" s="5" t="s">
        <v>67</v>
      </c>
      <c r="I90" s="5" t="s">
        <v>45</v>
      </c>
      <c r="J90" s="5">
        <v>511</v>
      </c>
      <c r="K90" s="172" t="s">
        <v>10</v>
      </c>
      <c r="L90" s="5">
        <v>1</v>
      </c>
      <c r="M90" s="5" t="s">
        <v>33</v>
      </c>
      <c r="N90" s="5" t="s">
        <v>33</v>
      </c>
      <c r="O90" s="5">
        <v>19</v>
      </c>
      <c r="P90" s="5" t="s">
        <v>14</v>
      </c>
      <c r="Q90" s="5">
        <v>3</v>
      </c>
      <c r="R90" s="5">
        <v>3</v>
      </c>
    </row>
    <row r="91" spans="1:18">
      <c r="A91" s="4">
        <v>46072</v>
      </c>
      <c r="B91" s="5">
        <v>128197</v>
      </c>
      <c r="C91" s="4">
        <v>46072</v>
      </c>
      <c r="D91" s="171">
        <v>99992</v>
      </c>
      <c r="E91" t="s">
        <v>18</v>
      </c>
      <c r="F91" s="5" t="s">
        <v>38</v>
      </c>
      <c r="G91" s="168" t="s">
        <v>239</v>
      </c>
      <c r="H91" s="5" t="s">
        <v>66</v>
      </c>
      <c r="I91" s="5" t="s">
        <v>43</v>
      </c>
      <c r="J91" s="5">
        <v>10</v>
      </c>
      <c r="K91" s="172" t="s">
        <v>10</v>
      </c>
      <c r="L91" s="5">
        <v>0</v>
      </c>
      <c r="M91" s="5" t="s">
        <v>33</v>
      </c>
      <c r="N91" s="5" t="s">
        <v>33</v>
      </c>
      <c r="O91" s="5">
        <v>0</v>
      </c>
      <c r="P91" s="5" t="s">
        <v>36</v>
      </c>
      <c r="Q91" s="5">
        <v>0</v>
      </c>
      <c r="R91" s="5">
        <v>3</v>
      </c>
    </row>
    <row r="92" spans="1:18">
      <c r="A92" s="4">
        <v>46071</v>
      </c>
      <c r="B92" s="5">
        <v>128184</v>
      </c>
      <c r="C92" s="4">
        <v>46071</v>
      </c>
      <c r="D92" s="171">
        <v>99981</v>
      </c>
      <c r="E92" t="s">
        <v>18</v>
      </c>
      <c r="F92" s="5" t="s">
        <v>34</v>
      </c>
      <c r="G92" s="168" t="s">
        <v>240</v>
      </c>
      <c r="H92" s="5" t="s">
        <v>59</v>
      </c>
      <c r="I92" s="5" t="s">
        <v>37</v>
      </c>
      <c r="J92" s="5">
        <v>5</v>
      </c>
      <c r="K92" s="172" t="s">
        <v>10</v>
      </c>
      <c r="L92" s="5"/>
      <c r="M92" s="5"/>
      <c r="N92" s="5"/>
      <c r="O92" s="5">
        <v>0</v>
      </c>
      <c r="P92" s="5" t="s">
        <v>36</v>
      </c>
      <c r="Q92" s="5">
        <v>0</v>
      </c>
      <c r="R92" s="5">
        <v>3</v>
      </c>
    </row>
    <row r="93" spans="1:18">
      <c r="A93" s="4">
        <v>46055</v>
      </c>
      <c r="B93" s="5">
        <v>125734</v>
      </c>
      <c r="C93" s="4">
        <v>46071</v>
      </c>
      <c r="D93" s="171">
        <v>99980</v>
      </c>
      <c r="E93" t="s">
        <v>18</v>
      </c>
      <c r="F93" s="5" t="s">
        <v>34</v>
      </c>
      <c r="G93" s="168" t="s">
        <v>241</v>
      </c>
      <c r="H93" s="5" t="s">
        <v>61</v>
      </c>
      <c r="I93" s="5" t="s">
        <v>37</v>
      </c>
      <c r="J93" s="5">
        <v>4297</v>
      </c>
      <c r="K93" s="172" t="s">
        <v>12</v>
      </c>
      <c r="L93" s="5">
        <v>2</v>
      </c>
      <c r="M93" s="5" t="s">
        <v>29</v>
      </c>
      <c r="N93" s="5" t="s">
        <v>33</v>
      </c>
      <c r="O93" s="5">
        <v>12</v>
      </c>
      <c r="P93" s="5" t="s">
        <v>8</v>
      </c>
      <c r="Q93" s="5">
        <v>40</v>
      </c>
      <c r="R93" s="5">
        <v>2</v>
      </c>
    </row>
    <row r="94" spans="1:18">
      <c r="A94" s="4">
        <v>46069</v>
      </c>
      <c r="B94" s="5">
        <v>127931</v>
      </c>
      <c r="C94" s="4">
        <v>46071</v>
      </c>
      <c r="D94" s="171">
        <v>99977</v>
      </c>
      <c r="E94" t="s">
        <v>18</v>
      </c>
      <c r="F94" s="5" t="s">
        <v>34</v>
      </c>
      <c r="G94" s="168" t="s">
        <v>242</v>
      </c>
      <c r="H94" s="5" t="s">
        <v>64</v>
      </c>
      <c r="I94" s="5" t="s">
        <v>37</v>
      </c>
      <c r="J94" s="5">
        <v>677</v>
      </c>
      <c r="K94" s="172" t="s">
        <v>10</v>
      </c>
      <c r="L94" s="5">
        <v>1</v>
      </c>
      <c r="M94" s="5"/>
      <c r="N94" s="5"/>
      <c r="O94" s="5">
        <v>2</v>
      </c>
      <c r="P94" s="5" t="s">
        <v>14</v>
      </c>
      <c r="Q94" s="5">
        <v>10</v>
      </c>
      <c r="R94" s="5">
        <v>3</v>
      </c>
    </row>
    <row r="95" spans="1:18">
      <c r="A95" s="4">
        <v>46065</v>
      </c>
      <c r="B95" s="5">
        <v>127951</v>
      </c>
      <c r="C95" s="4">
        <v>46071</v>
      </c>
      <c r="D95" s="171">
        <v>99972</v>
      </c>
      <c r="E95" t="s">
        <v>16</v>
      </c>
      <c r="F95" s="5" t="s">
        <v>38</v>
      </c>
      <c r="G95" s="168" t="s">
        <v>243</v>
      </c>
      <c r="H95" s="5" t="s">
        <v>67</v>
      </c>
      <c r="I95" s="5" t="s">
        <v>45</v>
      </c>
      <c r="J95" s="5">
        <v>100</v>
      </c>
      <c r="K95" s="172" t="s">
        <v>10</v>
      </c>
      <c r="L95" s="5">
        <v>0</v>
      </c>
      <c r="M95" s="5" t="s">
        <v>33</v>
      </c>
      <c r="N95" s="5" t="s">
        <v>33</v>
      </c>
      <c r="O95" s="5">
        <v>4</v>
      </c>
      <c r="P95" s="5" t="s">
        <v>14</v>
      </c>
      <c r="Q95" s="5">
        <v>3</v>
      </c>
      <c r="R95" s="5">
        <v>3</v>
      </c>
    </row>
    <row r="96" spans="1:18">
      <c r="A96" s="4">
        <v>45390</v>
      </c>
      <c r="B96" s="5">
        <v>108437</v>
      </c>
      <c r="C96" s="4">
        <v>46071</v>
      </c>
      <c r="D96" s="171">
        <v>99963</v>
      </c>
      <c r="E96" t="s">
        <v>18</v>
      </c>
      <c r="F96" s="5" t="s">
        <v>38</v>
      </c>
      <c r="G96" s="168" t="s">
        <v>244</v>
      </c>
      <c r="H96" s="5" t="s">
        <v>27</v>
      </c>
      <c r="I96" s="5" t="s">
        <v>35</v>
      </c>
      <c r="J96" s="5">
        <f>159+16</f>
        <v>175</v>
      </c>
      <c r="K96" s="172" t="s">
        <v>10</v>
      </c>
      <c r="L96" s="5">
        <v>0</v>
      </c>
      <c r="M96" s="5" t="s">
        <v>33</v>
      </c>
      <c r="N96" s="5" t="s">
        <v>33</v>
      </c>
      <c r="O96" s="5">
        <v>487</v>
      </c>
      <c r="P96" s="5" t="s">
        <v>8</v>
      </c>
      <c r="Q96" s="5">
        <v>11.5</v>
      </c>
      <c r="R96" s="5">
        <v>3</v>
      </c>
    </row>
    <row r="97" spans="1:18">
      <c r="A97" s="4">
        <v>45406</v>
      </c>
      <c r="B97" s="5">
        <v>108973</v>
      </c>
      <c r="C97" s="4">
        <v>46071</v>
      </c>
      <c r="D97" s="171">
        <v>99962</v>
      </c>
      <c r="E97" t="s">
        <v>17</v>
      </c>
      <c r="F97" s="5" t="s">
        <v>34</v>
      </c>
      <c r="G97" s="168" t="s">
        <v>245</v>
      </c>
      <c r="H97" s="5" t="s">
        <v>27</v>
      </c>
      <c r="I97" s="5" t="s">
        <v>35</v>
      </c>
      <c r="J97" s="5">
        <f>940+507</f>
        <v>1447</v>
      </c>
      <c r="K97" s="172" t="s">
        <v>10</v>
      </c>
      <c r="L97" s="5">
        <v>2</v>
      </c>
      <c r="M97" s="5" t="s">
        <v>29</v>
      </c>
      <c r="N97" s="5" t="s">
        <v>33</v>
      </c>
      <c r="O97" s="5">
        <v>475</v>
      </c>
      <c r="P97" s="5" t="s">
        <v>8</v>
      </c>
      <c r="Q97" s="5">
        <v>26</v>
      </c>
      <c r="R97" s="5">
        <v>3</v>
      </c>
    </row>
    <row r="98" spans="1:18">
      <c r="A98" s="4">
        <v>46069</v>
      </c>
      <c r="B98" s="5">
        <v>128070</v>
      </c>
      <c r="C98" s="4">
        <v>46071</v>
      </c>
      <c r="D98" s="171">
        <v>99958</v>
      </c>
      <c r="E98" t="s">
        <v>18</v>
      </c>
      <c r="F98" s="5" t="s">
        <v>38</v>
      </c>
      <c r="G98" s="168" t="s">
        <v>246</v>
      </c>
      <c r="H98" s="5" t="s">
        <v>67</v>
      </c>
      <c r="I98" s="5" t="s">
        <v>45</v>
      </c>
      <c r="J98" s="5">
        <v>130</v>
      </c>
      <c r="K98" s="172" t="s">
        <v>10</v>
      </c>
      <c r="L98" s="5">
        <v>0</v>
      </c>
      <c r="M98" s="5" t="s">
        <v>33</v>
      </c>
      <c r="N98" s="5" t="s">
        <v>33</v>
      </c>
      <c r="O98" s="5">
        <v>2</v>
      </c>
      <c r="P98" s="5" t="s">
        <v>14</v>
      </c>
      <c r="Q98" s="5">
        <v>10</v>
      </c>
      <c r="R98" s="5">
        <v>3</v>
      </c>
    </row>
    <row r="99" spans="1:18">
      <c r="A99" s="4">
        <v>46067</v>
      </c>
      <c r="B99" s="5">
        <v>128045</v>
      </c>
      <c r="C99" s="4">
        <v>46069</v>
      </c>
      <c r="D99" s="171">
        <v>99944</v>
      </c>
      <c r="E99" t="s">
        <v>17</v>
      </c>
      <c r="F99" s="5" t="s">
        <v>34</v>
      </c>
      <c r="G99" s="168" t="s">
        <v>247</v>
      </c>
      <c r="H99" s="5" t="s">
        <v>57</v>
      </c>
      <c r="I99" s="5" t="s">
        <v>37</v>
      </c>
      <c r="J99" s="5">
        <v>576</v>
      </c>
      <c r="K99" s="172" t="s">
        <v>11</v>
      </c>
      <c r="L99" s="5"/>
      <c r="M99" s="5" t="s">
        <v>33</v>
      </c>
      <c r="N99" s="5" t="s">
        <v>29</v>
      </c>
      <c r="O99" s="5">
        <v>0</v>
      </c>
      <c r="P99" s="5" t="s">
        <v>14</v>
      </c>
      <c r="Q99" s="5">
        <v>26</v>
      </c>
      <c r="R99" s="5">
        <v>3</v>
      </c>
    </row>
    <row r="100" spans="1:18">
      <c r="A100" s="4">
        <v>45711</v>
      </c>
      <c r="B100" s="5">
        <v>125133</v>
      </c>
      <c r="C100" s="4">
        <v>46069</v>
      </c>
      <c r="D100" s="171">
        <v>99942</v>
      </c>
      <c r="E100" t="s">
        <v>17</v>
      </c>
      <c r="F100" s="5" t="s">
        <v>34</v>
      </c>
      <c r="G100" s="168" t="s">
        <v>248</v>
      </c>
      <c r="H100" s="5" t="s">
        <v>57</v>
      </c>
      <c r="I100" s="5" t="s">
        <v>37</v>
      </c>
      <c r="J100" s="5">
        <v>4647</v>
      </c>
      <c r="K100" s="172" t="s">
        <v>12</v>
      </c>
      <c r="L100" s="5">
        <v>2</v>
      </c>
      <c r="M100" s="5" t="s">
        <v>33</v>
      </c>
      <c r="N100" s="5" t="s">
        <v>33</v>
      </c>
      <c r="O100" s="5">
        <v>255</v>
      </c>
      <c r="P100" s="5" t="s">
        <v>14</v>
      </c>
      <c r="Q100" s="5">
        <v>80</v>
      </c>
      <c r="R100" s="5">
        <v>3</v>
      </c>
    </row>
    <row r="101" spans="1:18">
      <c r="A101" s="4">
        <v>46064</v>
      </c>
      <c r="B101" s="5">
        <v>127691</v>
      </c>
      <c r="C101" s="4">
        <v>46069</v>
      </c>
      <c r="D101" s="171">
        <v>99931</v>
      </c>
      <c r="E101" t="s">
        <v>18</v>
      </c>
      <c r="F101" s="5" t="s">
        <v>34</v>
      </c>
      <c r="G101" s="168" t="s">
        <v>249</v>
      </c>
      <c r="H101" s="5" t="s">
        <v>64</v>
      </c>
      <c r="I101" s="5" t="s">
        <v>37</v>
      </c>
      <c r="J101" s="5">
        <v>662</v>
      </c>
      <c r="K101" s="172" t="s">
        <v>10</v>
      </c>
      <c r="L101" s="5"/>
      <c r="M101" s="5" t="s">
        <v>29</v>
      </c>
      <c r="N101" s="5" t="s">
        <v>33</v>
      </c>
      <c r="O101" s="5">
        <v>3</v>
      </c>
      <c r="P101" s="5" t="s">
        <v>14</v>
      </c>
      <c r="Q101" s="5">
        <v>10</v>
      </c>
      <c r="R101" s="5">
        <v>3</v>
      </c>
    </row>
    <row r="102" spans="1:18">
      <c r="A102" s="4">
        <v>46057</v>
      </c>
      <c r="B102" s="5">
        <v>123911</v>
      </c>
      <c r="C102" s="4">
        <v>46069</v>
      </c>
      <c r="D102" s="171">
        <v>99930</v>
      </c>
      <c r="E102" t="s">
        <v>18</v>
      </c>
      <c r="F102" s="5" t="s">
        <v>34</v>
      </c>
      <c r="G102" s="168" t="s">
        <v>250</v>
      </c>
      <c r="H102" s="5" t="s">
        <v>64</v>
      </c>
      <c r="I102" s="5" t="s">
        <v>37</v>
      </c>
      <c r="J102" s="5">
        <v>1910</v>
      </c>
      <c r="K102" s="172" t="s">
        <v>11</v>
      </c>
      <c r="L102" s="5">
        <v>1</v>
      </c>
      <c r="M102" s="5" t="s">
        <v>29</v>
      </c>
      <c r="N102" s="5" t="s">
        <v>33</v>
      </c>
      <c r="O102" s="5">
        <v>8</v>
      </c>
      <c r="P102" s="5" t="s">
        <v>14</v>
      </c>
      <c r="Q102" s="5">
        <v>20</v>
      </c>
      <c r="R102" s="5">
        <v>3</v>
      </c>
    </row>
    <row r="103" spans="1:18">
      <c r="A103" s="4">
        <v>46042</v>
      </c>
      <c r="B103" s="5">
        <v>126751</v>
      </c>
      <c r="C103" s="4">
        <v>46067</v>
      </c>
      <c r="D103" s="171">
        <v>99928</v>
      </c>
      <c r="E103" t="s">
        <v>18</v>
      </c>
      <c r="F103" s="5" t="s">
        <v>38</v>
      </c>
      <c r="G103" t="s">
        <v>251</v>
      </c>
      <c r="H103" s="5" t="s">
        <v>46</v>
      </c>
      <c r="I103" s="5" t="s">
        <v>32</v>
      </c>
      <c r="J103" s="5">
        <v>677</v>
      </c>
      <c r="K103" s="172" t="s">
        <v>10</v>
      </c>
      <c r="L103" s="5">
        <v>1</v>
      </c>
      <c r="M103" s="5" t="s">
        <v>33</v>
      </c>
      <c r="N103" s="5" t="s">
        <v>29</v>
      </c>
      <c r="O103" s="5">
        <v>18</v>
      </c>
      <c r="P103" s="5" t="s">
        <v>8</v>
      </c>
      <c r="Q103" s="5">
        <v>11.5</v>
      </c>
      <c r="R103" s="5">
        <v>3</v>
      </c>
    </row>
    <row r="104" spans="1:18">
      <c r="A104" s="4">
        <v>46058</v>
      </c>
      <c r="B104" s="5">
        <v>127629</v>
      </c>
      <c r="C104" s="4">
        <v>46067</v>
      </c>
      <c r="D104" s="171">
        <v>99927</v>
      </c>
      <c r="E104" t="s">
        <v>18</v>
      </c>
      <c r="F104" s="5" t="s">
        <v>34</v>
      </c>
      <c r="G104" t="s">
        <v>252</v>
      </c>
      <c r="H104" s="5" t="s">
        <v>52</v>
      </c>
      <c r="I104" s="5" t="s">
        <v>32</v>
      </c>
      <c r="J104" s="5">
        <v>808</v>
      </c>
      <c r="K104" s="172" t="s">
        <v>10</v>
      </c>
      <c r="L104" s="5">
        <v>0</v>
      </c>
      <c r="M104" s="5" t="s">
        <v>33</v>
      </c>
      <c r="N104" s="5" t="s">
        <v>33</v>
      </c>
      <c r="O104" s="5">
        <v>6</v>
      </c>
      <c r="P104" s="5" t="s">
        <v>8</v>
      </c>
      <c r="Q104" s="5">
        <v>11.5</v>
      </c>
      <c r="R104" s="5">
        <v>2</v>
      </c>
    </row>
    <row r="105" spans="1:18">
      <c r="A105" s="4">
        <v>46030</v>
      </c>
      <c r="B105" s="5">
        <v>126246</v>
      </c>
      <c r="C105" s="4">
        <v>46066</v>
      </c>
      <c r="D105" s="171">
        <v>99926</v>
      </c>
      <c r="E105" t="s">
        <v>18</v>
      </c>
      <c r="F105" s="5" t="s">
        <v>34</v>
      </c>
      <c r="G105" t="s">
        <v>253</v>
      </c>
      <c r="H105" s="5" t="s">
        <v>47</v>
      </c>
      <c r="I105" s="5" t="s">
        <v>32</v>
      </c>
      <c r="J105" s="5">
        <v>2561</v>
      </c>
      <c r="K105" s="172" t="s">
        <v>13</v>
      </c>
      <c r="L105" s="5">
        <v>1</v>
      </c>
      <c r="M105" s="5" t="s">
        <v>29</v>
      </c>
      <c r="N105" s="5" t="s">
        <v>29</v>
      </c>
      <c r="O105" s="5">
        <v>26</v>
      </c>
      <c r="P105" s="5" t="s">
        <v>14</v>
      </c>
      <c r="Q105" s="5">
        <v>80</v>
      </c>
      <c r="R105" s="5">
        <v>2</v>
      </c>
    </row>
    <row r="106" spans="1:18">
      <c r="A106" s="4">
        <v>46059</v>
      </c>
      <c r="B106" s="5">
        <v>127717</v>
      </c>
      <c r="C106" s="4">
        <v>46066</v>
      </c>
      <c r="D106" s="171">
        <v>99921</v>
      </c>
      <c r="E106" t="s">
        <v>18</v>
      </c>
      <c r="F106" s="5" t="s">
        <v>38</v>
      </c>
      <c r="G106" t="s">
        <v>254</v>
      </c>
      <c r="H106" s="5" t="s">
        <v>67</v>
      </c>
      <c r="I106" s="5" t="s">
        <v>45</v>
      </c>
      <c r="J106" s="5">
        <v>144</v>
      </c>
      <c r="K106" s="172" t="s">
        <v>10</v>
      </c>
      <c r="L106" s="5">
        <v>1</v>
      </c>
      <c r="M106" s="5" t="s">
        <v>33</v>
      </c>
      <c r="N106" s="5" t="s">
        <v>33</v>
      </c>
      <c r="O106" s="5">
        <v>5</v>
      </c>
      <c r="P106" s="5" t="s">
        <v>14</v>
      </c>
      <c r="Q106" s="5">
        <v>10</v>
      </c>
      <c r="R106" s="5">
        <v>3</v>
      </c>
    </row>
    <row r="107" spans="1:18">
      <c r="A107" s="4">
        <v>46066</v>
      </c>
      <c r="B107" s="5">
        <v>128034</v>
      </c>
      <c r="C107" s="4">
        <v>46066</v>
      </c>
      <c r="D107" s="171">
        <v>99916</v>
      </c>
      <c r="E107" t="s">
        <v>18</v>
      </c>
      <c r="F107" s="5" t="s">
        <v>34</v>
      </c>
      <c r="G107" t="s">
        <v>255</v>
      </c>
      <c r="H107" s="5" t="s">
        <v>35</v>
      </c>
      <c r="I107" s="5" t="s">
        <v>35</v>
      </c>
      <c r="J107" s="5">
        <v>30</v>
      </c>
      <c r="K107" s="172" t="s">
        <v>10</v>
      </c>
      <c r="L107" s="5">
        <v>0</v>
      </c>
      <c r="M107" s="5" t="s">
        <v>33</v>
      </c>
      <c r="N107" s="5" t="s">
        <v>33</v>
      </c>
      <c r="O107" s="5">
        <v>0</v>
      </c>
      <c r="P107" s="5" t="s">
        <v>36</v>
      </c>
      <c r="Q107" s="5">
        <v>0</v>
      </c>
      <c r="R107" s="5">
        <v>1</v>
      </c>
    </row>
    <row r="108" spans="1:18">
      <c r="A108" s="4">
        <v>46063</v>
      </c>
      <c r="B108" s="5">
        <v>127541</v>
      </c>
      <c r="C108" s="4">
        <v>46066</v>
      </c>
      <c r="D108" s="171">
        <v>99915</v>
      </c>
      <c r="E108" t="s">
        <v>9</v>
      </c>
      <c r="F108" s="5" t="s">
        <v>34</v>
      </c>
      <c r="G108" t="s">
        <v>256</v>
      </c>
      <c r="H108" s="5" t="s">
        <v>65</v>
      </c>
      <c r="I108" s="5" t="s">
        <v>40</v>
      </c>
      <c r="J108" s="5">
        <f>384+223</f>
        <v>607</v>
      </c>
      <c r="K108" s="172" t="s">
        <v>10</v>
      </c>
      <c r="L108" s="5">
        <v>1</v>
      </c>
      <c r="M108" s="5" t="s">
        <v>33</v>
      </c>
      <c r="N108" s="5" t="s">
        <v>33</v>
      </c>
      <c r="O108" s="5">
        <v>3</v>
      </c>
      <c r="P108" s="5" t="s">
        <v>8</v>
      </c>
      <c r="Q108" s="5">
        <v>10</v>
      </c>
      <c r="R108" s="5">
        <v>2</v>
      </c>
    </row>
    <row r="109" spans="1:18">
      <c r="A109" s="4">
        <v>46066</v>
      </c>
      <c r="B109" s="5">
        <v>128032</v>
      </c>
      <c r="C109" s="4">
        <v>46066</v>
      </c>
      <c r="D109" s="171">
        <v>99912</v>
      </c>
      <c r="E109" t="s">
        <v>18</v>
      </c>
      <c r="F109" s="5" t="s">
        <v>34</v>
      </c>
      <c r="G109" t="s">
        <v>211</v>
      </c>
      <c r="H109" s="5" t="s">
        <v>35</v>
      </c>
      <c r="I109" s="5" t="s">
        <v>35</v>
      </c>
      <c r="J109" s="5">
        <v>30</v>
      </c>
      <c r="K109" s="172" t="s">
        <v>10</v>
      </c>
      <c r="L109" s="5">
        <v>0</v>
      </c>
      <c r="M109" s="5" t="s">
        <v>33</v>
      </c>
      <c r="N109" s="5" t="s">
        <v>33</v>
      </c>
      <c r="O109" s="5">
        <v>0</v>
      </c>
      <c r="P109" s="5" t="s">
        <v>36</v>
      </c>
      <c r="Q109" s="5">
        <v>0</v>
      </c>
      <c r="R109" s="5">
        <v>1</v>
      </c>
    </row>
    <row r="110" spans="1:18">
      <c r="A110" s="4">
        <v>46048</v>
      </c>
      <c r="B110" s="5">
        <v>127005</v>
      </c>
      <c r="C110" s="4">
        <v>46065</v>
      </c>
      <c r="D110" s="171">
        <v>99892</v>
      </c>
      <c r="E110" t="s">
        <v>18</v>
      </c>
      <c r="F110" s="5" t="s">
        <v>34</v>
      </c>
      <c r="G110" t="s">
        <v>257</v>
      </c>
      <c r="H110" s="5" t="s">
        <v>54</v>
      </c>
      <c r="I110" s="5" t="s">
        <v>32</v>
      </c>
      <c r="J110" s="5">
        <v>70</v>
      </c>
      <c r="K110" s="172" t="s">
        <v>10</v>
      </c>
      <c r="L110" s="5">
        <v>0</v>
      </c>
      <c r="M110" s="5" t="s">
        <v>33</v>
      </c>
      <c r="N110" s="5" t="s">
        <v>33</v>
      </c>
      <c r="O110" s="5">
        <v>13</v>
      </c>
      <c r="P110" s="5" t="s">
        <v>36</v>
      </c>
      <c r="Q110" s="5">
        <v>0</v>
      </c>
      <c r="R110" s="5">
        <v>3</v>
      </c>
    </row>
    <row r="111" spans="1:18">
      <c r="A111" s="4">
        <v>46064</v>
      </c>
      <c r="B111" s="5">
        <v>127900</v>
      </c>
      <c r="C111" s="4">
        <v>46065</v>
      </c>
      <c r="D111" s="171">
        <v>99881</v>
      </c>
      <c r="E111" t="s">
        <v>18</v>
      </c>
      <c r="F111" s="5" t="s">
        <v>34</v>
      </c>
      <c r="G111" t="s">
        <v>258</v>
      </c>
      <c r="H111" s="5" t="s">
        <v>27</v>
      </c>
      <c r="I111" s="5" t="s">
        <v>35</v>
      </c>
      <c r="J111" s="5">
        <v>60</v>
      </c>
      <c r="K111" s="172" t="s">
        <v>10</v>
      </c>
      <c r="L111" s="5">
        <v>1</v>
      </c>
      <c r="M111" s="5" t="s">
        <v>33</v>
      </c>
      <c r="N111" s="5" t="s">
        <v>33</v>
      </c>
      <c r="O111" s="5">
        <v>1</v>
      </c>
      <c r="P111" s="5" t="s">
        <v>8</v>
      </c>
      <c r="Q111" s="5">
        <v>11.5</v>
      </c>
      <c r="R111" s="5">
        <v>3</v>
      </c>
    </row>
    <row r="112" spans="1:18">
      <c r="A112" s="4">
        <v>46064</v>
      </c>
      <c r="B112" s="5">
        <v>127671</v>
      </c>
      <c r="C112" s="4">
        <v>46065</v>
      </c>
      <c r="D112" s="171">
        <v>99883</v>
      </c>
      <c r="E112" t="s">
        <v>9</v>
      </c>
      <c r="F112" s="5" t="s">
        <v>34</v>
      </c>
      <c r="G112" t="s">
        <v>259</v>
      </c>
      <c r="H112" s="5" t="s">
        <v>69</v>
      </c>
      <c r="I112" s="5" t="s">
        <v>40</v>
      </c>
      <c r="J112" s="5">
        <f>149+502</f>
        <v>651</v>
      </c>
      <c r="K112" s="172" t="s">
        <v>10</v>
      </c>
      <c r="L112" s="5">
        <v>0</v>
      </c>
      <c r="M112" s="5" t="s">
        <v>33</v>
      </c>
      <c r="N112" s="5" t="s">
        <v>33</v>
      </c>
      <c r="O112" s="5">
        <v>1</v>
      </c>
      <c r="P112" s="5" t="s">
        <v>8</v>
      </c>
      <c r="Q112" s="5">
        <v>10</v>
      </c>
      <c r="R112" s="5">
        <v>3</v>
      </c>
    </row>
    <row r="113" spans="1:18">
      <c r="A113" s="4">
        <v>46056</v>
      </c>
      <c r="B113" s="5">
        <v>127508</v>
      </c>
      <c r="C113" s="4">
        <v>46065</v>
      </c>
      <c r="D113" s="171">
        <v>99878</v>
      </c>
      <c r="E113" t="s">
        <v>16</v>
      </c>
      <c r="F113" s="5" t="s">
        <v>38</v>
      </c>
      <c r="G113" t="s">
        <v>260</v>
      </c>
      <c r="H113" s="5" t="s">
        <v>67</v>
      </c>
      <c r="I113" s="5" t="s">
        <v>45</v>
      </c>
      <c r="J113" s="5">
        <v>338</v>
      </c>
      <c r="K113" s="172" t="s">
        <v>10</v>
      </c>
      <c r="L113" s="5">
        <v>0</v>
      </c>
      <c r="M113" s="5" t="s">
        <v>33</v>
      </c>
      <c r="N113" s="5" t="s">
        <v>33</v>
      </c>
      <c r="O113" s="5">
        <v>7</v>
      </c>
      <c r="P113" s="5" t="s">
        <v>14</v>
      </c>
      <c r="Q113" s="5">
        <v>3</v>
      </c>
      <c r="R113" s="5">
        <v>3</v>
      </c>
    </row>
    <row r="114" spans="1:18">
      <c r="A114" s="4">
        <v>46055</v>
      </c>
      <c r="B114" s="5">
        <v>100122</v>
      </c>
      <c r="C114" s="4">
        <v>46065</v>
      </c>
      <c r="D114" s="171">
        <v>99876</v>
      </c>
      <c r="E114" t="s">
        <v>18</v>
      </c>
      <c r="F114" s="5" t="s">
        <v>38</v>
      </c>
      <c r="G114" t="s">
        <v>261</v>
      </c>
      <c r="H114" s="5" t="s">
        <v>50</v>
      </c>
      <c r="I114" s="5" t="s">
        <v>40</v>
      </c>
      <c r="J114" s="5">
        <v>475</v>
      </c>
      <c r="K114" s="172" t="s">
        <v>10</v>
      </c>
      <c r="L114" s="5">
        <v>1</v>
      </c>
      <c r="M114" s="5" t="s">
        <v>33</v>
      </c>
      <c r="N114" s="5" t="s">
        <v>33</v>
      </c>
      <c r="O114" s="5">
        <v>8</v>
      </c>
      <c r="P114" s="5" t="s">
        <v>14</v>
      </c>
      <c r="Q114" s="5">
        <v>10</v>
      </c>
      <c r="R114" s="5">
        <v>2</v>
      </c>
    </row>
    <row r="115" spans="1:18">
      <c r="A115" s="4">
        <v>46055</v>
      </c>
      <c r="B115" s="5">
        <v>123612</v>
      </c>
      <c r="C115" s="4">
        <v>46065</v>
      </c>
      <c r="D115" s="171">
        <v>99875</v>
      </c>
      <c r="E115" t="s">
        <v>9</v>
      </c>
      <c r="F115" s="5" t="s">
        <v>34</v>
      </c>
      <c r="G115" t="s">
        <v>262</v>
      </c>
      <c r="H115" s="5" t="s">
        <v>50</v>
      </c>
      <c r="I115" s="5" t="s">
        <v>40</v>
      </c>
      <c r="J115" s="5">
        <f>1673+500</f>
        <v>2173</v>
      </c>
      <c r="K115" s="172" t="s">
        <v>11</v>
      </c>
      <c r="L115" s="5">
        <v>2</v>
      </c>
      <c r="M115" s="5" t="s">
        <v>33</v>
      </c>
      <c r="N115" s="5" t="s">
        <v>29</v>
      </c>
      <c r="O115" s="5">
        <v>8</v>
      </c>
      <c r="P115" s="5" t="s">
        <v>14</v>
      </c>
      <c r="Q115" s="5">
        <v>13</v>
      </c>
      <c r="R115" s="5">
        <v>2</v>
      </c>
    </row>
    <row r="116" spans="1:18">
      <c r="A116" s="4">
        <v>45972</v>
      </c>
      <c r="B116" s="5">
        <v>124203</v>
      </c>
      <c r="C116" s="4">
        <v>46065</v>
      </c>
      <c r="D116" s="171">
        <v>99872</v>
      </c>
      <c r="E116" t="s">
        <v>18</v>
      </c>
      <c r="F116" s="5" t="s">
        <v>34</v>
      </c>
      <c r="G116" t="s">
        <v>263</v>
      </c>
      <c r="H116" s="5" t="s">
        <v>52</v>
      </c>
      <c r="I116" s="5" t="s">
        <v>32</v>
      </c>
      <c r="J116" s="5">
        <v>797</v>
      </c>
      <c r="K116" s="172" t="s">
        <v>10</v>
      </c>
      <c r="L116" s="5">
        <v>1</v>
      </c>
      <c r="M116" s="5" t="s">
        <v>33</v>
      </c>
      <c r="N116" s="5" t="s">
        <v>33</v>
      </c>
      <c r="O116" s="5">
        <v>67</v>
      </c>
      <c r="P116" s="5" t="s">
        <v>8</v>
      </c>
      <c r="Q116" s="5">
        <v>11.5</v>
      </c>
      <c r="R116" s="5">
        <v>2</v>
      </c>
    </row>
    <row r="117" spans="1:18">
      <c r="A117" s="4">
        <v>46058</v>
      </c>
      <c r="B117" s="5">
        <v>127359</v>
      </c>
      <c r="C117" s="4">
        <v>46065</v>
      </c>
      <c r="D117" s="171">
        <v>99870</v>
      </c>
      <c r="E117" t="s">
        <v>9</v>
      </c>
      <c r="F117" s="5" t="s">
        <v>34</v>
      </c>
      <c r="G117" t="s">
        <v>264</v>
      </c>
      <c r="H117" s="5" t="s">
        <v>47</v>
      </c>
      <c r="I117" s="5" t="s">
        <v>40</v>
      </c>
      <c r="J117" s="5">
        <f>318+141</f>
        <v>459</v>
      </c>
      <c r="K117" s="172" t="s">
        <v>10</v>
      </c>
      <c r="L117" s="5">
        <v>1</v>
      </c>
      <c r="M117" s="5" t="s">
        <v>29</v>
      </c>
      <c r="N117" s="5" t="s">
        <v>33</v>
      </c>
      <c r="O117" s="5">
        <v>5</v>
      </c>
      <c r="P117" s="5" t="s">
        <v>14</v>
      </c>
      <c r="Q117" s="5">
        <v>8</v>
      </c>
      <c r="R117" s="5">
        <v>2</v>
      </c>
    </row>
    <row r="118" spans="1:18">
      <c r="A118" s="4">
        <v>46055</v>
      </c>
      <c r="B118" s="5">
        <v>127427</v>
      </c>
      <c r="C118" s="4">
        <v>46065</v>
      </c>
      <c r="D118" s="171">
        <v>99866</v>
      </c>
      <c r="E118" t="s">
        <v>18</v>
      </c>
      <c r="F118" s="5" t="s">
        <v>34</v>
      </c>
      <c r="G118" t="s">
        <v>265</v>
      </c>
      <c r="H118" s="5" t="s">
        <v>52</v>
      </c>
      <c r="I118" s="5" t="s">
        <v>32</v>
      </c>
      <c r="J118" s="5">
        <v>357</v>
      </c>
      <c r="K118" s="172" t="s">
        <v>10</v>
      </c>
      <c r="L118" s="5">
        <v>1</v>
      </c>
      <c r="M118" s="5" t="s">
        <v>33</v>
      </c>
      <c r="N118" s="5" t="s">
        <v>33</v>
      </c>
      <c r="O118" s="5">
        <v>8</v>
      </c>
      <c r="P118" s="5" t="s">
        <v>8</v>
      </c>
      <c r="Q118" s="5">
        <v>11.5</v>
      </c>
      <c r="R118" s="5">
        <v>2</v>
      </c>
    </row>
    <row r="119" spans="1:18">
      <c r="A119" s="4">
        <v>46064</v>
      </c>
      <c r="B119" s="5">
        <v>127928</v>
      </c>
      <c r="C119" s="4">
        <v>46064</v>
      </c>
      <c r="D119" s="171">
        <v>99860</v>
      </c>
      <c r="E119" t="s">
        <v>18</v>
      </c>
      <c r="F119" s="5" t="s">
        <v>38</v>
      </c>
      <c r="G119" t="s">
        <v>266</v>
      </c>
      <c r="H119" s="5" t="s">
        <v>66</v>
      </c>
      <c r="I119" s="5" t="s">
        <v>43</v>
      </c>
      <c r="J119" s="5">
        <v>30</v>
      </c>
      <c r="K119" s="172" t="s">
        <v>10</v>
      </c>
      <c r="L119" s="5">
        <v>0</v>
      </c>
      <c r="M119" s="5" t="s">
        <v>33</v>
      </c>
      <c r="N119" s="5" t="s">
        <v>33</v>
      </c>
      <c r="O119" s="5">
        <v>0</v>
      </c>
      <c r="P119" s="5" t="s">
        <v>36</v>
      </c>
      <c r="Q119" s="5">
        <v>0</v>
      </c>
      <c r="R119" s="5">
        <v>3</v>
      </c>
    </row>
    <row r="120" spans="1:18">
      <c r="A120" s="4">
        <v>46041</v>
      </c>
      <c r="B120" s="5">
        <v>126630</v>
      </c>
      <c r="C120" s="4">
        <v>46064</v>
      </c>
      <c r="D120" s="171">
        <v>99852</v>
      </c>
      <c r="E120" t="s">
        <v>9</v>
      </c>
      <c r="F120" s="5" t="s">
        <v>34</v>
      </c>
      <c r="G120" t="s">
        <v>267</v>
      </c>
      <c r="H120" s="5" t="s">
        <v>58</v>
      </c>
      <c r="I120" s="5" t="s">
        <v>35</v>
      </c>
      <c r="J120" s="5">
        <f>215+351</f>
        <v>566</v>
      </c>
      <c r="K120" s="172" t="s">
        <v>10</v>
      </c>
      <c r="L120" s="5">
        <v>2</v>
      </c>
      <c r="M120" s="5" t="s">
        <v>33</v>
      </c>
      <c r="N120" s="5" t="s">
        <v>33</v>
      </c>
      <c r="O120" s="5">
        <v>17</v>
      </c>
      <c r="P120" s="5" t="s">
        <v>8</v>
      </c>
      <c r="Q120" s="5">
        <v>10</v>
      </c>
      <c r="R120" s="5">
        <v>2</v>
      </c>
    </row>
    <row r="121" spans="1:18">
      <c r="A121" s="4">
        <v>46006</v>
      </c>
      <c r="B121">
        <v>123617</v>
      </c>
      <c r="C121" s="4">
        <v>46064</v>
      </c>
      <c r="D121" s="171">
        <v>99848</v>
      </c>
      <c r="E121" t="s">
        <v>9</v>
      </c>
      <c r="F121" s="5" t="s">
        <v>34</v>
      </c>
      <c r="G121" t="s">
        <v>268</v>
      </c>
      <c r="H121" s="5" t="s">
        <v>68</v>
      </c>
      <c r="I121" s="5" t="s">
        <v>40</v>
      </c>
      <c r="J121" s="5">
        <f>3011+4001</f>
        <v>7012</v>
      </c>
      <c r="K121" s="172" t="s">
        <v>10</v>
      </c>
      <c r="L121" s="5">
        <v>4</v>
      </c>
      <c r="M121" s="5" t="s">
        <v>33</v>
      </c>
      <c r="N121" s="5" t="s">
        <v>33</v>
      </c>
      <c r="O121" s="5">
        <v>42</v>
      </c>
      <c r="P121" s="5" t="s">
        <v>8</v>
      </c>
      <c r="Q121" s="5">
        <v>10</v>
      </c>
      <c r="R121" s="5">
        <v>2</v>
      </c>
    </row>
    <row r="122" spans="1:18">
      <c r="A122" s="4">
        <v>46064</v>
      </c>
      <c r="B122" s="5">
        <v>127852</v>
      </c>
      <c r="C122" s="4">
        <v>46064</v>
      </c>
      <c r="D122" s="171">
        <v>99846</v>
      </c>
      <c r="E122" t="s">
        <v>16</v>
      </c>
      <c r="F122" s="5" t="s">
        <v>34</v>
      </c>
      <c r="G122" t="s">
        <v>269</v>
      </c>
      <c r="H122" s="5" t="s">
        <v>56</v>
      </c>
      <c r="I122" s="5" t="s">
        <v>28</v>
      </c>
      <c r="J122" s="5">
        <v>56</v>
      </c>
      <c r="K122" s="172" t="s">
        <v>10</v>
      </c>
      <c r="L122" s="5">
        <v>0</v>
      </c>
      <c r="M122" s="5" t="s">
        <v>33</v>
      </c>
      <c r="N122" s="5" t="s">
        <v>33</v>
      </c>
      <c r="O122" s="5">
        <v>0</v>
      </c>
      <c r="P122" s="5" t="s">
        <v>36</v>
      </c>
      <c r="Q122" s="5">
        <v>0</v>
      </c>
      <c r="R122" s="5">
        <v>3</v>
      </c>
    </row>
    <row r="123" spans="1:18">
      <c r="A123" s="4">
        <v>46014</v>
      </c>
      <c r="B123" s="5">
        <v>125791</v>
      </c>
      <c r="C123" s="4">
        <v>46064</v>
      </c>
      <c r="D123" s="171">
        <v>99844</v>
      </c>
      <c r="E123" t="s">
        <v>9</v>
      </c>
      <c r="F123" s="5" t="s">
        <v>34</v>
      </c>
      <c r="G123" t="s">
        <v>270</v>
      </c>
      <c r="H123" s="5" t="s">
        <v>46</v>
      </c>
      <c r="I123" s="5" t="s">
        <v>32</v>
      </c>
      <c r="J123" s="5">
        <v>1147</v>
      </c>
      <c r="K123" s="172" t="s">
        <v>10</v>
      </c>
      <c r="L123" s="5">
        <v>1</v>
      </c>
      <c r="M123" s="5" t="s">
        <v>33</v>
      </c>
      <c r="N123" s="5" t="s">
        <v>29</v>
      </c>
      <c r="O123" s="5">
        <v>36</v>
      </c>
      <c r="P123" s="5" t="s">
        <v>8</v>
      </c>
      <c r="Q123" s="5">
        <v>10</v>
      </c>
      <c r="R123" s="5">
        <v>3</v>
      </c>
    </row>
    <row r="124" spans="1:18">
      <c r="A124" s="4">
        <v>46057</v>
      </c>
      <c r="B124" s="5">
        <v>127551</v>
      </c>
      <c r="C124" s="4">
        <v>46064</v>
      </c>
      <c r="D124" s="171">
        <v>99843</v>
      </c>
      <c r="E124" t="s">
        <v>17</v>
      </c>
      <c r="F124" s="5" t="s">
        <v>34</v>
      </c>
      <c r="G124" t="s">
        <v>271</v>
      </c>
      <c r="H124" s="5" t="s">
        <v>27</v>
      </c>
      <c r="I124" s="5" t="s">
        <v>35</v>
      </c>
      <c r="J124" s="5">
        <f>31+245</f>
        <v>276</v>
      </c>
      <c r="K124" s="172" t="s">
        <v>10</v>
      </c>
      <c r="L124" s="5">
        <v>1</v>
      </c>
      <c r="M124" s="5" t="s">
        <v>33</v>
      </c>
      <c r="N124" s="5" t="s">
        <v>33</v>
      </c>
      <c r="O124" s="5">
        <v>5</v>
      </c>
      <c r="P124" s="5" t="s">
        <v>8</v>
      </c>
      <c r="Q124" s="5">
        <v>26</v>
      </c>
      <c r="R124" s="5">
        <v>3</v>
      </c>
    </row>
    <row r="125" spans="1:18">
      <c r="A125" s="4">
        <v>46064</v>
      </c>
      <c r="B125" s="5">
        <v>127851</v>
      </c>
      <c r="C125" s="4">
        <v>46064</v>
      </c>
      <c r="D125" s="171">
        <v>99840</v>
      </c>
      <c r="E125" t="s">
        <v>16</v>
      </c>
      <c r="F125" s="5" t="s">
        <v>34</v>
      </c>
      <c r="G125" t="s">
        <v>272</v>
      </c>
      <c r="H125" s="5" t="s">
        <v>56</v>
      </c>
      <c r="I125" s="5" t="s">
        <v>28</v>
      </c>
      <c r="J125" s="5">
        <v>49</v>
      </c>
      <c r="K125" s="172" t="s">
        <v>10</v>
      </c>
      <c r="L125" s="5">
        <v>0</v>
      </c>
      <c r="M125" s="5" t="s">
        <v>33</v>
      </c>
      <c r="N125" s="5" t="s">
        <v>33</v>
      </c>
      <c r="O125" s="5">
        <v>0</v>
      </c>
      <c r="P125" s="5" t="s">
        <v>36</v>
      </c>
      <c r="Q125" s="5">
        <v>0</v>
      </c>
      <c r="R125" s="5">
        <v>3</v>
      </c>
    </row>
    <row r="126" spans="1:18">
      <c r="A126" s="4">
        <v>46008</v>
      </c>
      <c r="B126" s="5">
        <v>125607</v>
      </c>
      <c r="C126" s="4">
        <v>46064</v>
      </c>
      <c r="D126" s="171">
        <v>99839</v>
      </c>
      <c r="E126" t="s">
        <v>18</v>
      </c>
      <c r="F126" s="5" t="s">
        <v>38</v>
      </c>
      <c r="G126" t="s">
        <v>273</v>
      </c>
      <c r="H126" s="5" t="s">
        <v>46</v>
      </c>
      <c r="I126" s="5" t="s">
        <v>32</v>
      </c>
      <c r="J126" s="5">
        <v>251</v>
      </c>
      <c r="K126" s="172" t="s">
        <v>10</v>
      </c>
      <c r="L126" s="5">
        <v>1</v>
      </c>
      <c r="M126" s="5" t="s">
        <v>33</v>
      </c>
      <c r="N126" s="5" t="s">
        <v>29</v>
      </c>
      <c r="O126" s="5">
        <v>40</v>
      </c>
      <c r="P126" s="5" t="s">
        <v>8</v>
      </c>
      <c r="Q126" s="5">
        <v>11.5</v>
      </c>
      <c r="R126" s="5">
        <v>3</v>
      </c>
    </row>
    <row r="127" spans="1:18">
      <c r="A127" s="4">
        <v>45994</v>
      </c>
      <c r="B127" s="5">
        <v>125027</v>
      </c>
      <c r="C127" s="4">
        <v>46064</v>
      </c>
      <c r="D127" s="171">
        <v>99837</v>
      </c>
      <c r="E127" t="s">
        <v>9</v>
      </c>
      <c r="F127" s="5" t="s">
        <v>34</v>
      </c>
      <c r="G127" t="s">
        <v>274</v>
      </c>
      <c r="H127" s="5" t="s">
        <v>46</v>
      </c>
      <c r="I127" s="5" t="s">
        <v>32</v>
      </c>
      <c r="J127" s="5">
        <v>1987</v>
      </c>
      <c r="K127" s="172" t="s">
        <v>10</v>
      </c>
      <c r="L127" s="5">
        <v>4</v>
      </c>
      <c r="M127" s="5" t="s">
        <v>33</v>
      </c>
      <c r="N127" s="5" t="s">
        <v>29</v>
      </c>
      <c r="O127" s="5">
        <v>50</v>
      </c>
      <c r="P127" s="5" t="s">
        <v>8</v>
      </c>
      <c r="Q127" s="5">
        <v>10</v>
      </c>
      <c r="R127" s="5">
        <v>3</v>
      </c>
    </row>
    <row r="128" spans="1:18">
      <c r="A128" s="4">
        <v>46055</v>
      </c>
      <c r="B128" s="5">
        <v>127354</v>
      </c>
      <c r="C128" s="4">
        <v>46064</v>
      </c>
      <c r="D128" s="171">
        <v>99832</v>
      </c>
      <c r="E128" t="s">
        <v>16</v>
      </c>
      <c r="F128" s="5" t="s">
        <v>34</v>
      </c>
      <c r="G128" t="s">
        <v>275</v>
      </c>
      <c r="H128" s="5" t="s">
        <v>56</v>
      </c>
      <c r="I128" s="5" t="s">
        <v>28</v>
      </c>
      <c r="J128" s="5">
        <v>71</v>
      </c>
      <c r="K128" s="172" t="s">
        <v>10</v>
      </c>
      <c r="L128" s="5">
        <v>0</v>
      </c>
      <c r="M128" s="5" t="s">
        <v>33</v>
      </c>
      <c r="N128" s="5" t="s">
        <v>33</v>
      </c>
      <c r="O128" s="5">
        <v>7</v>
      </c>
      <c r="P128" s="5" t="s">
        <v>36</v>
      </c>
      <c r="Q128" s="5">
        <v>0</v>
      </c>
      <c r="R128" s="5">
        <v>3</v>
      </c>
    </row>
    <row r="129" spans="1:18">
      <c r="A129" s="4">
        <v>46058</v>
      </c>
      <c r="B129" s="5">
        <v>127638</v>
      </c>
      <c r="C129" s="4">
        <v>46064</v>
      </c>
      <c r="D129" s="171">
        <v>99833</v>
      </c>
      <c r="E129" t="s">
        <v>16</v>
      </c>
      <c r="F129" s="5" t="s">
        <v>34</v>
      </c>
      <c r="G129" t="s">
        <v>276</v>
      </c>
      <c r="H129" s="5" t="s">
        <v>56</v>
      </c>
      <c r="I129" s="5" t="s">
        <v>28</v>
      </c>
      <c r="J129" s="5">
        <v>21</v>
      </c>
      <c r="K129" s="172" t="s">
        <v>10</v>
      </c>
      <c r="L129" s="5">
        <v>0</v>
      </c>
      <c r="M129" s="5" t="s">
        <v>33</v>
      </c>
      <c r="N129" s="5" t="s">
        <v>33</v>
      </c>
      <c r="O129" s="5">
        <v>4</v>
      </c>
      <c r="P129" s="5" t="s">
        <v>36</v>
      </c>
      <c r="Q129" s="5">
        <v>0</v>
      </c>
      <c r="R129" s="5">
        <v>3</v>
      </c>
    </row>
    <row r="130" spans="1:18">
      <c r="A130" s="4">
        <v>46058</v>
      </c>
      <c r="B130" s="5">
        <v>127623</v>
      </c>
      <c r="C130" s="4">
        <v>46064</v>
      </c>
      <c r="D130" s="171">
        <v>99836</v>
      </c>
      <c r="E130" t="s">
        <v>16</v>
      </c>
      <c r="F130" s="5" t="s">
        <v>34</v>
      </c>
      <c r="G130" t="s">
        <v>277</v>
      </c>
      <c r="H130" s="5" t="s">
        <v>56</v>
      </c>
      <c r="I130" s="5" t="s">
        <v>28</v>
      </c>
      <c r="J130" s="5">
        <v>72</v>
      </c>
      <c r="K130" s="172" t="s">
        <v>10</v>
      </c>
      <c r="L130" s="5">
        <v>0</v>
      </c>
      <c r="M130" s="5" t="s">
        <v>33</v>
      </c>
      <c r="N130" s="5" t="s">
        <v>33</v>
      </c>
      <c r="O130" s="5">
        <v>4</v>
      </c>
      <c r="P130" s="5" t="s">
        <v>36</v>
      </c>
      <c r="Q130" s="5">
        <v>0</v>
      </c>
      <c r="R130" s="5">
        <v>3</v>
      </c>
    </row>
    <row r="131" spans="1:18">
      <c r="A131" s="4">
        <v>46056</v>
      </c>
      <c r="B131" s="5">
        <v>127269</v>
      </c>
      <c r="C131" s="4">
        <v>46064</v>
      </c>
      <c r="D131" s="171">
        <v>99835</v>
      </c>
      <c r="E131" t="s">
        <v>16</v>
      </c>
      <c r="F131" s="5" t="s">
        <v>34</v>
      </c>
      <c r="G131" t="s">
        <v>278</v>
      </c>
      <c r="H131" s="5" t="s">
        <v>56</v>
      </c>
      <c r="I131" s="5" t="s">
        <v>28</v>
      </c>
      <c r="J131" s="5">
        <v>136</v>
      </c>
      <c r="K131" s="172" t="s">
        <v>10</v>
      </c>
      <c r="L131" s="5">
        <v>0</v>
      </c>
      <c r="M131" s="5" t="s">
        <v>33</v>
      </c>
      <c r="N131" s="5" t="s">
        <v>33</v>
      </c>
      <c r="O131" s="5">
        <v>6</v>
      </c>
      <c r="P131" s="5" t="s">
        <v>36</v>
      </c>
      <c r="Q131" s="5">
        <v>0</v>
      </c>
      <c r="R131" s="5">
        <v>3</v>
      </c>
    </row>
    <row r="132" spans="1:18">
      <c r="A132" s="4">
        <v>46055</v>
      </c>
      <c r="B132" s="5">
        <v>127393</v>
      </c>
      <c r="C132" s="4">
        <v>46064</v>
      </c>
      <c r="D132" s="171">
        <v>99834</v>
      </c>
      <c r="E132" t="s">
        <v>16</v>
      </c>
      <c r="F132" s="5" t="s">
        <v>34</v>
      </c>
      <c r="G132" t="s">
        <v>279</v>
      </c>
      <c r="H132" s="5" t="s">
        <v>56</v>
      </c>
      <c r="I132" s="5" t="s">
        <v>28</v>
      </c>
      <c r="J132" s="5">
        <v>122</v>
      </c>
      <c r="K132" s="172" t="s">
        <v>10</v>
      </c>
      <c r="L132" s="5">
        <v>0</v>
      </c>
      <c r="M132" s="5" t="s">
        <v>33</v>
      </c>
      <c r="N132" s="5" t="s">
        <v>33</v>
      </c>
      <c r="O132" s="5">
        <v>7</v>
      </c>
      <c r="P132" s="5" t="s">
        <v>36</v>
      </c>
      <c r="Q132" s="5">
        <v>0</v>
      </c>
      <c r="R132" s="5">
        <v>3</v>
      </c>
    </row>
    <row r="133" spans="1:18">
      <c r="A133" s="4">
        <v>45698</v>
      </c>
      <c r="B133" s="5">
        <v>127772</v>
      </c>
      <c r="C133" s="4">
        <v>45698</v>
      </c>
      <c r="D133" s="171">
        <v>99816</v>
      </c>
      <c r="E133" t="s">
        <v>16</v>
      </c>
      <c r="F133" s="5" t="s">
        <v>34</v>
      </c>
      <c r="G133" t="s">
        <v>280</v>
      </c>
      <c r="H133" s="5" t="s">
        <v>56</v>
      </c>
      <c r="I133" s="5" t="s">
        <v>28</v>
      </c>
      <c r="J133" s="5">
        <v>92</v>
      </c>
      <c r="K133" s="172" t="s">
        <v>10</v>
      </c>
      <c r="L133" s="5">
        <v>0</v>
      </c>
      <c r="M133" s="5" t="s">
        <v>33</v>
      </c>
      <c r="N133" s="5" t="s">
        <v>33</v>
      </c>
      <c r="O133" s="5">
        <v>0</v>
      </c>
      <c r="P133" s="5" t="s">
        <v>36</v>
      </c>
      <c r="Q133" s="5">
        <v>0</v>
      </c>
      <c r="R133" s="5">
        <v>3</v>
      </c>
    </row>
    <row r="134" spans="1:18">
      <c r="A134" s="4">
        <v>46059</v>
      </c>
      <c r="B134" s="5">
        <v>127707</v>
      </c>
      <c r="C134" s="4">
        <v>46063</v>
      </c>
      <c r="D134" s="171">
        <v>99812</v>
      </c>
      <c r="E134" t="s">
        <v>18</v>
      </c>
      <c r="F134" s="5" t="s">
        <v>38</v>
      </c>
      <c r="G134" t="s">
        <v>281</v>
      </c>
      <c r="H134" s="5" t="s">
        <v>39</v>
      </c>
      <c r="I134" s="5" t="s">
        <v>43</v>
      </c>
      <c r="J134" s="5">
        <v>90</v>
      </c>
      <c r="K134" s="172" t="s">
        <v>10</v>
      </c>
      <c r="L134" s="5">
        <v>0</v>
      </c>
      <c r="M134" s="5" t="s">
        <v>33</v>
      </c>
      <c r="N134" s="5" t="s">
        <v>33</v>
      </c>
      <c r="O134" s="5">
        <v>2</v>
      </c>
      <c r="P134" s="5" t="s">
        <v>15</v>
      </c>
      <c r="Q134" s="5">
        <v>8</v>
      </c>
      <c r="R134" s="5">
        <v>3</v>
      </c>
    </row>
    <row r="135" spans="1:18">
      <c r="A135" s="4">
        <v>46062</v>
      </c>
      <c r="B135" s="5">
        <v>127744</v>
      </c>
      <c r="C135" s="4">
        <v>46063</v>
      </c>
      <c r="D135" s="171">
        <v>99811</v>
      </c>
      <c r="E135" t="s">
        <v>16</v>
      </c>
      <c r="F135" s="5" t="s">
        <v>38</v>
      </c>
      <c r="G135" t="s">
        <v>282</v>
      </c>
      <c r="H135" s="5" t="s">
        <v>67</v>
      </c>
      <c r="I135" s="5" t="s">
        <v>45</v>
      </c>
      <c r="J135" s="5">
        <v>87</v>
      </c>
      <c r="K135" s="172" t="s">
        <v>10</v>
      </c>
      <c r="L135" s="5">
        <v>0</v>
      </c>
      <c r="M135" s="5" t="s">
        <v>33</v>
      </c>
      <c r="N135" s="5" t="s">
        <v>33</v>
      </c>
      <c r="O135" s="5">
        <v>1</v>
      </c>
      <c r="P135" s="5" t="s">
        <v>14</v>
      </c>
      <c r="Q135" s="5">
        <v>3</v>
      </c>
      <c r="R135" s="5">
        <v>3</v>
      </c>
    </row>
    <row r="136" spans="1:18">
      <c r="A136" s="4">
        <v>46063</v>
      </c>
      <c r="B136" s="5">
        <v>127785</v>
      </c>
      <c r="C136" s="4">
        <v>46063</v>
      </c>
      <c r="D136" s="171">
        <v>99801</v>
      </c>
      <c r="E136" t="s">
        <v>16</v>
      </c>
      <c r="F136" s="5" t="s">
        <v>30</v>
      </c>
      <c r="G136" t="s">
        <v>283</v>
      </c>
      <c r="H136" s="5" t="s">
        <v>67</v>
      </c>
      <c r="I136" s="5" t="s">
        <v>43</v>
      </c>
      <c r="J136" s="5">
        <v>80</v>
      </c>
      <c r="K136" s="172" t="s">
        <v>10</v>
      </c>
      <c r="L136" s="5">
        <v>0</v>
      </c>
      <c r="M136" s="5" t="s">
        <v>33</v>
      </c>
      <c r="N136" s="5" t="s">
        <v>33</v>
      </c>
      <c r="O136" s="5">
        <v>0</v>
      </c>
      <c r="P136" s="5" t="s">
        <v>14</v>
      </c>
      <c r="Q136" s="5">
        <v>3</v>
      </c>
      <c r="R136" s="5">
        <v>3</v>
      </c>
    </row>
    <row r="137" spans="1:18">
      <c r="A137" s="4">
        <v>46045</v>
      </c>
      <c r="B137" s="5">
        <v>126559</v>
      </c>
      <c r="C137" s="4">
        <v>46063</v>
      </c>
      <c r="D137" s="171">
        <v>99799</v>
      </c>
      <c r="E137" t="s">
        <v>9</v>
      </c>
      <c r="F137" s="5" t="s">
        <v>34</v>
      </c>
      <c r="G137" t="s">
        <v>284</v>
      </c>
      <c r="H137" s="5" t="s">
        <v>69</v>
      </c>
      <c r="I137" s="5" t="s">
        <v>40</v>
      </c>
      <c r="J137" s="5">
        <f>72+1501</f>
        <v>1573</v>
      </c>
      <c r="K137" s="172" t="s">
        <v>10</v>
      </c>
      <c r="L137" s="5">
        <v>1</v>
      </c>
      <c r="M137" s="5" t="s">
        <v>33</v>
      </c>
      <c r="N137" s="5" t="s">
        <v>33</v>
      </c>
      <c r="O137" s="5">
        <v>12</v>
      </c>
      <c r="P137" s="5" t="s">
        <v>8</v>
      </c>
      <c r="Q137" s="5">
        <v>10</v>
      </c>
      <c r="R137" s="5">
        <v>3</v>
      </c>
    </row>
    <row r="138" spans="1:18">
      <c r="A138" s="4">
        <v>46063</v>
      </c>
      <c r="B138" s="5">
        <v>127773</v>
      </c>
      <c r="C138" s="4">
        <v>45698</v>
      </c>
      <c r="D138" s="171">
        <v>99797</v>
      </c>
      <c r="E138" t="s">
        <v>16</v>
      </c>
      <c r="F138" s="5" t="s">
        <v>34</v>
      </c>
      <c r="G138" t="s">
        <v>285</v>
      </c>
      <c r="H138" s="5" t="s">
        <v>56</v>
      </c>
      <c r="I138" s="5" t="s">
        <v>28</v>
      </c>
      <c r="J138" s="5">
        <v>95</v>
      </c>
      <c r="K138" s="172" t="s">
        <v>10</v>
      </c>
      <c r="L138" s="5">
        <v>0</v>
      </c>
      <c r="M138" s="5" t="s">
        <v>33</v>
      </c>
      <c r="N138" s="5" t="s">
        <v>33</v>
      </c>
      <c r="O138" s="5">
        <v>-365</v>
      </c>
      <c r="P138" s="5" t="s">
        <v>36</v>
      </c>
      <c r="Q138" s="5">
        <v>0</v>
      </c>
      <c r="R138" s="5">
        <v>3</v>
      </c>
    </row>
    <row r="139" spans="1:18">
      <c r="A139" s="4">
        <v>46062</v>
      </c>
      <c r="B139" s="5">
        <v>127767</v>
      </c>
      <c r="C139" s="4">
        <v>46062</v>
      </c>
      <c r="D139" s="171">
        <v>99788</v>
      </c>
      <c r="E139" t="s">
        <v>16</v>
      </c>
      <c r="F139" s="5" t="s">
        <v>34</v>
      </c>
      <c r="G139" t="s">
        <v>286</v>
      </c>
      <c r="H139" s="5" t="s">
        <v>56</v>
      </c>
      <c r="I139" s="5" t="s">
        <v>28</v>
      </c>
      <c r="J139" s="5">
        <v>82</v>
      </c>
      <c r="K139" s="172" t="s">
        <v>10</v>
      </c>
      <c r="L139" s="5">
        <v>0</v>
      </c>
      <c r="M139" s="5" t="s">
        <v>33</v>
      </c>
      <c r="N139" s="5" t="s">
        <v>33</v>
      </c>
      <c r="O139" s="5">
        <v>0</v>
      </c>
      <c r="P139" s="5" t="s">
        <v>36</v>
      </c>
      <c r="Q139" s="5">
        <v>0</v>
      </c>
      <c r="R139" s="5">
        <v>3</v>
      </c>
    </row>
    <row r="140" spans="1:18">
      <c r="A140" s="4">
        <v>46058</v>
      </c>
      <c r="B140" s="5">
        <v>127605</v>
      </c>
      <c r="C140" s="4">
        <v>46060</v>
      </c>
      <c r="D140" s="171">
        <v>99772</v>
      </c>
      <c r="E140" t="s">
        <v>9</v>
      </c>
      <c r="F140" s="5" t="s">
        <v>34</v>
      </c>
      <c r="G140" t="s">
        <v>287</v>
      </c>
      <c r="H140" s="5" t="s">
        <v>47</v>
      </c>
      <c r="I140" s="5" t="s">
        <v>35</v>
      </c>
      <c r="J140" s="5">
        <v>1216</v>
      </c>
      <c r="K140" s="172" t="s">
        <v>11</v>
      </c>
      <c r="L140" s="5">
        <v>1</v>
      </c>
      <c r="M140" s="5" t="s">
        <v>33</v>
      </c>
      <c r="N140" s="5" t="s">
        <v>33</v>
      </c>
      <c r="O140" s="5">
        <v>1</v>
      </c>
      <c r="P140" s="5" t="s">
        <v>14</v>
      </c>
      <c r="Q140" s="5">
        <v>13</v>
      </c>
      <c r="R140" s="5">
        <v>2</v>
      </c>
    </row>
    <row r="141" spans="1:18">
      <c r="A141" s="4">
        <v>46050</v>
      </c>
      <c r="B141" s="5">
        <v>127205</v>
      </c>
      <c r="C141" s="4">
        <v>46058</v>
      </c>
      <c r="D141" s="171">
        <v>99744</v>
      </c>
      <c r="E141" t="s">
        <v>9</v>
      </c>
      <c r="F141" s="5" t="s">
        <v>34</v>
      </c>
      <c r="G141" t="s">
        <v>288</v>
      </c>
      <c r="H141" s="5" t="s">
        <v>69</v>
      </c>
      <c r="I141" s="5" t="s">
        <v>35</v>
      </c>
      <c r="J141" s="5">
        <v>564</v>
      </c>
      <c r="K141" s="172" t="s">
        <v>10</v>
      </c>
      <c r="L141" s="5">
        <v>0</v>
      </c>
      <c r="M141" s="5" t="s">
        <v>33</v>
      </c>
      <c r="N141" s="5" t="s">
        <v>33</v>
      </c>
      <c r="O141" s="5">
        <v>6</v>
      </c>
      <c r="P141" s="5" t="s">
        <v>8</v>
      </c>
      <c r="Q141" s="5">
        <v>10</v>
      </c>
      <c r="R141" s="5">
        <v>3</v>
      </c>
    </row>
    <row r="142" spans="1:18">
      <c r="A142" s="4">
        <v>46042</v>
      </c>
      <c r="B142" s="5">
        <v>126732</v>
      </c>
      <c r="C142" s="4">
        <v>46058</v>
      </c>
      <c r="D142" s="171">
        <v>99740</v>
      </c>
      <c r="E142" t="s">
        <v>18</v>
      </c>
      <c r="F142" s="5" t="s">
        <v>38</v>
      </c>
      <c r="G142" t="s">
        <v>289</v>
      </c>
      <c r="H142" s="5" t="s">
        <v>52</v>
      </c>
      <c r="I142" s="5" t="s">
        <v>35</v>
      </c>
      <c r="J142" s="5">
        <v>322</v>
      </c>
      <c r="K142" s="172" t="s">
        <v>10</v>
      </c>
      <c r="L142" s="5">
        <v>0</v>
      </c>
      <c r="M142" s="5" t="s">
        <v>33</v>
      </c>
      <c r="N142" s="5" t="s">
        <v>33</v>
      </c>
      <c r="O142" s="5">
        <v>12</v>
      </c>
      <c r="P142" s="5" t="s">
        <v>8</v>
      </c>
      <c r="Q142" s="5">
        <v>11.5</v>
      </c>
      <c r="R142" s="5">
        <v>2</v>
      </c>
    </row>
    <row r="143" spans="1:18">
      <c r="A143" s="4">
        <v>45974</v>
      </c>
      <c r="B143" s="5">
        <v>124282</v>
      </c>
      <c r="C143" s="4">
        <v>46058</v>
      </c>
      <c r="D143" s="171">
        <v>99739</v>
      </c>
      <c r="E143" t="s">
        <v>9</v>
      </c>
      <c r="F143" s="5" t="s">
        <v>34</v>
      </c>
      <c r="G143" t="s">
        <v>290</v>
      </c>
      <c r="H143" s="5" t="s">
        <v>52</v>
      </c>
      <c r="I143" s="5" t="s">
        <v>35</v>
      </c>
      <c r="J143" s="5">
        <f>501+723</f>
        <v>1224</v>
      </c>
      <c r="K143" s="172" t="s">
        <v>10</v>
      </c>
      <c r="L143" s="5">
        <v>1</v>
      </c>
      <c r="M143" s="5" t="s">
        <v>33</v>
      </c>
      <c r="N143" s="5" t="s">
        <v>33</v>
      </c>
      <c r="O143" s="5">
        <v>60</v>
      </c>
      <c r="P143" s="5" t="s">
        <v>8</v>
      </c>
      <c r="Q143" s="5">
        <v>10</v>
      </c>
      <c r="R143" s="5">
        <v>2</v>
      </c>
    </row>
    <row r="144" spans="1:18">
      <c r="A144" s="4">
        <v>46056</v>
      </c>
      <c r="B144" s="5">
        <v>127451</v>
      </c>
      <c r="C144" s="4">
        <v>46057</v>
      </c>
      <c r="D144" s="171">
        <v>99723</v>
      </c>
      <c r="E144" t="s">
        <v>18</v>
      </c>
      <c r="F144" s="5" t="s">
        <v>34</v>
      </c>
      <c r="G144" t="s">
        <v>291</v>
      </c>
      <c r="H144" s="5" t="s">
        <v>50</v>
      </c>
      <c r="I144" s="5" t="s">
        <v>32</v>
      </c>
      <c r="J144" s="5">
        <v>117</v>
      </c>
      <c r="K144" s="172" t="s">
        <v>10</v>
      </c>
      <c r="L144" s="5">
        <v>0</v>
      </c>
      <c r="M144" s="5" t="s">
        <v>33</v>
      </c>
      <c r="N144" s="5" t="s">
        <v>33</v>
      </c>
      <c r="O144" s="5">
        <v>1</v>
      </c>
      <c r="P144" s="5" t="s">
        <v>14</v>
      </c>
      <c r="Q144" s="5">
        <v>10</v>
      </c>
      <c r="R144" s="5">
        <v>2</v>
      </c>
    </row>
    <row r="145" spans="1:18">
      <c r="A145" s="4">
        <v>46057</v>
      </c>
      <c r="B145" s="5">
        <v>127579</v>
      </c>
      <c r="C145" s="4">
        <v>46057</v>
      </c>
      <c r="D145" s="171">
        <v>99714</v>
      </c>
      <c r="E145" t="s">
        <v>18</v>
      </c>
      <c r="F145" s="5" t="s">
        <v>38</v>
      </c>
      <c r="G145" t="s">
        <v>292</v>
      </c>
      <c r="H145" s="5" t="s">
        <v>66</v>
      </c>
      <c r="I145" s="5" t="s">
        <v>43</v>
      </c>
      <c r="J145" s="5"/>
      <c r="K145" s="172" t="s">
        <v>10</v>
      </c>
      <c r="L145" s="5">
        <v>0</v>
      </c>
      <c r="M145" s="5" t="s">
        <v>33</v>
      </c>
      <c r="N145" s="5" t="s">
        <v>33</v>
      </c>
      <c r="O145" s="5">
        <v>0</v>
      </c>
      <c r="P145" s="5" t="s">
        <v>36</v>
      </c>
      <c r="Q145" s="5">
        <v>0</v>
      </c>
      <c r="R145" s="5">
        <v>3</v>
      </c>
    </row>
    <row r="146" spans="1:18">
      <c r="A146" s="4">
        <v>46057</v>
      </c>
      <c r="B146" s="5">
        <v>127546</v>
      </c>
      <c r="C146" s="4">
        <v>46057</v>
      </c>
      <c r="D146" s="171">
        <v>99710</v>
      </c>
      <c r="E146" t="s">
        <v>18</v>
      </c>
      <c r="F146" s="5" t="s">
        <v>38</v>
      </c>
      <c r="G146" t="s">
        <v>293</v>
      </c>
      <c r="H146" s="5" t="s">
        <v>66</v>
      </c>
      <c r="I146" s="5" t="s">
        <v>43</v>
      </c>
      <c r="J146" s="5">
        <v>150</v>
      </c>
      <c r="K146" s="172" t="s">
        <v>10</v>
      </c>
      <c r="L146" s="5">
        <v>0</v>
      </c>
      <c r="M146" s="5" t="s">
        <v>33</v>
      </c>
      <c r="N146" s="5" t="s">
        <v>33</v>
      </c>
      <c r="O146" s="5">
        <v>0</v>
      </c>
      <c r="P146" s="5" t="s">
        <v>36</v>
      </c>
      <c r="Q146" s="5">
        <v>0</v>
      </c>
      <c r="R146" s="5">
        <v>3</v>
      </c>
    </row>
    <row r="147" spans="1:18">
      <c r="A147" s="4">
        <v>46057</v>
      </c>
      <c r="B147" s="5">
        <v>127547</v>
      </c>
      <c r="C147" s="4">
        <v>46057</v>
      </c>
      <c r="D147" s="171">
        <v>99707</v>
      </c>
      <c r="E147" t="s">
        <v>18</v>
      </c>
      <c r="F147" s="5" t="s">
        <v>34</v>
      </c>
      <c r="G147" t="s">
        <v>294</v>
      </c>
      <c r="H147" s="5" t="s">
        <v>50</v>
      </c>
      <c r="I147" s="5" t="s">
        <v>32</v>
      </c>
      <c r="J147" s="5">
        <v>0</v>
      </c>
      <c r="K147" s="172" t="s">
        <v>10</v>
      </c>
      <c r="L147" s="5">
        <v>0</v>
      </c>
      <c r="M147" s="5" t="s">
        <v>33</v>
      </c>
      <c r="N147" s="5" t="s">
        <v>33</v>
      </c>
      <c r="O147" s="5">
        <v>0</v>
      </c>
      <c r="P147" s="5" t="s">
        <v>14</v>
      </c>
      <c r="Q147" s="5">
        <v>10</v>
      </c>
      <c r="R147" s="5">
        <v>2</v>
      </c>
    </row>
    <row r="148" spans="1:18">
      <c r="A148" s="4">
        <v>46057</v>
      </c>
      <c r="B148" s="5">
        <v>127513</v>
      </c>
      <c r="C148" s="4">
        <v>45692</v>
      </c>
      <c r="D148" s="171">
        <v>99690</v>
      </c>
      <c r="E148" t="s">
        <v>16</v>
      </c>
      <c r="F148" s="5" t="s">
        <v>34</v>
      </c>
      <c r="G148" t="s">
        <v>295</v>
      </c>
      <c r="H148" s="5" t="s">
        <v>56</v>
      </c>
      <c r="I148" s="5" t="s">
        <v>28</v>
      </c>
      <c r="J148" s="5">
        <v>76</v>
      </c>
      <c r="K148" s="172" t="s">
        <v>10</v>
      </c>
      <c r="L148" s="5">
        <v>0</v>
      </c>
      <c r="M148" s="5" t="s">
        <v>33</v>
      </c>
      <c r="N148" s="5" t="s">
        <v>33</v>
      </c>
      <c r="O148" s="5">
        <v>-365</v>
      </c>
      <c r="P148" s="5" t="s">
        <v>36</v>
      </c>
      <c r="Q148" s="5">
        <v>0</v>
      </c>
      <c r="R148" s="5">
        <v>3</v>
      </c>
    </row>
    <row r="149" spans="1:18">
      <c r="A149" s="4">
        <v>46056</v>
      </c>
      <c r="B149" s="5">
        <v>127480</v>
      </c>
      <c r="C149" s="4">
        <v>46056</v>
      </c>
      <c r="D149" s="171">
        <v>99676</v>
      </c>
      <c r="E149" t="s">
        <v>18</v>
      </c>
      <c r="F149" s="5" t="s">
        <v>30</v>
      </c>
      <c r="G149" t="s">
        <v>296</v>
      </c>
      <c r="H149" s="5" t="s">
        <v>66</v>
      </c>
      <c r="I149" s="5" t="s">
        <v>43</v>
      </c>
      <c r="J149" s="5">
        <v>60</v>
      </c>
      <c r="K149" s="172" t="s">
        <v>10</v>
      </c>
      <c r="L149" s="5">
        <v>0</v>
      </c>
      <c r="M149" s="5" t="s">
        <v>33</v>
      </c>
      <c r="N149" s="5" t="s">
        <v>33</v>
      </c>
      <c r="O149" s="5">
        <v>0</v>
      </c>
      <c r="P149" s="5" t="s">
        <v>36</v>
      </c>
      <c r="Q149" s="5">
        <v>0</v>
      </c>
      <c r="R149" s="5">
        <v>3</v>
      </c>
    </row>
    <row r="150" spans="1:18">
      <c r="A150" s="4">
        <v>46056</v>
      </c>
      <c r="B150" s="5">
        <v>127442</v>
      </c>
      <c r="C150" s="4">
        <v>46056</v>
      </c>
      <c r="D150" s="171">
        <v>99674</v>
      </c>
      <c r="E150" t="s">
        <v>16</v>
      </c>
      <c r="F150" s="5" t="s">
        <v>34</v>
      </c>
      <c r="G150" t="s">
        <v>297</v>
      </c>
      <c r="H150" s="5" t="s">
        <v>56</v>
      </c>
      <c r="I150" s="5" t="s">
        <v>28</v>
      </c>
      <c r="J150" s="5">
        <v>69</v>
      </c>
      <c r="K150" s="172" t="s">
        <v>10</v>
      </c>
      <c r="L150" s="5">
        <v>0</v>
      </c>
      <c r="M150" s="5" t="s">
        <v>33</v>
      </c>
      <c r="N150" s="5" t="s">
        <v>33</v>
      </c>
      <c r="O150" s="5">
        <v>0</v>
      </c>
      <c r="P150" s="5" t="s">
        <v>36</v>
      </c>
      <c r="Q150" s="5">
        <v>0</v>
      </c>
      <c r="R150" s="5">
        <v>3</v>
      </c>
    </row>
    <row r="151" spans="1:18">
      <c r="A151" s="4">
        <v>46048</v>
      </c>
      <c r="B151" s="5">
        <v>127056</v>
      </c>
      <c r="C151" s="4">
        <v>46055</v>
      </c>
      <c r="D151" s="171">
        <v>99661</v>
      </c>
      <c r="E151" t="s">
        <v>16</v>
      </c>
      <c r="F151" s="5" t="s">
        <v>30</v>
      </c>
      <c r="G151" t="s">
        <v>298</v>
      </c>
      <c r="H151" s="5" t="s">
        <v>67</v>
      </c>
      <c r="I151" s="5" t="s">
        <v>45</v>
      </c>
      <c r="J151" s="5">
        <v>290</v>
      </c>
      <c r="K151" s="172" t="s">
        <v>10</v>
      </c>
      <c r="L151" s="5">
        <v>0</v>
      </c>
      <c r="M151" s="5" t="s">
        <v>33</v>
      </c>
      <c r="N151" s="5" t="s">
        <v>33</v>
      </c>
      <c r="O151" s="5">
        <v>5</v>
      </c>
      <c r="P151" s="5" t="s">
        <v>14</v>
      </c>
      <c r="Q151" s="5">
        <v>3</v>
      </c>
      <c r="R151" s="5">
        <v>3</v>
      </c>
    </row>
    <row r="152" spans="1:18">
      <c r="A152" s="4">
        <v>46055</v>
      </c>
      <c r="B152" s="5">
        <v>127405</v>
      </c>
      <c r="C152" s="4">
        <v>46055</v>
      </c>
      <c r="D152" s="171">
        <v>99654</v>
      </c>
      <c r="E152" t="s">
        <v>18</v>
      </c>
      <c r="F152" s="5" t="s">
        <v>34</v>
      </c>
      <c r="G152" t="s">
        <v>299</v>
      </c>
      <c r="H152" s="5" t="s">
        <v>54</v>
      </c>
      <c r="I152" s="5" t="s">
        <v>32</v>
      </c>
      <c r="J152" s="5">
        <v>64</v>
      </c>
      <c r="K152" s="172" t="s">
        <v>10</v>
      </c>
      <c r="L152" s="5">
        <v>0</v>
      </c>
      <c r="M152" s="5" t="s">
        <v>33</v>
      </c>
      <c r="N152" s="5" t="s">
        <v>33</v>
      </c>
      <c r="O152" s="5">
        <v>0</v>
      </c>
      <c r="P152" s="5" t="s">
        <v>36</v>
      </c>
      <c r="Q152" s="5">
        <v>0</v>
      </c>
      <c r="R152" s="5">
        <v>3</v>
      </c>
    </row>
    <row r="153" spans="1:18">
      <c r="A153" s="4">
        <v>46055</v>
      </c>
      <c r="B153" s="5">
        <v>127399</v>
      </c>
      <c r="C153" s="4">
        <v>46055</v>
      </c>
      <c r="D153" s="171">
        <v>99656</v>
      </c>
      <c r="E153" t="s">
        <v>9</v>
      </c>
      <c r="F153" s="5" t="s">
        <v>34</v>
      </c>
      <c r="G153" t="s">
        <v>300</v>
      </c>
      <c r="H153" s="5" t="s">
        <v>50</v>
      </c>
      <c r="I153" s="5" t="s">
        <v>35</v>
      </c>
      <c r="J153" s="5">
        <v>30</v>
      </c>
      <c r="K153" s="172" t="s">
        <v>10</v>
      </c>
      <c r="L153" s="5">
        <v>0</v>
      </c>
      <c r="M153" s="5" t="s">
        <v>33</v>
      </c>
      <c r="N153" s="5" t="s">
        <v>33</v>
      </c>
      <c r="O153" s="5">
        <v>0</v>
      </c>
      <c r="P153" s="5" t="s">
        <v>14</v>
      </c>
      <c r="Q153" s="5">
        <v>8</v>
      </c>
      <c r="R153" s="5">
        <v>2</v>
      </c>
    </row>
    <row r="154" spans="1:18">
      <c r="A154" s="4">
        <v>46034</v>
      </c>
      <c r="B154" s="5">
        <v>126338</v>
      </c>
      <c r="C154" s="4">
        <v>46055</v>
      </c>
      <c r="D154" s="171">
        <v>99650</v>
      </c>
      <c r="E154" t="s">
        <v>18</v>
      </c>
      <c r="F154" s="5" t="s">
        <v>34</v>
      </c>
      <c r="G154" t="s">
        <v>301</v>
      </c>
      <c r="H154" s="5" t="s">
        <v>47</v>
      </c>
      <c r="I154" s="5" t="s">
        <v>32</v>
      </c>
      <c r="J154" s="5">
        <v>955</v>
      </c>
      <c r="K154" s="172" t="s">
        <v>11</v>
      </c>
      <c r="L154" s="5">
        <v>1</v>
      </c>
      <c r="M154" s="5" t="s">
        <v>29</v>
      </c>
      <c r="N154" s="5" t="s">
        <v>33</v>
      </c>
      <c r="O154" s="5">
        <v>15</v>
      </c>
      <c r="P154" s="5" t="s">
        <v>14</v>
      </c>
      <c r="Q154" s="5">
        <v>20</v>
      </c>
      <c r="R154" s="5">
        <v>2</v>
      </c>
    </row>
    <row r="155" spans="1:18">
      <c r="A155" s="4">
        <v>45552</v>
      </c>
      <c r="B155" s="5">
        <v>112922</v>
      </c>
      <c r="C155" s="4">
        <v>46055</v>
      </c>
      <c r="D155" s="171">
        <v>99640</v>
      </c>
      <c r="E155" t="s">
        <v>18</v>
      </c>
      <c r="F155" s="5" t="s">
        <v>38</v>
      </c>
      <c r="G155" t="s">
        <v>302</v>
      </c>
      <c r="H155" s="5" t="s">
        <v>27</v>
      </c>
      <c r="I155" s="5" t="s">
        <v>35</v>
      </c>
      <c r="J155" s="5">
        <v>30</v>
      </c>
      <c r="K155" s="172" t="s">
        <v>10</v>
      </c>
      <c r="L155" s="5">
        <v>0</v>
      </c>
      <c r="M155" s="5" t="s">
        <v>33</v>
      </c>
      <c r="N155" s="5" t="s">
        <v>33</v>
      </c>
      <c r="O155" s="5">
        <v>359</v>
      </c>
      <c r="P155" s="5" t="s">
        <v>8</v>
      </c>
      <c r="Q155" s="5">
        <v>11.5</v>
      </c>
      <c r="R155" s="5">
        <v>3</v>
      </c>
    </row>
    <row r="156" spans="1:18">
      <c r="A156" s="4">
        <v>42877</v>
      </c>
      <c r="B156" s="5">
        <v>45749</v>
      </c>
      <c r="C156" s="4">
        <v>46055</v>
      </c>
      <c r="D156" s="171">
        <v>99638</v>
      </c>
      <c r="E156" t="s">
        <v>17</v>
      </c>
      <c r="F156" s="5" t="s">
        <v>34</v>
      </c>
      <c r="G156" t="s">
        <v>303</v>
      </c>
      <c r="H156" s="5" t="s">
        <v>27</v>
      </c>
      <c r="I156" s="5" t="s">
        <v>35</v>
      </c>
      <c r="J156" s="5">
        <f>3958+4250</f>
        <v>8208</v>
      </c>
      <c r="K156" s="172" t="s">
        <v>11</v>
      </c>
      <c r="L156" s="5">
        <v>2</v>
      </c>
      <c r="M156" s="5" t="s">
        <v>29</v>
      </c>
      <c r="N156" s="5" t="s">
        <v>33</v>
      </c>
      <c r="O156" s="5">
        <v>2270</v>
      </c>
      <c r="P156" s="5" t="s">
        <v>8</v>
      </c>
      <c r="Q156" s="5">
        <v>40</v>
      </c>
      <c r="R156" s="5">
        <v>3</v>
      </c>
    </row>
    <row r="157" spans="1:18">
      <c r="A157" s="4">
        <v>46048</v>
      </c>
      <c r="B157" s="5">
        <v>126782</v>
      </c>
      <c r="C157" s="4">
        <v>46055</v>
      </c>
      <c r="D157" s="171">
        <v>99637</v>
      </c>
      <c r="E157" t="s">
        <v>16</v>
      </c>
      <c r="F157" s="5" t="s">
        <v>34</v>
      </c>
      <c r="G157" t="s">
        <v>304</v>
      </c>
      <c r="H157" s="5" t="s">
        <v>63</v>
      </c>
      <c r="I157" s="5" t="s">
        <v>28</v>
      </c>
      <c r="J157">
        <v>227</v>
      </c>
      <c r="K157" s="5" t="s">
        <v>10</v>
      </c>
      <c r="L157" s="5">
        <v>0</v>
      </c>
      <c r="M157" s="5" t="s">
        <v>33</v>
      </c>
      <c r="N157" s="5" t="s">
        <v>33</v>
      </c>
      <c r="O157" s="5">
        <v>5</v>
      </c>
      <c r="P157" s="5" t="s">
        <v>8</v>
      </c>
      <c r="Q157" s="5">
        <v>4</v>
      </c>
      <c r="R157" s="5">
        <v>2</v>
      </c>
    </row>
    <row r="158" spans="1:18">
      <c r="A158" s="4"/>
      <c r="B158" s="5"/>
      <c r="C158" s="4"/>
      <c r="D158" s="171"/>
      <c r="F158" s="5"/>
      <c r="G158" s="136"/>
      <c r="H158" s="5"/>
      <c r="I158" s="5"/>
      <c r="J158" s="5"/>
      <c r="K158" s="5"/>
      <c r="L158" s="5"/>
      <c r="M158" s="5"/>
      <c r="N158" s="5"/>
      <c r="O158" s="5"/>
      <c r="P158" s="5"/>
      <c r="Q158" s="5"/>
      <c r="R158" s="5"/>
    </row>
    <row r="159" spans="1:18">
      <c r="A159" s="4"/>
      <c r="B159" s="5"/>
      <c r="C159" s="4"/>
      <c r="D159" s="171"/>
      <c r="F159" s="5"/>
      <c r="G159" s="136"/>
      <c r="H159" s="5"/>
      <c r="I159" s="5"/>
      <c r="J159" s="5"/>
      <c r="K159" s="5"/>
      <c r="L159" s="5"/>
      <c r="M159" s="5"/>
      <c r="N159" s="5"/>
      <c r="O159" s="5"/>
      <c r="P159" s="5"/>
      <c r="Q159" s="5"/>
      <c r="R159" s="5"/>
    </row>
    <row r="160" spans="1:18">
      <c r="A160" s="4"/>
      <c r="B160" s="5"/>
      <c r="C160" s="4"/>
      <c r="D160" s="171"/>
      <c r="F160" s="5"/>
      <c r="G160" s="136"/>
      <c r="H160" s="5"/>
      <c r="I160" s="5"/>
      <c r="J160" s="5"/>
      <c r="K160" s="5"/>
      <c r="L160" s="5"/>
      <c r="M160" s="5"/>
      <c r="N160" s="5"/>
      <c r="O160" s="5"/>
      <c r="P160" s="5"/>
      <c r="Q160" s="5"/>
      <c r="R160" s="5"/>
    </row>
    <row r="161" spans="1:18">
      <c r="A161" s="4"/>
      <c r="B161" s="5"/>
      <c r="C161" s="4"/>
      <c r="D161" s="171"/>
      <c r="F161" s="5"/>
      <c r="G161" s="136"/>
      <c r="H161" s="5"/>
      <c r="I161" s="5"/>
      <c r="J161" s="5"/>
      <c r="K161" s="5"/>
      <c r="L161" s="5"/>
      <c r="M161" s="5"/>
      <c r="N161" s="5"/>
      <c r="O161" s="5"/>
      <c r="P161" s="5"/>
      <c r="Q161" s="5"/>
      <c r="R161" s="5"/>
    </row>
    <row r="162" spans="1:18">
      <c r="A162" s="4"/>
      <c r="B162" s="5"/>
      <c r="C162" s="4"/>
      <c r="D162" s="171"/>
      <c r="F162" s="5"/>
      <c r="G162" s="136"/>
      <c r="H162" s="5"/>
      <c r="I162" s="5"/>
      <c r="J162" s="5"/>
      <c r="K162" s="5"/>
      <c r="L162" s="5"/>
      <c r="M162" s="5"/>
      <c r="N162" s="5"/>
      <c r="O162" s="5"/>
      <c r="P162" s="5"/>
      <c r="Q162" s="5"/>
      <c r="R162" s="5"/>
    </row>
    <row r="163" spans="1:18">
      <c r="A163" s="4"/>
      <c r="B163" s="5"/>
      <c r="C163" s="4"/>
      <c r="D163" s="171"/>
      <c r="F163" s="5"/>
      <c r="G163" s="136"/>
      <c r="H163" s="5"/>
      <c r="I163" s="5"/>
      <c r="J163" s="5"/>
      <c r="K163" s="5"/>
      <c r="L163" s="5"/>
      <c r="M163" s="5"/>
      <c r="N163" s="5"/>
      <c r="O163" s="5"/>
      <c r="P163" s="5"/>
      <c r="Q163" s="5"/>
      <c r="R163" s="5"/>
    </row>
    <row r="164" spans="1:18">
      <c r="A164" s="4"/>
      <c r="B164" s="5"/>
      <c r="C164" s="4"/>
      <c r="D164" s="177"/>
      <c r="F164" s="5"/>
      <c r="G164" s="136"/>
      <c r="H164" s="5"/>
      <c r="I164" s="5"/>
      <c r="J164" s="5"/>
      <c r="K164" s="5"/>
      <c r="L164" s="5"/>
      <c r="M164" s="5"/>
      <c r="N164" s="5"/>
      <c r="O164" s="5"/>
      <c r="P164" s="5"/>
      <c r="Q164" s="5"/>
      <c r="R164" s="5"/>
    </row>
    <row r="165" spans="1:18">
      <c r="A165" s="4"/>
      <c r="B165" s="5"/>
      <c r="C165" s="4"/>
      <c r="D165" s="177"/>
      <c r="F165" s="5"/>
      <c r="G165" s="136"/>
      <c r="H165" s="5"/>
      <c r="I165" s="5"/>
      <c r="J165" s="5"/>
      <c r="K165" s="5"/>
      <c r="L165" s="5"/>
      <c r="M165" s="5"/>
      <c r="N165" s="5"/>
      <c r="O165" s="5"/>
      <c r="P165" s="5"/>
      <c r="Q165" s="5"/>
      <c r="R165" s="5"/>
    </row>
    <row r="166" spans="1:18">
      <c r="A166" s="4"/>
      <c r="B166" s="5"/>
      <c r="C166" s="4"/>
      <c r="D166" s="177"/>
      <c r="F166" s="5"/>
      <c r="H166" s="5"/>
      <c r="I166" s="5"/>
      <c r="J166" s="5"/>
      <c r="K166" s="5"/>
      <c r="L166" s="5"/>
      <c r="M166" s="5"/>
      <c r="N166" s="5"/>
      <c r="O166" s="5"/>
      <c r="P166" s="5"/>
      <c r="Q166" s="5"/>
      <c r="R166" s="5"/>
    </row>
    <row r="167" spans="1:18">
      <c r="A167" s="4"/>
      <c r="B167" s="5"/>
      <c r="C167" s="4"/>
      <c r="D167" s="177"/>
      <c r="F167" s="5"/>
      <c r="H167" s="5"/>
      <c r="I167" s="5"/>
      <c r="J167" s="5"/>
      <c r="K167" s="5"/>
      <c r="L167" s="5"/>
      <c r="M167" s="5"/>
      <c r="N167" s="5"/>
      <c r="O167" s="5"/>
      <c r="P167" s="5"/>
      <c r="Q167" s="5"/>
      <c r="R167" s="5"/>
    </row>
    <row r="168" spans="1:18">
      <c r="A168" s="4"/>
      <c r="B168" s="5"/>
      <c r="C168" s="4"/>
      <c r="D168" s="177"/>
      <c r="F168" s="5"/>
      <c r="H168" s="5"/>
      <c r="I168" s="5"/>
      <c r="J168" s="5"/>
      <c r="K168" s="5"/>
      <c r="L168" s="5"/>
      <c r="M168" s="5"/>
      <c r="N168" s="5"/>
      <c r="O168" s="5"/>
      <c r="P168" s="5"/>
      <c r="Q168" s="5"/>
      <c r="R168" s="5"/>
    </row>
    <row r="169" spans="1:18">
      <c r="A169" s="4"/>
      <c r="B169" s="5"/>
      <c r="C169" s="4"/>
      <c r="D169" s="177"/>
      <c r="F169" s="5"/>
      <c r="H169" s="5"/>
      <c r="I169" s="5"/>
      <c r="J169" s="5"/>
      <c r="K169" s="5"/>
      <c r="L169" s="5"/>
      <c r="M169" s="5"/>
      <c r="N169" s="5"/>
      <c r="O169" s="5"/>
      <c r="P169" s="5"/>
      <c r="Q169" s="5"/>
      <c r="R169" s="5"/>
    </row>
    <row r="170" spans="1:18">
      <c r="A170" s="4"/>
      <c r="B170" s="5"/>
      <c r="C170" s="4"/>
      <c r="D170" s="171"/>
      <c r="F170" s="5"/>
      <c r="H170" s="5"/>
      <c r="I170" s="5"/>
      <c r="J170" s="5"/>
      <c r="K170" s="5"/>
      <c r="L170" s="5"/>
      <c r="M170" s="5"/>
      <c r="N170" s="5"/>
      <c r="O170" s="5"/>
      <c r="P170" s="5"/>
      <c r="Q170" s="5"/>
      <c r="R170" s="5"/>
    </row>
    <row r="171" spans="1:18">
      <c r="A171" s="4"/>
      <c r="B171" s="5"/>
      <c r="C171" s="4"/>
      <c r="D171" s="171"/>
      <c r="F171" s="5"/>
      <c r="H171" s="5"/>
      <c r="I171" s="5"/>
      <c r="J171" s="5"/>
      <c r="K171" s="5"/>
      <c r="L171" s="5"/>
      <c r="M171" s="5"/>
      <c r="N171" s="5"/>
      <c r="O171" s="5"/>
      <c r="P171" s="5"/>
      <c r="Q171" s="5"/>
      <c r="R171" s="5"/>
    </row>
    <row r="172" spans="1:18">
      <c r="A172" s="4"/>
      <c r="B172" s="5"/>
      <c r="C172" s="4"/>
      <c r="D172" s="171"/>
      <c r="F172" s="5"/>
      <c r="H172" s="5"/>
      <c r="I172" s="5"/>
      <c r="J172" s="5"/>
      <c r="K172" s="5"/>
      <c r="L172" s="5"/>
      <c r="M172" s="5"/>
      <c r="N172" s="5"/>
      <c r="O172" s="5"/>
      <c r="P172" s="5"/>
      <c r="Q172" s="5"/>
      <c r="R172" s="5"/>
    </row>
    <row r="173" spans="1:18">
      <c r="A173" s="4"/>
      <c r="B173" s="5"/>
      <c r="C173" s="4"/>
      <c r="D173" s="171"/>
      <c r="F173" s="5"/>
      <c r="H173" s="5"/>
      <c r="I173" s="5"/>
      <c r="J173" s="5"/>
      <c r="K173" s="5"/>
      <c r="L173" s="5"/>
      <c r="M173" s="5"/>
      <c r="N173" s="5"/>
      <c r="O173" s="5"/>
      <c r="P173" s="5"/>
      <c r="Q173" s="5"/>
      <c r="R173" s="5"/>
    </row>
    <row r="174" spans="1:18">
      <c r="A174" s="4"/>
      <c r="B174" s="5"/>
      <c r="C174" s="4"/>
      <c r="D174" s="171"/>
      <c r="F174" s="5"/>
      <c r="H174" s="5"/>
      <c r="I174" s="5"/>
      <c r="J174" s="5"/>
      <c r="K174" s="5"/>
      <c r="L174" s="5"/>
      <c r="M174" s="5"/>
      <c r="N174" s="5"/>
      <c r="O174" s="5"/>
      <c r="P174" s="5"/>
      <c r="Q174" s="5"/>
      <c r="R174" s="5"/>
    </row>
    <row r="175" spans="1:18">
      <c r="A175" s="4"/>
      <c r="B175" s="5"/>
      <c r="C175" s="4"/>
      <c r="D175" s="171"/>
      <c r="F175" s="5"/>
      <c r="H175" s="5"/>
      <c r="I175" s="5"/>
      <c r="J175" s="5"/>
      <c r="K175" s="5"/>
      <c r="L175" s="5"/>
      <c r="M175" s="5"/>
      <c r="N175" s="5"/>
      <c r="O175" s="5"/>
      <c r="P175" s="5"/>
      <c r="Q175" s="5"/>
      <c r="R175" s="5"/>
    </row>
    <row r="176" spans="1:18">
      <c r="A176" s="4"/>
      <c r="B176" s="5"/>
      <c r="C176" s="4"/>
      <c r="D176" s="171"/>
      <c r="F176" s="5"/>
      <c r="H176" s="5"/>
      <c r="I176" s="5"/>
      <c r="J176" s="5"/>
      <c r="K176" s="5"/>
      <c r="L176" s="5"/>
      <c r="M176" s="5"/>
      <c r="N176" s="5"/>
      <c r="O176" s="5"/>
      <c r="P176" s="5"/>
      <c r="Q176" s="5"/>
      <c r="R176" s="5"/>
    </row>
    <row r="177" spans="1:18">
      <c r="A177" s="4"/>
      <c r="B177" s="5"/>
      <c r="C177" s="4"/>
      <c r="D177" s="171"/>
      <c r="F177" s="5"/>
      <c r="H177" s="5"/>
      <c r="I177" s="5"/>
      <c r="J177" s="5"/>
      <c r="K177" s="5"/>
      <c r="L177" s="5"/>
      <c r="M177" s="5"/>
      <c r="N177" s="5"/>
      <c r="O177" s="5"/>
      <c r="P177" s="5"/>
      <c r="Q177" s="5"/>
      <c r="R177" s="5"/>
    </row>
    <row r="178" spans="1:18">
      <c r="A178" s="4"/>
      <c r="B178" s="5"/>
      <c r="C178" s="4"/>
      <c r="D178" s="171"/>
      <c r="F178" s="5"/>
      <c r="H178" s="5"/>
      <c r="I178" s="5"/>
      <c r="J178" s="5"/>
      <c r="K178" s="5"/>
      <c r="L178" s="5"/>
      <c r="M178" s="5"/>
      <c r="N178" s="5"/>
      <c r="O178" s="5"/>
      <c r="P178" s="5"/>
      <c r="Q178" s="5"/>
      <c r="R178" s="5"/>
    </row>
    <row r="179" spans="1:18">
      <c r="A179" s="4"/>
      <c r="B179" s="5"/>
      <c r="C179" s="4"/>
      <c r="D179" s="171"/>
      <c r="F179" s="5"/>
      <c r="H179" s="5"/>
      <c r="I179" s="5"/>
      <c r="J179" s="5"/>
      <c r="K179" s="5"/>
      <c r="L179" s="5"/>
      <c r="M179" s="5"/>
      <c r="N179" s="5"/>
      <c r="O179" s="5"/>
      <c r="P179" s="5"/>
      <c r="Q179" s="5"/>
      <c r="R179" s="5"/>
    </row>
    <row r="180" spans="1:18">
      <c r="A180" s="4"/>
      <c r="B180" s="5"/>
      <c r="C180" s="4"/>
      <c r="D180" s="171"/>
      <c r="F180" s="5"/>
      <c r="H180" s="5"/>
      <c r="I180" s="5"/>
      <c r="J180" s="5"/>
      <c r="K180" s="5"/>
      <c r="L180" s="5"/>
      <c r="M180" s="5"/>
      <c r="N180" s="5"/>
      <c r="O180" s="5"/>
      <c r="P180" s="5"/>
      <c r="Q180" s="5"/>
      <c r="R180" s="5"/>
    </row>
    <row r="181" spans="1:18">
      <c r="A181" s="4"/>
      <c r="B181" s="5"/>
      <c r="C181" s="4"/>
      <c r="D181" s="171"/>
      <c r="F181" s="5"/>
      <c r="H181" s="5"/>
      <c r="I181" s="5"/>
      <c r="J181" s="5"/>
      <c r="K181" s="5"/>
      <c r="L181" s="5"/>
      <c r="M181" s="5"/>
      <c r="N181" s="5"/>
      <c r="O181" s="5"/>
      <c r="P181" s="5"/>
      <c r="Q181" s="5"/>
      <c r="R181" s="5"/>
    </row>
    <row r="182" spans="1:18">
      <c r="A182" s="4"/>
      <c r="B182" s="5"/>
      <c r="C182" s="4"/>
      <c r="D182" s="171"/>
      <c r="F182" s="5"/>
      <c r="H182" s="5"/>
      <c r="I182" s="5"/>
      <c r="J182" s="5"/>
      <c r="K182" s="5"/>
      <c r="L182" s="5"/>
      <c r="M182" s="5"/>
      <c r="N182" s="5"/>
      <c r="O182" s="5"/>
      <c r="P182" s="5"/>
      <c r="Q182" s="5"/>
      <c r="R182" s="5"/>
    </row>
    <row r="183" spans="1:18">
      <c r="A183" s="4"/>
      <c r="B183" s="5"/>
      <c r="C183" s="4"/>
      <c r="D183" s="171"/>
      <c r="F183" s="5"/>
      <c r="H183" s="5"/>
      <c r="I183" s="5"/>
      <c r="J183" s="5"/>
      <c r="K183" s="5"/>
      <c r="L183" s="5"/>
      <c r="M183" s="5"/>
      <c r="N183" s="5"/>
      <c r="O183" s="5"/>
      <c r="P183" s="5"/>
      <c r="Q183" s="5"/>
      <c r="R183" s="5"/>
    </row>
    <row r="184" spans="1:18">
      <c r="A184" s="4"/>
      <c r="B184" s="5"/>
      <c r="C184" s="4"/>
      <c r="D184" s="171"/>
      <c r="F184" s="5"/>
      <c r="H184" s="5"/>
      <c r="I184" s="5"/>
      <c r="J184" s="5"/>
      <c r="K184" s="5"/>
      <c r="L184" s="5"/>
      <c r="M184" s="5"/>
      <c r="N184" s="5"/>
      <c r="O184" s="5"/>
      <c r="P184" s="5"/>
      <c r="Q184" s="5"/>
      <c r="R184" s="5"/>
    </row>
    <row r="185" spans="1:18">
      <c r="A185" s="4"/>
      <c r="B185" s="5"/>
      <c r="C185" s="4"/>
      <c r="D185" s="171"/>
      <c r="F185" s="5"/>
      <c r="H185" s="5"/>
      <c r="I185" s="5"/>
      <c r="J185" s="5"/>
      <c r="K185" s="5"/>
      <c r="L185" s="5"/>
      <c r="M185" s="5"/>
      <c r="N185" s="5"/>
      <c r="O185" s="5"/>
      <c r="P185" s="5"/>
      <c r="Q185" s="5"/>
      <c r="R185" s="5"/>
    </row>
    <row r="186" spans="1:18">
      <c r="A186" s="4"/>
      <c r="B186" s="5"/>
      <c r="C186" s="4"/>
      <c r="D186" s="171"/>
      <c r="F186" s="5"/>
      <c r="H186" s="5"/>
      <c r="I186" s="5"/>
      <c r="J186" s="5"/>
      <c r="K186" s="5"/>
      <c r="L186" s="5"/>
      <c r="M186" s="5"/>
      <c r="N186" s="5"/>
      <c r="O186" s="5"/>
      <c r="P186" s="5"/>
      <c r="Q186" s="5"/>
      <c r="R186" s="5"/>
    </row>
    <row r="187" spans="1:18">
      <c r="A187" s="4"/>
      <c r="B187" s="5"/>
      <c r="C187" s="4"/>
      <c r="D187" s="171"/>
      <c r="F187" s="5"/>
      <c r="G187" s="136"/>
      <c r="H187" s="5"/>
      <c r="I187" s="5"/>
      <c r="J187" s="5"/>
      <c r="K187" s="5"/>
      <c r="L187" s="5"/>
      <c r="M187" s="5"/>
      <c r="N187" s="5"/>
      <c r="O187" s="5"/>
      <c r="P187" s="5"/>
      <c r="Q187" s="5"/>
      <c r="R187" s="5"/>
    </row>
    <row r="188" spans="1:18">
      <c r="A188" s="4"/>
      <c r="B188" s="5"/>
      <c r="C188" s="4"/>
      <c r="D188" s="171"/>
      <c r="F188" s="5"/>
      <c r="G188" s="136"/>
      <c r="H188" s="5"/>
      <c r="I188" s="5"/>
      <c r="J188" s="5"/>
      <c r="K188" s="5"/>
      <c r="L188" s="5"/>
      <c r="M188" s="5"/>
      <c r="N188" s="5"/>
      <c r="O188" s="5"/>
      <c r="P188" s="5"/>
      <c r="Q188" s="5"/>
      <c r="R188" s="5"/>
    </row>
    <row r="189" spans="1:18">
      <c r="A189" s="4"/>
      <c r="B189" s="5"/>
      <c r="C189" s="4"/>
      <c r="D189" s="171"/>
      <c r="F189" s="5"/>
      <c r="G189" s="136"/>
      <c r="H189" s="5"/>
      <c r="I189" s="5"/>
      <c r="J189" s="5"/>
      <c r="K189" s="5"/>
      <c r="L189" s="5"/>
      <c r="M189" s="5"/>
      <c r="N189" s="5"/>
      <c r="O189" s="5"/>
      <c r="P189" s="5"/>
      <c r="Q189" s="5"/>
      <c r="R189" s="5"/>
    </row>
    <row r="190" spans="1:18">
      <c r="A190" s="4"/>
      <c r="B190" s="5"/>
      <c r="C190" s="4"/>
      <c r="D190" s="171"/>
      <c r="F190" s="5"/>
      <c r="G190" s="136"/>
      <c r="H190" s="5"/>
      <c r="I190" s="5"/>
      <c r="J190" s="5"/>
      <c r="K190" s="5"/>
      <c r="L190" s="5"/>
      <c r="M190" s="5"/>
      <c r="N190" s="5"/>
      <c r="O190" s="5"/>
      <c r="P190" s="5"/>
      <c r="Q190" s="5"/>
      <c r="R190" s="5"/>
    </row>
    <row r="191" spans="1:18">
      <c r="A191" s="4"/>
      <c r="B191" s="5"/>
      <c r="C191" s="4"/>
      <c r="D191" s="171"/>
      <c r="F191" s="5"/>
      <c r="G191" s="136"/>
      <c r="H191" s="5"/>
      <c r="I191" s="5"/>
      <c r="J191" s="5"/>
      <c r="K191" s="5"/>
      <c r="L191" s="5"/>
      <c r="M191" s="5"/>
      <c r="N191" s="5"/>
      <c r="O191" s="5"/>
      <c r="P191" s="5"/>
      <c r="Q191" s="5"/>
      <c r="R191" s="5"/>
    </row>
    <row r="192" spans="1:18">
      <c r="A192" s="4"/>
      <c r="B192" s="5"/>
      <c r="C192" s="4"/>
      <c r="D192" s="171"/>
      <c r="F192" s="5"/>
      <c r="H192" s="5"/>
      <c r="I192" s="5"/>
      <c r="J192" s="5"/>
      <c r="K192" s="5"/>
      <c r="L192" s="5"/>
      <c r="M192" s="5"/>
      <c r="N192" s="5"/>
      <c r="O192" s="5"/>
      <c r="P192" s="5"/>
      <c r="Q192" s="5"/>
      <c r="R192" s="5"/>
    </row>
    <row r="193" spans="1:18">
      <c r="A193" s="4"/>
      <c r="B193" s="5"/>
      <c r="C193" s="4"/>
      <c r="D193" s="171"/>
      <c r="F193" s="5"/>
      <c r="G193" s="136"/>
      <c r="H193" s="5"/>
      <c r="I193" s="5"/>
      <c r="J193" s="5"/>
      <c r="K193" s="5"/>
      <c r="L193" s="5"/>
      <c r="M193" s="5"/>
      <c r="N193" s="5"/>
      <c r="O193" s="5"/>
      <c r="P193" s="5"/>
      <c r="Q193" s="5"/>
      <c r="R193" s="5"/>
    </row>
    <row r="194" spans="1:18">
      <c r="A194" s="4"/>
      <c r="B194" s="5"/>
      <c r="C194" s="4"/>
      <c r="D194" s="171"/>
      <c r="F194" s="5"/>
      <c r="G194" s="136"/>
      <c r="H194" s="5"/>
      <c r="I194" s="5"/>
      <c r="J194" s="5"/>
      <c r="K194" s="5"/>
      <c r="L194" s="5"/>
      <c r="M194" s="5"/>
      <c r="N194" s="5"/>
      <c r="O194" s="5"/>
      <c r="P194" s="5"/>
      <c r="Q194" s="5"/>
      <c r="R194" s="5"/>
    </row>
    <row r="195" spans="1:18">
      <c r="A195" s="4"/>
      <c r="B195" s="5"/>
      <c r="C195" s="4"/>
      <c r="D195" s="171"/>
      <c r="F195" s="5"/>
      <c r="G195" s="136"/>
      <c r="H195" s="5"/>
      <c r="I195" s="5"/>
      <c r="J195" s="5"/>
      <c r="K195" s="5"/>
      <c r="L195" s="5"/>
      <c r="M195" s="5"/>
      <c r="N195" s="5"/>
      <c r="O195" s="5"/>
      <c r="P195" s="5"/>
      <c r="Q195" s="5"/>
      <c r="R195" s="5"/>
    </row>
    <row r="196" spans="1:18">
      <c r="A196" s="4"/>
      <c r="B196" s="5"/>
      <c r="C196" s="4"/>
      <c r="D196" s="171"/>
      <c r="F196" s="5"/>
      <c r="G196" s="136"/>
      <c r="H196" s="5"/>
      <c r="I196" s="5"/>
      <c r="J196" s="5"/>
      <c r="K196" s="5"/>
      <c r="L196" s="5"/>
      <c r="M196" s="5"/>
      <c r="N196" s="5"/>
      <c r="O196" s="5"/>
      <c r="P196" s="5"/>
      <c r="Q196" s="5"/>
      <c r="R196" s="5"/>
    </row>
    <row r="197" spans="1:18">
      <c r="A197" s="4"/>
      <c r="B197" s="5"/>
      <c r="C197" s="4"/>
      <c r="D197" s="171"/>
      <c r="F197" s="5"/>
      <c r="G197" s="136"/>
      <c r="H197" s="5"/>
      <c r="I197" s="5"/>
      <c r="J197" s="5"/>
      <c r="K197" s="5"/>
      <c r="L197" s="5"/>
      <c r="M197" s="5"/>
      <c r="N197" s="5"/>
      <c r="O197" s="5"/>
      <c r="P197" s="5"/>
      <c r="Q197" s="5"/>
      <c r="R197" s="5"/>
    </row>
    <row r="198" spans="1:18">
      <c r="A198" s="4"/>
      <c r="B198" s="5"/>
      <c r="C198" s="4"/>
      <c r="D198" s="171"/>
      <c r="F198" s="5"/>
      <c r="G198" s="136"/>
      <c r="H198" s="5"/>
      <c r="I198" s="5"/>
      <c r="J198" s="5"/>
      <c r="K198" s="5"/>
      <c r="L198" s="5"/>
      <c r="M198" s="5"/>
      <c r="N198" s="5"/>
      <c r="O198" s="5"/>
      <c r="P198" s="5"/>
      <c r="Q198" s="5"/>
      <c r="R198" s="5"/>
    </row>
    <row r="199" spans="1:18">
      <c r="A199" s="4"/>
      <c r="B199" s="5"/>
      <c r="C199" s="4"/>
      <c r="D199" s="171"/>
      <c r="F199" s="5"/>
      <c r="G199" s="136"/>
      <c r="H199" s="5"/>
      <c r="I199" s="5"/>
      <c r="J199" s="5"/>
      <c r="K199" s="5"/>
      <c r="L199" s="5"/>
      <c r="M199" s="5"/>
      <c r="N199" s="5"/>
      <c r="O199" s="5"/>
      <c r="P199" s="5"/>
      <c r="Q199" s="5"/>
      <c r="R199" s="5"/>
    </row>
    <row r="200" spans="1:18">
      <c r="A200" s="4"/>
      <c r="B200" s="5"/>
      <c r="C200" s="4"/>
      <c r="D200" s="171"/>
      <c r="F200" s="5"/>
      <c r="G200" s="136"/>
      <c r="H200" s="5"/>
      <c r="I200" s="5"/>
      <c r="J200" s="5"/>
      <c r="K200" s="5"/>
      <c r="L200" s="5"/>
      <c r="M200" s="5"/>
      <c r="N200" s="5"/>
      <c r="O200" s="5"/>
      <c r="P200" s="5"/>
      <c r="Q200" s="5"/>
      <c r="R200" s="5"/>
    </row>
    <row r="201" spans="1:18">
      <c r="A201" s="4"/>
      <c r="B201" s="5"/>
      <c r="C201" s="4"/>
      <c r="D201" s="171"/>
      <c r="F201" s="5"/>
      <c r="G201" s="136"/>
      <c r="H201" s="5"/>
      <c r="I201" s="5"/>
      <c r="J201" s="5"/>
      <c r="K201" s="5"/>
      <c r="L201" s="5"/>
      <c r="M201" s="5"/>
      <c r="N201" s="5"/>
      <c r="O201" s="5"/>
      <c r="P201" s="5"/>
      <c r="Q201" s="5"/>
      <c r="R201" s="5"/>
    </row>
    <row r="202" spans="1:18">
      <c r="A202" s="4"/>
      <c r="B202" s="5"/>
      <c r="C202" s="4"/>
      <c r="D202" s="171"/>
      <c r="F202" s="5"/>
      <c r="G202" s="136"/>
      <c r="H202" s="5"/>
      <c r="I202" s="5"/>
      <c r="J202" s="5"/>
      <c r="K202" s="5"/>
      <c r="L202" s="5"/>
      <c r="M202" s="5"/>
      <c r="N202" s="5"/>
      <c r="O202" s="5"/>
      <c r="P202" s="5"/>
      <c r="Q202" s="5"/>
      <c r="R202" s="5"/>
    </row>
    <row r="203" spans="1:18">
      <c r="A203" s="4"/>
      <c r="B203" s="5"/>
      <c r="C203" s="4"/>
      <c r="D203" s="171"/>
      <c r="F203" s="5"/>
      <c r="G203" s="136"/>
      <c r="H203" s="5"/>
      <c r="I203" s="5"/>
      <c r="J203" s="5"/>
      <c r="K203" s="5"/>
      <c r="L203" s="5"/>
      <c r="M203" s="5"/>
      <c r="N203" s="5"/>
      <c r="O203" s="5"/>
      <c r="P203" s="5"/>
      <c r="Q203" s="5"/>
      <c r="R203" s="5"/>
    </row>
    <row r="204" spans="1:18">
      <c r="A204" s="4"/>
      <c r="B204" s="5"/>
      <c r="C204" s="4"/>
      <c r="D204" s="171"/>
      <c r="F204" s="5"/>
      <c r="G204" s="136"/>
      <c r="H204" s="5"/>
      <c r="I204" s="5"/>
      <c r="J204" s="5"/>
      <c r="K204" s="5"/>
      <c r="L204" s="5"/>
      <c r="M204" s="5"/>
      <c r="N204" s="5"/>
      <c r="O204" s="5"/>
      <c r="P204" s="5"/>
      <c r="Q204" s="5"/>
      <c r="R204" s="5"/>
    </row>
    <row r="205" spans="1:18">
      <c r="A205" s="4"/>
      <c r="B205" s="5"/>
      <c r="C205" s="4"/>
      <c r="D205" s="171"/>
      <c r="F205" s="5"/>
      <c r="G205" s="136"/>
      <c r="H205" s="5"/>
      <c r="I205" s="5"/>
      <c r="J205" s="5"/>
      <c r="K205" s="5"/>
      <c r="L205" s="5"/>
      <c r="M205" s="5"/>
      <c r="N205" s="5"/>
      <c r="O205" s="5"/>
      <c r="P205" s="5"/>
      <c r="Q205" s="5"/>
      <c r="R205" s="5"/>
    </row>
    <row r="206" spans="1:18">
      <c r="A206" s="4"/>
      <c r="B206" s="5"/>
      <c r="C206" s="4"/>
      <c r="D206" s="171"/>
      <c r="F206" s="5"/>
      <c r="G206" s="136"/>
      <c r="H206" s="5"/>
      <c r="I206" s="5"/>
      <c r="J206" s="5"/>
      <c r="K206" s="5"/>
      <c r="L206" s="5"/>
      <c r="M206" s="5"/>
      <c r="N206" s="5"/>
      <c r="O206" s="5"/>
      <c r="P206" s="5"/>
      <c r="Q206" s="5"/>
      <c r="R206" s="5"/>
    </row>
    <row r="207" spans="1:18">
      <c r="A207" s="4"/>
      <c r="B207" s="5"/>
      <c r="C207" s="4"/>
      <c r="D207" s="171"/>
      <c r="F207" s="5"/>
      <c r="H207" s="5"/>
      <c r="I207" s="5"/>
      <c r="J207" s="5"/>
      <c r="K207" s="5"/>
      <c r="L207" s="5"/>
      <c r="M207" s="5"/>
      <c r="N207" s="5"/>
      <c r="O207" s="5"/>
      <c r="P207" s="5"/>
      <c r="Q207" s="5"/>
      <c r="R207" s="5"/>
    </row>
    <row r="208" spans="1:18">
      <c r="A208" s="4"/>
      <c r="B208" s="5"/>
      <c r="C208" s="4"/>
      <c r="D208" s="171"/>
      <c r="F208" s="5"/>
      <c r="H208" s="5"/>
      <c r="I208" s="5"/>
      <c r="J208" s="5"/>
      <c r="K208" s="5"/>
      <c r="L208" s="5"/>
      <c r="M208" s="5"/>
      <c r="N208" s="5"/>
      <c r="O208" s="5"/>
      <c r="P208" s="5"/>
      <c r="Q208" s="5"/>
      <c r="R208" s="5"/>
    </row>
    <row r="209" spans="1:18">
      <c r="A209" s="4"/>
      <c r="B209" s="5"/>
      <c r="C209" s="4"/>
      <c r="D209" s="171"/>
      <c r="F209" s="5"/>
      <c r="G209" s="136"/>
      <c r="H209" s="5"/>
      <c r="I209" s="5"/>
      <c r="J209" s="5"/>
      <c r="K209" s="5"/>
      <c r="L209" s="5"/>
      <c r="M209" s="5"/>
      <c r="N209" s="5"/>
      <c r="O209" s="5"/>
      <c r="P209" s="5"/>
      <c r="Q209" s="5"/>
      <c r="R209" s="5"/>
    </row>
    <row r="210" spans="1:18">
      <c r="A210" s="4"/>
      <c r="B210" s="5"/>
      <c r="C210" s="4"/>
      <c r="D210" s="171"/>
      <c r="F210" s="5"/>
      <c r="G210" s="136"/>
      <c r="H210" s="5"/>
      <c r="I210" s="5"/>
      <c r="J210" s="5"/>
      <c r="K210" s="5"/>
      <c r="L210" s="5"/>
      <c r="M210" s="5"/>
      <c r="N210" s="5"/>
      <c r="O210" s="5"/>
      <c r="P210" s="5"/>
      <c r="Q210" s="5"/>
      <c r="R210" s="5"/>
    </row>
    <row r="211" spans="1:18">
      <c r="A211" s="4"/>
      <c r="B211" s="5"/>
      <c r="C211" s="4"/>
      <c r="D211" s="171"/>
      <c r="F211" s="5"/>
      <c r="G211" s="136"/>
      <c r="H211" s="5"/>
      <c r="I211" s="5"/>
      <c r="J211" s="5"/>
      <c r="K211" s="5"/>
      <c r="L211" s="5"/>
      <c r="M211" s="5"/>
      <c r="N211" s="5"/>
      <c r="O211" s="5"/>
      <c r="P211" s="5"/>
      <c r="Q211" s="5"/>
      <c r="R211" s="5"/>
    </row>
    <row r="212" spans="1:18">
      <c r="A212" s="4"/>
      <c r="B212" s="5"/>
      <c r="C212" s="4"/>
      <c r="D212" s="171"/>
      <c r="F212" s="5"/>
      <c r="G212" s="136"/>
      <c r="H212" s="5"/>
      <c r="I212" s="5"/>
      <c r="J212" s="5"/>
      <c r="K212" s="5"/>
      <c r="L212" s="5"/>
      <c r="M212" s="5"/>
      <c r="N212" s="5"/>
      <c r="O212" s="5"/>
      <c r="P212" s="5"/>
      <c r="Q212" s="5"/>
      <c r="R212" s="5"/>
    </row>
    <row r="213" spans="1:18">
      <c r="A213" s="4"/>
      <c r="B213" s="5"/>
      <c r="C213" s="4"/>
      <c r="D213" s="171"/>
      <c r="F213" s="5"/>
      <c r="G213" s="173"/>
      <c r="H213" s="5"/>
      <c r="I213" s="5"/>
      <c r="J213" s="5"/>
      <c r="K213" s="5"/>
      <c r="L213" s="5"/>
      <c r="M213" s="5"/>
      <c r="N213" s="5"/>
      <c r="O213" s="5"/>
      <c r="P213" s="5"/>
      <c r="Q213" s="5"/>
      <c r="R213" s="5"/>
    </row>
    <row r="214" spans="1:18">
      <c r="A214" s="4"/>
      <c r="B214" s="5"/>
      <c r="C214" s="4"/>
      <c r="D214" s="171"/>
      <c r="F214" s="5"/>
      <c r="G214" s="173"/>
      <c r="H214" s="5"/>
      <c r="I214" s="5"/>
      <c r="J214" s="5"/>
      <c r="K214" s="5"/>
      <c r="L214" s="5"/>
      <c r="M214" s="5"/>
      <c r="N214" s="5"/>
      <c r="O214" s="5"/>
      <c r="P214" s="5"/>
      <c r="Q214" s="5"/>
      <c r="R214" s="5"/>
    </row>
    <row r="215" spans="1:18">
      <c r="A215" s="4"/>
      <c r="B215" s="5"/>
      <c r="C215" s="4"/>
      <c r="D215" s="171"/>
      <c r="F215" s="5"/>
      <c r="G215" s="173"/>
      <c r="H215" s="5"/>
      <c r="I215" s="5"/>
      <c r="J215" s="5"/>
      <c r="K215" s="5"/>
      <c r="L215" s="5"/>
      <c r="M215" s="5"/>
      <c r="N215" s="5"/>
      <c r="O215" s="5"/>
      <c r="P215" s="5"/>
      <c r="Q215" s="5"/>
      <c r="R215" s="5"/>
    </row>
    <row r="216" spans="1:18">
      <c r="A216" s="4"/>
      <c r="B216" s="5"/>
      <c r="C216" s="4"/>
      <c r="D216" s="171"/>
      <c r="F216" s="5"/>
      <c r="G216" s="173"/>
      <c r="H216" s="5"/>
      <c r="I216" s="5"/>
      <c r="J216" s="5"/>
      <c r="K216" s="5"/>
      <c r="L216" s="5"/>
      <c r="M216" s="5"/>
      <c r="N216" s="5"/>
      <c r="O216" s="5"/>
      <c r="P216" s="5"/>
      <c r="Q216" s="5"/>
      <c r="R216" s="5"/>
    </row>
    <row r="217" spans="1:18">
      <c r="A217" s="4"/>
      <c r="B217" s="5"/>
      <c r="C217" s="4"/>
      <c r="D217" s="171"/>
      <c r="F217" s="5"/>
      <c r="G217" s="173"/>
      <c r="H217" s="5"/>
      <c r="I217" s="5"/>
      <c r="J217" s="5"/>
      <c r="K217" s="5"/>
      <c r="L217" s="5"/>
      <c r="M217" s="5"/>
      <c r="N217" s="5"/>
      <c r="O217" s="5"/>
      <c r="P217" s="5"/>
      <c r="Q217" s="5"/>
      <c r="R217" s="5"/>
    </row>
    <row r="218" spans="1:18">
      <c r="A218" s="4"/>
      <c r="B218" s="5"/>
      <c r="C218" s="4"/>
      <c r="D218" s="171"/>
      <c r="F218" s="5"/>
      <c r="G218" s="173"/>
      <c r="H218" s="5"/>
      <c r="I218" s="5"/>
      <c r="J218" s="5"/>
      <c r="K218" s="5"/>
      <c r="L218" s="5"/>
      <c r="M218" s="5"/>
      <c r="N218" s="5"/>
      <c r="O218" s="5"/>
      <c r="P218" s="5"/>
      <c r="Q218" s="5"/>
      <c r="R218" s="5"/>
    </row>
    <row r="219" spans="1:18">
      <c r="A219" s="4"/>
      <c r="B219" s="5"/>
      <c r="C219" s="4"/>
      <c r="D219" s="171"/>
      <c r="F219" s="5"/>
      <c r="G219" s="173"/>
      <c r="H219" s="5"/>
      <c r="I219" s="5"/>
      <c r="J219" s="5"/>
      <c r="K219" s="5"/>
      <c r="L219" s="5"/>
      <c r="M219" s="5"/>
      <c r="N219" s="5"/>
      <c r="O219" s="5"/>
      <c r="P219" s="5"/>
      <c r="Q219" s="5"/>
      <c r="R219" s="5"/>
    </row>
    <row r="220" spans="1:18">
      <c r="A220" s="4"/>
      <c r="B220" s="5"/>
      <c r="C220" s="4"/>
      <c r="D220" s="171"/>
      <c r="F220" s="5"/>
      <c r="G220" s="173"/>
      <c r="H220" s="5"/>
      <c r="I220" s="5"/>
      <c r="J220" s="5"/>
      <c r="K220" s="5"/>
      <c r="L220" s="5"/>
      <c r="M220" s="5"/>
      <c r="N220" s="5"/>
      <c r="O220" s="5"/>
      <c r="P220" s="5"/>
      <c r="Q220" s="5"/>
      <c r="R220" s="5"/>
    </row>
    <row r="221" spans="1:18">
      <c r="A221" s="4"/>
      <c r="B221" s="5"/>
      <c r="C221" s="4"/>
      <c r="D221" s="171"/>
      <c r="F221" s="5"/>
      <c r="G221" s="173"/>
      <c r="H221" s="5"/>
      <c r="I221" s="5"/>
      <c r="J221" s="5"/>
      <c r="K221" s="5"/>
      <c r="L221" s="5"/>
      <c r="M221" s="5"/>
      <c r="N221" s="5"/>
      <c r="O221" s="5"/>
      <c r="P221" s="5"/>
      <c r="Q221" s="5"/>
      <c r="R221" s="5"/>
    </row>
    <row r="222" spans="1:18">
      <c r="A222" s="4"/>
      <c r="B222" s="5"/>
      <c r="C222" s="4"/>
      <c r="D222" s="171"/>
      <c r="F222" s="5"/>
      <c r="G222" s="136"/>
      <c r="H222" s="5"/>
      <c r="I222" s="5"/>
      <c r="J222" s="5"/>
      <c r="K222" s="5"/>
      <c r="L222" s="5"/>
      <c r="M222" s="5"/>
      <c r="N222" s="5"/>
      <c r="O222" s="5"/>
      <c r="P222" s="5"/>
      <c r="Q222" s="5"/>
      <c r="R222" s="5"/>
    </row>
    <row r="223" spans="1:18">
      <c r="A223" s="4"/>
      <c r="B223" s="5"/>
      <c r="C223" s="4"/>
      <c r="D223" s="171"/>
      <c r="F223" s="5"/>
      <c r="G223" s="136"/>
      <c r="H223" s="5"/>
      <c r="I223" s="5"/>
      <c r="J223" s="5"/>
      <c r="K223" s="5"/>
      <c r="L223" s="5"/>
      <c r="M223" s="5"/>
      <c r="N223" s="5"/>
      <c r="O223" s="5"/>
      <c r="P223" s="5"/>
      <c r="Q223" s="5"/>
      <c r="R223" s="5"/>
    </row>
    <row r="224" spans="1:18">
      <c r="A224" s="4"/>
      <c r="B224" s="5"/>
      <c r="C224" s="4"/>
      <c r="D224" s="171"/>
      <c r="F224" s="5"/>
      <c r="G224" s="136"/>
      <c r="H224" s="5"/>
      <c r="I224" s="5"/>
      <c r="J224" s="5"/>
      <c r="K224" s="5"/>
      <c r="L224" s="5"/>
      <c r="M224" s="5"/>
      <c r="N224" s="5"/>
      <c r="O224" s="5"/>
      <c r="P224" s="5"/>
      <c r="Q224" s="5"/>
      <c r="R224" s="5"/>
    </row>
    <row r="225" spans="1:18">
      <c r="A225" s="4"/>
      <c r="B225" s="5"/>
      <c r="C225" s="4"/>
      <c r="D225" s="171"/>
      <c r="F225" s="5"/>
      <c r="H225" s="5"/>
      <c r="I225" s="5"/>
      <c r="J225" s="5"/>
      <c r="K225" s="5"/>
      <c r="L225" s="5"/>
      <c r="M225" s="5"/>
      <c r="N225" s="5"/>
      <c r="O225" s="5"/>
      <c r="P225" s="5"/>
      <c r="Q225" s="5"/>
      <c r="R225" s="5"/>
    </row>
    <row r="226" spans="1:18">
      <c r="A226" s="4"/>
      <c r="B226" s="5"/>
      <c r="C226" s="4"/>
      <c r="D226" s="171"/>
      <c r="F226" s="5"/>
      <c r="G226" s="168"/>
      <c r="H226" s="5"/>
      <c r="I226" s="5"/>
      <c r="J226" s="5"/>
      <c r="K226" s="5"/>
      <c r="L226" s="5"/>
      <c r="M226" s="5"/>
      <c r="N226" s="5"/>
      <c r="O226" s="5"/>
      <c r="P226" s="5"/>
      <c r="Q226" s="5"/>
      <c r="R226" s="5"/>
    </row>
    <row r="227" spans="1:18">
      <c r="A227" s="4"/>
      <c r="B227" s="5"/>
      <c r="C227" s="4"/>
      <c r="D227" s="171"/>
      <c r="F227" s="5"/>
      <c r="G227" s="168"/>
      <c r="H227" s="5"/>
      <c r="I227" s="5"/>
      <c r="J227" s="5"/>
      <c r="K227" s="5"/>
      <c r="L227" s="5"/>
      <c r="M227" s="5"/>
      <c r="N227" s="5"/>
      <c r="O227" s="5"/>
      <c r="P227" s="5"/>
      <c r="Q227" s="5"/>
      <c r="R227" s="5"/>
    </row>
    <row r="228" spans="1:18">
      <c r="A228" s="4"/>
      <c r="B228" s="5"/>
      <c r="C228" s="4"/>
      <c r="D228" s="171"/>
      <c r="F228" s="5"/>
      <c r="G228" s="168"/>
      <c r="H228" s="5"/>
      <c r="I228" s="5"/>
      <c r="J228" s="5"/>
      <c r="K228" s="5"/>
      <c r="L228" s="5"/>
      <c r="M228" s="5"/>
      <c r="N228" s="5"/>
      <c r="O228" s="5"/>
      <c r="P228" s="5"/>
      <c r="Q228" s="5"/>
      <c r="R228" s="5"/>
    </row>
    <row r="229" spans="1:18">
      <c r="A229" s="4"/>
      <c r="B229" s="5"/>
      <c r="C229" s="4"/>
      <c r="D229" s="171"/>
      <c r="F229" s="5"/>
      <c r="G229" s="168"/>
      <c r="H229" s="5"/>
      <c r="I229" s="5"/>
      <c r="J229" s="5"/>
      <c r="K229" s="5"/>
      <c r="L229" s="5"/>
      <c r="M229" s="5"/>
      <c r="N229" s="5"/>
      <c r="O229" s="5"/>
      <c r="P229" s="5"/>
      <c r="Q229" s="5"/>
      <c r="R229" s="5"/>
    </row>
    <row r="230" spans="1:18">
      <c r="A230" s="4"/>
      <c r="B230" s="5"/>
      <c r="C230" s="4"/>
      <c r="D230" s="171"/>
      <c r="F230" s="5"/>
      <c r="G230" s="168"/>
      <c r="H230" s="5"/>
      <c r="I230" s="5"/>
      <c r="J230" s="5"/>
      <c r="K230" s="5"/>
      <c r="L230" s="5"/>
      <c r="M230" s="5"/>
      <c r="N230" s="5"/>
      <c r="O230" s="5"/>
      <c r="P230" s="5"/>
      <c r="Q230" s="5"/>
      <c r="R230" s="5"/>
    </row>
    <row r="231" spans="1:18">
      <c r="A231" s="4"/>
      <c r="B231" s="5"/>
      <c r="C231" s="4"/>
      <c r="D231" s="171"/>
      <c r="F231" s="5"/>
      <c r="G231" s="168"/>
      <c r="H231" s="5"/>
      <c r="I231" s="5"/>
      <c r="J231" s="5"/>
      <c r="K231" s="5"/>
      <c r="L231" s="5"/>
      <c r="M231" s="5"/>
      <c r="N231" s="5"/>
      <c r="O231" s="5"/>
      <c r="P231" s="5"/>
      <c r="Q231" s="5"/>
      <c r="R231" s="5"/>
    </row>
    <row r="232" spans="1:18">
      <c r="A232" s="4"/>
      <c r="B232" s="5"/>
      <c r="C232" s="4"/>
      <c r="D232" s="171"/>
      <c r="F232" s="5"/>
      <c r="G232" s="168"/>
      <c r="H232" s="5"/>
      <c r="I232" s="5"/>
      <c r="J232" s="5"/>
      <c r="K232" s="5"/>
      <c r="L232" s="5"/>
      <c r="M232" s="5"/>
      <c r="N232" s="5"/>
      <c r="O232" s="5"/>
      <c r="P232" s="5"/>
      <c r="Q232" s="5"/>
      <c r="R232" s="5"/>
    </row>
    <row r="233" spans="1:18">
      <c r="A233" s="4"/>
      <c r="B233" s="5"/>
      <c r="C233" s="4"/>
      <c r="D233" s="171"/>
      <c r="F233" s="5"/>
      <c r="G233" s="136"/>
      <c r="H233" s="5"/>
      <c r="I233" s="5"/>
      <c r="J233" s="5"/>
      <c r="K233" s="5"/>
      <c r="L233" s="5"/>
      <c r="M233" s="5"/>
      <c r="N233" s="5"/>
      <c r="O233" s="5"/>
      <c r="P233" s="5"/>
      <c r="Q233" s="5"/>
      <c r="R233" s="5"/>
    </row>
    <row r="234" spans="1:18">
      <c r="A234" s="4"/>
      <c r="B234" s="5"/>
      <c r="C234" s="4"/>
      <c r="D234" s="171"/>
      <c r="F234" s="5"/>
      <c r="G234" s="136"/>
      <c r="H234" s="5"/>
      <c r="I234" s="5"/>
      <c r="J234" s="5"/>
      <c r="K234" s="5"/>
      <c r="L234" s="5"/>
      <c r="M234" s="5"/>
      <c r="N234" s="5"/>
      <c r="O234" s="5"/>
      <c r="P234" s="5"/>
      <c r="Q234" s="5"/>
      <c r="R234" s="5"/>
    </row>
    <row r="235" spans="1:18">
      <c r="A235" s="4"/>
      <c r="B235" s="5"/>
      <c r="C235" s="4"/>
      <c r="D235" s="171"/>
      <c r="F235" s="5"/>
      <c r="G235" s="136"/>
      <c r="H235" s="5"/>
      <c r="I235" s="5"/>
      <c r="J235" s="5"/>
      <c r="K235" s="5"/>
      <c r="L235" s="5"/>
      <c r="M235" s="5"/>
      <c r="N235" s="5"/>
      <c r="O235" s="5"/>
      <c r="P235" s="5"/>
      <c r="Q235" s="5"/>
      <c r="R235" s="5"/>
    </row>
    <row r="236" spans="1:18">
      <c r="A236" s="4"/>
      <c r="B236" s="5"/>
      <c r="C236" s="4"/>
      <c r="D236" s="171"/>
      <c r="F236" s="5"/>
      <c r="G236" s="136"/>
      <c r="H236" s="5"/>
      <c r="I236" s="5"/>
      <c r="J236" s="5"/>
      <c r="K236" s="5"/>
      <c r="L236" s="5"/>
      <c r="M236" s="5"/>
      <c r="N236" s="5"/>
      <c r="O236" s="5"/>
      <c r="P236" s="5"/>
      <c r="Q236" s="5"/>
      <c r="R236" s="5"/>
    </row>
    <row r="237" spans="1:18">
      <c r="A237" s="158"/>
      <c r="B237" s="171"/>
      <c r="C237" s="4"/>
      <c r="D237" s="159"/>
      <c r="E237" s="172"/>
      <c r="F237" s="172"/>
      <c r="G237" s="5"/>
      <c r="H237" s="172"/>
      <c r="I237" s="172"/>
      <c r="J237" s="5"/>
      <c r="K237" s="172"/>
      <c r="L237" s="172"/>
      <c r="M237" s="172"/>
      <c r="N237" s="172"/>
      <c r="O237" s="159"/>
      <c r="P237" s="159"/>
      <c r="Q237" s="159"/>
      <c r="R237" s="159"/>
    </row>
    <row r="238" spans="1:18">
      <c r="A238" s="4"/>
      <c r="B238" s="5"/>
      <c r="C238" s="4"/>
      <c r="D238" s="171"/>
      <c r="F238" s="5"/>
      <c r="G238" s="136"/>
      <c r="H238" s="5"/>
      <c r="I238" s="5"/>
      <c r="J238" s="5"/>
      <c r="K238" s="5"/>
      <c r="L238" s="5"/>
      <c r="M238" s="5"/>
      <c r="N238" s="5"/>
      <c r="O238" s="5"/>
      <c r="P238" s="5"/>
      <c r="Q238" s="5"/>
      <c r="R238" s="5"/>
    </row>
    <row r="239" spans="1:18">
      <c r="A239" s="4"/>
      <c r="B239" s="5"/>
      <c r="C239" s="4"/>
      <c r="D239" s="171"/>
      <c r="F239" s="5"/>
      <c r="G239" s="136"/>
      <c r="H239" s="5"/>
      <c r="I239" s="5"/>
      <c r="J239" s="5"/>
      <c r="K239" s="5"/>
      <c r="L239" s="5"/>
      <c r="M239" s="5"/>
      <c r="N239" s="5"/>
      <c r="O239" s="5"/>
      <c r="P239" s="5"/>
      <c r="Q239" s="5"/>
      <c r="R239" s="5"/>
    </row>
    <row r="240" spans="1:18">
      <c r="A240" s="4"/>
      <c r="B240" s="5"/>
      <c r="C240" s="4"/>
      <c r="D240" s="171"/>
      <c r="F240" s="5"/>
      <c r="G240" s="136"/>
      <c r="H240" s="5"/>
      <c r="I240" s="5"/>
      <c r="J240" s="5"/>
      <c r="K240" s="5"/>
      <c r="L240" s="5"/>
      <c r="M240" s="5"/>
      <c r="N240" s="5"/>
      <c r="O240" s="5"/>
      <c r="P240" s="5"/>
      <c r="Q240" s="5"/>
      <c r="R240" s="5"/>
    </row>
    <row r="241" spans="1:18">
      <c r="A241" s="4"/>
      <c r="B241" s="5"/>
      <c r="C241" s="4"/>
      <c r="D241" s="171"/>
      <c r="F241" s="5"/>
      <c r="G241" s="136"/>
      <c r="H241" s="5"/>
      <c r="I241" s="5"/>
      <c r="J241" s="5"/>
      <c r="K241" s="5"/>
      <c r="L241" s="5"/>
      <c r="M241" s="5"/>
      <c r="N241" s="5"/>
      <c r="O241" s="5"/>
      <c r="P241" s="5"/>
      <c r="Q241" s="5"/>
      <c r="R241" s="5"/>
    </row>
    <row r="242" spans="1:18">
      <c r="A242" s="4"/>
      <c r="B242" s="5"/>
      <c r="C242" s="4"/>
      <c r="D242" s="171"/>
      <c r="F242" s="5"/>
      <c r="G242" s="136"/>
      <c r="H242" s="5"/>
      <c r="I242" s="5"/>
      <c r="J242" s="5"/>
      <c r="K242" s="5"/>
      <c r="L242" s="5"/>
      <c r="M242" s="5"/>
      <c r="N242" s="5"/>
      <c r="O242" s="5"/>
      <c r="P242" s="5"/>
      <c r="Q242" s="5"/>
      <c r="R242" s="5"/>
    </row>
    <row r="243" spans="1:18">
      <c r="A243" s="4"/>
      <c r="B243" s="5"/>
      <c r="C243" s="4"/>
      <c r="D243" s="171"/>
      <c r="F243" s="5"/>
      <c r="G243" s="168"/>
      <c r="H243" s="5"/>
      <c r="I243" s="5"/>
      <c r="J243" s="5"/>
      <c r="K243" s="5"/>
      <c r="L243" s="5"/>
      <c r="M243" s="5"/>
      <c r="N243" s="5"/>
      <c r="O243" s="5"/>
      <c r="P243" s="5"/>
      <c r="Q243" s="5"/>
      <c r="R243" s="5"/>
    </row>
    <row r="244" spans="1:18">
      <c r="A244" s="4"/>
      <c r="B244" s="5"/>
      <c r="C244" s="4"/>
      <c r="D244" s="171"/>
      <c r="F244" s="5"/>
      <c r="G244" s="136"/>
      <c r="H244" s="5"/>
      <c r="I244" s="5"/>
      <c r="J244" s="5"/>
      <c r="K244" s="5"/>
      <c r="L244" s="5"/>
      <c r="M244" s="5"/>
      <c r="N244" s="5"/>
      <c r="O244" s="5"/>
      <c r="P244" s="5"/>
      <c r="Q244" s="5"/>
      <c r="R244" s="5"/>
    </row>
    <row r="245" spans="1:18">
      <c r="A245" s="4"/>
      <c r="B245" s="5"/>
      <c r="C245" s="4"/>
      <c r="D245" s="171"/>
      <c r="F245" s="5"/>
      <c r="G245" s="138"/>
      <c r="H245" s="5"/>
      <c r="I245" s="5"/>
      <c r="J245" s="5"/>
      <c r="K245" s="5"/>
      <c r="L245" s="5"/>
      <c r="M245" s="5"/>
      <c r="N245" s="5"/>
      <c r="O245" s="5"/>
      <c r="P245" s="5"/>
      <c r="Q245" s="5"/>
      <c r="R245" s="5"/>
    </row>
    <row r="246" spans="1:18">
      <c r="A246" s="4"/>
      <c r="B246" s="5"/>
      <c r="C246" s="4"/>
      <c r="D246" s="171"/>
      <c r="F246" s="5"/>
      <c r="G246" s="136"/>
      <c r="H246" s="5"/>
      <c r="I246" s="5"/>
      <c r="J246" s="5"/>
      <c r="K246" s="5"/>
      <c r="L246" s="5"/>
      <c r="M246" s="5"/>
      <c r="N246" s="5"/>
      <c r="O246" s="5"/>
      <c r="P246" s="5"/>
      <c r="Q246" s="5"/>
      <c r="R246" s="5"/>
    </row>
    <row r="247" spans="1:18">
      <c r="A247" s="4"/>
      <c r="B247" s="5"/>
      <c r="C247" s="4"/>
      <c r="D247" s="171"/>
      <c r="F247" s="5"/>
      <c r="G247" s="168"/>
      <c r="H247" s="5"/>
      <c r="I247" s="5"/>
      <c r="J247" s="5"/>
      <c r="K247" s="5"/>
      <c r="L247" s="5"/>
      <c r="M247" s="5"/>
      <c r="N247" s="5"/>
      <c r="O247" s="5"/>
      <c r="P247" s="5"/>
      <c r="Q247" s="5"/>
      <c r="R247" s="5"/>
    </row>
    <row r="248" spans="1:18">
      <c r="A248" s="4"/>
      <c r="B248" s="5"/>
      <c r="C248" s="4"/>
      <c r="D248" s="171"/>
      <c r="F248" s="5"/>
      <c r="G248" s="167"/>
      <c r="H248" s="5"/>
      <c r="I248" s="5"/>
      <c r="J248" s="5"/>
      <c r="K248" s="5"/>
      <c r="L248" s="5"/>
      <c r="M248" s="5"/>
      <c r="N248" s="5"/>
      <c r="O248" s="5"/>
      <c r="P248" s="5"/>
      <c r="Q248" s="5"/>
      <c r="R248" s="5"/>
    </row>
    <row r="249" spans="1:18">
      <c r="A249" s="4"/>
      <c r="B249" s="5"/>
      <c r="C249" s="4"/>
      <c r="D249" s="171"/>
      <c r="F249" s="5"/>
      <c r="G249" s="167"/>
      <c r="H249" s="5"/>
      <c r="I249" s="5"/>
      <c r="J249" s="5"/>
      <c r="K249" s="5"/>
      <c r="L249" s="5"/>
      <c r="M249" s="5"/>
      <c r="N249" s="5"/>
      <c r="O249" s="5"/>
      <c r="P249" s="5"/>
      <c r="Q249" s="5"/>
      <c r="R249" s="5"/>
    </row>
    <row r="250" spans="1:18">
      <c r="A250" s="4"/>
      <c r="B250" s="5"/>
      <c r="C250" s="4"/>
      <c r="D250" s="171"/>
      <c r="F250" s="5"/>
      <c r="G250" s="167"/>
      <c r="H250" s="5"/>
      <c r="I250" s="5"/>
      <c r="J250" s="5"/>
      <c r="K250" s="5"/>
      <c r="L250" s="5"/>
      <c r="M250" s="5"/>
      <c r="N250" s="5"/>
      <c r="O250" s="5"/>
      <c r="P250" s="5"/>
      <c r="Q250" s="5"/>
      <c r="R250" s="5"/>
    </row>
    <row r="251" spans="1:18">
      <c r="A251" s="4"/>
      <c r="B251" s="5"/>
      <c r="C251" s="4"/>
      <c r="D251" s="171"/>
      <c r="F251" s="5"/>
      <c r="G251" s="168"/>
      <c r="H251" s="5"/>
      <c r="I251" s="5"/>
      <c r="J251" s="5"/>
      <c r="K251" s="5"/>
      <c r="L251" s="5"/>
      <c r="M251" s="5"/>
      <c r="N251" s="5"/>
      <c r="O251" s="5"/>
      <c r="P251" s="5"/>
      <c r="Q251" s="5"/>
      <c r="R251" s="5"/>
    </row>
    <row r="252" spans="1:18">
      <c r="A252" s="4"/>
      <c r="B252" s="5"/>
      <c r="C252" s="4"/>
      <c r="D252" s="171"/>
      <c r="F252" s="5"/>
      <c r="G252" s="168"/>
      <c r="H252" s="5"/>
      <c r="I252" s="5"/>
      <c r="J252" s="5"/>
      <c r="K252" s="5"/>
      <c r="L252" s="5"/>
      <c r="M252" s="5"/>
      <c r="N252" s="5"/>
      <c r="O252" s="5"/>
      <c r="P252" s="5"/>
      <c r="Q252" s="5"/>
      <c r="R252" s="5"/>
    </row>
    <row r="253" spans="1:18">
      <c r="A253" s="4"/>
      <c r="B253" s="5"/>
      <c r="C253" s="4"/>
      <c r="D253" s="171"/>
      <c r="F253" s="5"/>
      <c r="G253" s="168"/>
      <c r="H253" s="5"/>
      <c r="I253" s="5"/>
      <c r="J253" s="5"/>
      <c r="K253" s="5"/>
      <c r="L253" s="5"/>
      <c r="M253" s="5"/>
      <c r="N253" s="5"/>
      <c r="O253" s="5"/>
      <c r="P253" s="5"/>
      <c r="Q253" s="5"/>
      <c r="R253" s="5"/>
    </row>
    <row r="254" spans="1:18">
      <c r="A254" s="4"/>
      <c r="B254" s="5"/>
      <c r="C254" s="4"/>
      <c r="D254" s="171"/>
      <c r="F254" s="5"/>
      <c r="G254" s="168"/>
      <c r="H254" s="5"/>
      <c r="I254" s="5"/>
      <c r="J254" s="5"/>
      <c r="K254" s="5"/>
      <c r="L254" s="5"/>
      <c r="M254" s="5"/>
      <c r="N254" s="5"/>
      <c r="O254" s="5"/>
      <c r="P254" s="5"/>
      <c r="Q254" s="5"/>
      <c r="R254" s="5"/>
    </row>
    <row r="255" spans="1:18">
      <c r="A255" s="4"/>
      <c r="B255" s="5"/>
      <c r="C255" s="4"/>
      <c r="D255" s="171"/>
      <c r="F255" s="5"/>
      <c r="G255" s="168"/>
      <c r="H255" s="5"/>
      <c r="I255" s="5"/>
      <c r="J255" s="5"/>
      <c r="K255" s="5"/>
      <c r="L255" s="5"/>
      <c r="M255" s="5"/>
      <c r="N255" s="5"/>
      <c r="O255" s="5"/>
      <c r="P255" s="5"/>
      <c r="Q255" s="5"/>
      <c r="R255" s="5"/>
    </row>
    <row r="256" spans="1:18">
      <c r="A256" s="4"/>
      <c r="B256" s="5"/>
      <c r="C256" s="4"/>
      <c r="D256" s="171"/>
      <c r="F256" s="5"/>
      <c r="G256" s="168"/>
      <c r="H256" s="5"/>
      <c r="I256" s="5"/>
      <c r="J256" s="5"/>
      <c r="K256" s="5"/>
      <c r="L256" s="5"/>
      <c r="M256" s="5"/>
      <c r="N256" s="5"/>
      <c r="O256" s="5"/>
      <c r="P256" s="5"/>
      <c r="Q256" s="5"/>
      <c r="R256" s="5"/>
    </row>
    <row r="257" spans="1:18">
      <c r="A257" s="4"/>
      <c r="B257" s="5"/>
      <c r="C257" s="4"/>
      <c r="D257" s="171"/>
      <c r="F257" s="5"/>
      <c r="G257" s="168"/>
      <c r="H257" s="5"/>
      <c r="I257" s="5"/>
      <c r="J257" s="5"/>
      <c r="K257" s="5"/>
      <c r="L257" s="5"/>
      <c r="M257" s="5"/>
      <c r="N257" s="5"/>
      <c r="O257" s="5"/>
      <c r="P257" s="5"/>
      <c r="Q257" s="5"/>
      <c r="R257" s="5"/>
    </row>
    <row r="258" spans="1:18">
      <c r="A258" s="4"/>
      <c r="B258" s="5"/>
      <c r="C258" s="4"/>
      <c r="D258" s="171"/>
      <c r="F258" s="5"/>
      <c r="G258" s="136"/>
      <c r="H258" s="5"/>
      <c r="I258" s="5"/>
      <c r="J258" s="5"/>
      <c r="K258" s="5"/>
      <c r="L258" s="5"/>
      <c r="M258" s="5"/>
      <c r="N258" s="5"/>
      <c r="O258" s="5"/>
      <c r="P258" s="5"/>
      <c r="Q258" s="5"/>
      <c r="R258" s="5"/>
    </row>
    <row r="259" spans="1:18">
      <c r="A259" s="4"/>
      <c r="B259" s="5"/>
      <c r="C259" s="4"/>
      <c r="D259" s="171"/>
      <c r="F259" s="5"/>
      <c r="G259" s="136"/>
      <c r="H259" s="5"/>
      <c r="I259" s="5"/>
      <c r="J259" s="5"/>
      <c r="K259" s="5"/>
      <c r="L259" s="5"/>
      <c r="M259" s="5"/>
      <c r="N259" s="5"/>
      <c r="O259" s="5"/>
      <c r="P259" s="5"/>
      <c r="Q259" s="5"/>
      <c r="R259" s="5"/>
    </row>
    <row r="260" spans="1:18">
      <c r="A260" s="4"/>
      <c r="B260" s="5"/>
      <c r="C260" s="4"/>
      <c r="D260" s="171"/>
      <c r="F260" s="5"/>
      <c r="G260" s="136"/>
      <c r="H260" s="5"/>
      <c r="I260" s="5"/>
      <c r="J260" s="5"/>
      <c r="K260" s="5"/>
      <c r="L260" s="5"/>
      <c r="M260" s="5"/>
      <c r="N260" s="5"/>
      <c r="O260" s="5"/>
      <c r="P260" s="5"/>
      <c r="Q260" s="5"/>
      <c r="R260" s="5"/>
    </row>
    <row r="261" spans="1:18">
      <c r="A261" s="4"/>
      <c r="B261" s="5"/>
      <c r="C261" s="4"/>
      <c r="D261" s="169"/>
      <c r="F261" s="5"/>
      <c r="G261" s="136"/>
      <c r="H261" s="5"/>
      <c r="I261" s="5"/>
      <c r="J261" s="5"/>
      <c r="K261" s="5"/>
      <c r="L261" s="5"/>
      <c r="M261" s="5"/>
      <c r="N261" s="5"/>
      <c r="O261" s="5"/>
      <c r="P261" s="5"/>
      <c r="Q261" s="5"/>
      <c r="R261" s="5"/>
    </row>
    <row r="262" spans="1:18">
      <c r="A262" s="4"/>
      <c r="B262" s="5"/>
      <c r="C262" s="4"/>
      <c r="D262" s="169"/>
      <c r="F262" s="5"/>
      <c r="G262" s="136"/>
      <c r="H262" s="5"/>
      <c r="I262" s="5"/>
      <c r="J262" s="5"/>
      <c r="K262" s="5"/>
      <c r="L262" s="5"/>
      <c r="M262" s="5"/>
      <c r="N262" s="5"/>
      <c r="O262" s="5"/>
      <c r="P262" s="5"/>
      <c r="Q262" s="5"/>
      <c r="R262" s="5"/>
    </row>
    <row r="263" spans="1:18">
      <c r="A263" s="4"/>
      <c r="B263" s="5"/>
      <c r="C263" s="4"/>
      <c r="D263" s="170"/>
      <c r="F263" s="5"/>
      <c r="G263" s="136"/>
      <c r="H263" s="5"/>
      <c r="I263" s="5"/>
      <c r="J263" s="5"/>
      <c r="K263" s="5"/>
      <c r="L263" s="5"/>
      <c r="M263" s="5"/>
      <c r="N263" s="5"/>
      <c r="O263" s="5"/>
      <c r="P263" s="5"/>
      <c r="Q263" s="5"/>
      <c r="R263" s="5"/>
    </row>
    <row r="264" spans="1:18">
      <c r="A264" s="4"/>
      <c r="B264" s="5"/>
      <c r="C264" s="4"/>
      <c r="D264" s="5"/>
      <c r="F264" s="5"/>
      <c r="G264" s="136"/>
      <c r="H264" s="5"/>
      <c r="I264" s="5"/>
      <c r="J264" s="5"/>
      <c r="K264" s="5"/>
      <c r="L264" s="5"/>
      <c r="M264" s="5"/>
      <c r="N264" s="5"/>
      <c r="O264" s="5"/>
      <c r="P264" s="5"/>
      <c r="Q264" s="5"/>
      <c r="R264" s="5"/>
    </row>
    <row r="265" spans="1:18">
      <c r="A265" s="4"/>
      <c r="B265" s="5"/>
      <c r="C265" s="4"/>
      <c r="D265" s="5"/>
      <c r="F265" s="5"/>
      <c r="G265" s="136"/>
      <c r="H265" s="5"/>
      <c r="I265" s="5"/>
      <c r="J265" s="5"/>
      <c r="K265" s="5"/>
      <c r="L265" s="5"/>
      <c r="M265" s="5"/>
      <c r="N265" s="5"/>
      <c r="O265" s="5"/>
      <c r="P265" s="5"/>
      <c r="Q265" s="5"/>
      <c r="R265" s="5"/>
    </row>
    <row r="266" spans="1:18">
      <c r="A266" s="4"/>
      <c r="B266" s="5"/>
      <c r="C266" s="4"/>
      <c r="D266" s="5"/>
      <c r="F266" s="5"/>
      <c r="G266" s="136"/>
      <c r="H266" s="5"/>
      <c r="I266" s="5"/>
      <c r="J266" s="5"/>
      <c r="K266" s="5"/>
      <c r="L266" s="5"/>
      <c r="M266" s="5"/>
      <c r="N266" s="5"/>
      <c r="O266" s="5"/>
      <c r="P266" s="5"/>
      <c r="Q266" s="5"/>
      <c r="R266" s="5"/>
    </row>
    <row r="267" spans="1:18">
      <c r="A267" s="4"/>
      <c r="B267" s="5"/>
      <c r="C267" s="4"/>
      <c r="D267" s="5"/>
      <c r="F267" s="5"/>
      <c r="G267" s="136"/>
      <c r="H267" s="5"/>
      <c r="I267" s="5"/>
      <c r="J267" s="5"/>
      <c r="K267" s="5"/>
      <c r="L267" s="5"/>
      <c r="M267" s="5"/>
      <c r="N267" s="5"/>
      <c r="O267" s="5"/>
      <c r="P267" s="5"/>
      <c r="Q267" s="5"/>
      <c r="R267" s="5"/>
    </row>
    <row r="268" spans="1:18">
      <c r="A268" s="4"/>
      <c r="B268" s="5"/>
      <c r="C268" s="4"/>
      <c r="D268" s="5"/>
      <c r="F268" s="5"/>
      <c r="G268" s="136"/>
      <c r="H268" s="5"/>
      <c r="I268" s="5"/>
      <c r="J268" s="5"/>
      <c r="K268" s="5"/>
      <c r="L268" s="5"/>
      <c r="M268" s="5"/>
      <c r="N268" s="5"/>
      <c r="O268" s="5"/>
      <c r="P268" s="5"/>
      <c r="Q268" s="5"/>
      <c r="R268" s="5"/>
    </row>
    <row r="269" spans="1:18">
      <c r="A269" s="4"/>
      <c r="B269" s="5"/>
      <c r="C269" s="4"/>
      <c r="D269" s="5"/>
      <c r="F269" s="5"/>
      <c r="G269" s="136"/>
      <c r="H269" s="5"/>
      <c r="I269" s="5"/>
      <c r="J269" s="5"/>
      <c r="K269" s="5"/>
      <c r="L269" s="5"/>
      <c r="M269" s="5"/>
      <c r="N269" s="5"/>
      <c r="O269" s="5"/>
      <c r="P269" s="5"/>
      <c r="Q269" s="5"/>
      <c r="R269" s="5"/>
    </row>
    <row r="270" spans="1:18">
      <c r="A270" s="4"/>
      <c r="B270" s="5"/>
      <c r="C270" s="4"/>
      <c r="D270" s="5"/>
      <c r="F270" s="5"/>
      <c r="G270" s="136"/>
      <c r="H270" s="5"/>
      <c r="I270" s="5"/>
      <c r="J270" s="5"/>
      <c r="K270" s="5"/>
      <c r="L270" s="5"/>
      <c r="M270" s="5"/>
      <c r="N270" s="5"/>
      <c r="O270" s="5"/>
      <c r="P270" s="5"/>
      <c r="Q270" s="5"/>
      <c r="R270" s="5"/>
    </row>
    <row r="271" spans="1:18">
      <c r="A271" s="4"/>
      <c r="B271" s="5"/>
      <c r="C271" s="4"/>
      <c r="D271" s="5"/>
      <c r="F271" s="5"/>
      <c r="G271" s="136"/>
      <c r="H271" s="5"/>
      <c r="I271" s="5"/>
      <c r="J271" s="5"/>
      <c r="K271" s="5"/>
      <c r="L271" s="5"/>
      <c r="M271" s="5"/>
      <c r="N271" s="5"/>
      <c r="O271" s="5"/>
      <c r="P271" s="5"/>
      <c r="Q271" s="5"/>
      <c r="R271" s="5"/>
    </row>
    <row r="272" spans="1:18">
      <c r="A272" s="4"/>
      <c r="B272" s="5"/>
      <c r="C272" s="4"/>
      <c r="D272" s="5"/>
      <c r="F272" s="5"/>
      <c r="G272" s="136"/>
      <c r="H272" s="5"/>
      <c r="I272" s="5"/>
      <c r="K272" s="5"/>
      <c r="L272" s="5"/>
      <c r="M272" s="5"/>
      <c r="N272" s="5"/>
      <c r="O272" s="5"/>
      <c r="P272" s="5"/>
      <c r="Q272" s="5"/>
      <c r="R272" s="5"/>
    </row>
    <row r="273" spans="1:18">
      <c r="A273" s="4"/>
      <c r="B273" s="5"/>
      <c r="C273" s="4"/>
      <c r="D273" s="5"/>
      <c r="F273" s="5"/>
      <c r="G273" s="136"/>
      <c r="H273" s="5"/>
      <c r="I273" s="5"/>
      <c r="K273" s="5"/>
      <c r="L273" s="5"/>
      <c r="M273" s="5"/>
      <c r="N273" s="5"/>
      <c r="O273" s="5"/>
      <c r="P273" s="5"/>
      <c r="Q273" s="5"/>
      <c r="R273" s="5"/>
    </row>
    <row r="274" spans="1:18">
      <c r="A274" s="4"/>
      <c r="B274" s="5"/>
      <c r="C274" s="4"/>
      <c r="D274" s="5"/>
      <c r="E274" s="5"/>
      <c r="F274" s="5"/>
      <c r="G274" s="136"/>
      <c r="H274" s="5"/>
      <c r="I274" s="5"/>
      <c r="J274" s="5"/>
      <c r="K274" s="5"/>
      <c r="L274" s="5"/>
      <c r="M274" s="5"/>
      <c r="N274" s="5"/>
      <c r="O274" s="5"/>
      <c r="P274" s="5"/>
      <c r="Q274" s="5"/>
      <c r="R274" s="5"/>
    </row>
    <row r="275" spans="1:18">
      <c r="A275" s="4"/>
      <c r="B275" s="5"/>
      <c r="C275" s="4"/>
      <c r="D275" s="5"/>
      <c r="E275" s="5"/>
      <c r="F275" s="5"/>
      <c r="G275" s="136"/>
      <c r="H275" s="5"/>
      <c r="I275" s="5"/>
      <c r="J275" s="5"/>
      <c r="K275" s="5"/>
      <c r="L275" s="5"/>
      <c r="M275" s="5"/>
      <c r="N275" s="5"/>
      <c r="O275" s="5"/>
      <c r="P275" s="5"/>
      <c r="Q275" s="5"/>
      <c r="R275" s="5"/>
    </row>
    <row r="276" spans="1:18">
      <c r="A276" s="4"/>
      <c r="B276" s="5"/>
      <c r="C276" s="4"/>
      <c r="D276" s="5"/>
      <c r="E276" s="5"/>
      <c r="F276" s="5"/>
      <c r="G276" s="136"/>
      <c r="H276" s="5"/>
      <c r="I276" s="5"/>
      <c r="J276" s="5"/>
      <c r="K276" s="5"/>
      <c r="L276" s="5"/>
      <c r="M276" s="5"/>
      <c r="N276" s="5"/>
      <c r="O276" s="5"/>
      <c r="P276" s="5"/>
      <c r="Q276" s="5"/>
      <c r="R276" s="5"/>
    </row>
    <row r="277" spans="1:18">
      <c r="A277" s="4"/>
      <c r="B277" s="5"/>
      <c r="C277" s="4"/>
      <c r="D277" s="5"/>
      <c r="E277" s="5"/>
      <c r="F277" s="5"/>
      <c r="G277" s="136"/>
      <c r="H277" s="5"/>
      <c r="I277" s="5"/>
      <c r="J277" s="5"/>
      <c r="K277" s="5"/>
      <c r="L277" s="5"/>
      <c r="M277" s="5"/>
      <c r="N277" s="5"/>
      <c r="O277" s="5"/>
      <c r="P277" s="5"/>
      <c r="Q277" s="5"/>
      <c r="R277" s="5"/>
    </row>
    <row r="278" spans="1:18">
      <c r="A278" s="4"/>
      <c r="B278" s="5"/>
      <c r="C278" s="4"/>
      <c r="D278" s="5"/>
      <c r="E278" s="5"/>
      <c r="F278" s="5"/>
      <c r="G278" s="136"/>
      <c r="H278" s="5"/>
      <c r="I278" s="5"/>
      <c r="J278" s="5"/>
      <c r="K278" s="5"/>
      <c r="L278" s="5"/>
      <c r="M278" s="5"/>
      <c r="N278" s="5"/>
      <c r="O278" s="5"/>
      <c r="P278" s="5"/>
      <c r="Q278" s="5"/>
      <c r="R278" s="5"/>
    </row>
    <row r="279" spans="1:18">
      <c r="A279" s="4"/>
      <c r="B279" s="5"/>
      <c r="C279" s="4"/>
      <c r="D279" s="5"/>
      <c r="E279" s="5"/>
      <c r="F279" s="5"/>
      <c r="G279" s="136"/>
      <c r="H279" s="5"/>
      <c r="I279" s="5"/>
      <c r="J279" s="5"/>
      <c r="K279" s="5"/>
      <c r="L279" s="5"/>
      <c r="M279" s="5"/>
      <c r="N279" s="5"/>
      <c r="O279" s="5"/>
      <c r="P279" s="5"/>
      <c r="Q279" s="5"/>
      <c r="R279" s="5"/>
    </row>
    <row r="280" spans="1:18">
      <c r="A280" s="4"/>
      <c r="B280" s="5"/>
      <c r="C280" s="4"/>
      <c r="D280" s="5"/>
      <c r="E280" s="5"/>
      <c r="F280" s="5"/>
      <c r="H280" s="5"/>
      <c r="I280" s="5"/>
      <c r="J280" s="5"/>
      <c r="K280" s="5"/>
      <c r="L280" s="5"/>
      <c r="M280" s="5"/>
      <c r="N280" s="5"/>
      <c r="O280" s="5"/>
      <c r="P280" s="5"/>
      <c r="Q280" s="5"/>
      <c r="R280" s="5"/>
    </row>
    <row r="281" spans="1:18">
      <c r="A281" s="4"/>
      <c r="B281" s="5"/>
      <c r="C281" s="4"/>
      <c r="D281" s="5"/>
      <c r="E281" s="5"/>
      <c r="F281" s="5"/>
      <c r="H281" s="5"/>
      <c r="I281" s="5"/>
      <c r="J281" s="5"/>
      <c r="K281" s="5"/>
      <c r="L281" s="5"/>
      <c r="M281" s="5"/>
      <c r="N281" s="5"/>
      <c r="O281" s="5"/>
      <c r="P281" s="5"/>
      <c r="Q281" s="5"/>
      <c r="R281" s="5"/>
    </row>
    <row r="282" spans="1:18">
      <c r="A282" s="4"/>
      <c r="B282" s="5"/>
      <c r="C282" s="4"/>
      <c r="D282" s="5"/>
      <c r="E282" s="5"/>
      <c r="F282" s="5"/>
      <c r="H282" s="5"/>
      <c r="I282" s="5"/>
      <c r="J282" s="5"/>
      <c r="K282" s="5"/>
      <c r="L282" s="5"/>
      <c r="M282" s="5"/>
      <c r="N282" s="5"/>
      <c r="O282" s="5"/>
      <c r="P282" s="5"/>
      <c r="Q282" s="5"/>
      <c r="R282" s="5"/>
    </row>
    <row r="283" spans="1:18">
      <c r="A283" s="4"/>
      <c r="B283" s="5"/>
      <c r="C283" s="4"/>
      <c r="D283" s="5"/>
      <c r="E283" s="5"/>
      <c r="F283" s="5"/>
      <c r="H283" s="5"/>
      <c r="I283" s="5"/>
      <c r="J283" s="5"/>
      <c r="K283" s="5"/>
      <c r="L283" s="5"/>
      <c r="M283" s="5"/>
      <c r="N283" s="5"/>
      <c r="O283" s="5"/>
      <c r="P283" s="5"/>
      <c r="Q283" s="5"/>
      <c r="R283" s="5"/>
    </row>
    <row r="284" spans="1:18">
      <c r="A284" s="4"/>
      <c r="B284" s="5"/>
      <c r="C284" s="4"/>
      <c r="D284" s="5"/>
      <c r="E284" s="5"/>
      <c r="F284" s="5"/>
      <c r="H284" s="5"/>
      <c r="I284" s="5"/>
      <c r="J284" s="5"/>
      <c r="K284" s="5"/>
      <c r="L284" s="5"/>
      <c r="M284" s="5"/>
      <c r="N284" s="5"/>
      <c r="O284" s="5"/>
      <c r="P284" s="5"/>
      <c r="Q284" s="5"/>
      <c r="R284" s="5"/>
    </row>
    <row r="285" spans="1:18">
      <c r="A285" s="4"/>
      <c r="B285" s="5"/>
      <c r="C285" s="4"/>
      <c r="D285" s="5"/>
      <c r="E285" s="5"/>
      <c r="F285" s="5"/>
      <c r="H285" s="5"/>
      <c r="I285" s="5"/>
      <c r="J285" s="5"/>
      <c r="K285" s="5"/>
      <c r="L285" s="5"/>
      <c r="M285" s="5"/>
      <c r="N285" s="5"/>
      <c r="O285" s="5"/>
      <c r="P285" s="5"/>
      <c r="Q285" s="5"/>
      <c r="R285" s="5"/>
    </row>
    <row r="286" spans="1:18">
      <c r="A286" s="4"/>
      <c r="B286" s="5"/>
      <c r="C286" s="4"/>
      <c r="D286" s="5"/>
      <c r="E286" s="5"/>
      <c r="F286" s="5"/>
      <c r="H286" s="5"/>
      <c r="I286" s="5"/>
      <c r="J286" s="5"/>
      <c r="K286" s="5"/>
      <c r="L286" s="5"/>
      <c r="M286" s="5"/>
      <c r="N286" s="5"/>
      <c r="O286" s="5"/>
      <c r="P286" s="5"/>
      <c r="Q286" s="5"/>
      <c r="R286" s="5"/>
    </row>
    <row r="287" spans="1:18">
      <c r="A287" s="4"/>
      <c r="B287" s="5"/>
      <c r="C287" s="4"/>
      <c r="D287" s="5"/>
      <c r="E287" s="5"/>
      <c r="F287" s="5"/>
      <c r="H287" s="5"/>
      <c r="I287" s="5"/>
      <c r="J287" s="5"/>
      <c r="K287" s="5"/>
      <c r="L287" s="5"/>
      <c r="M287" s="5"/>
      <c r="N287" s="5"/>
      <c r="O287" s="5"/>
      <c r="P287" s="5"/>
      <c r="Q287" s="5"/>
      <c r="R287" s="5"/>
    </row>
    <row r="288" spans="1:18">
      <c r="A288" s="4"/>
      <c r="B288" s="5"/>
      <c r="C288" s="4"/>
      <c r="D288" s="5"/>
      <c r="E288" s="5"/>
      <c r="F288" s="5"/>
      <c r="H288" s="5"/>
      <c r="I288" s="5"/>
      <c r="J288" s="5"/>
      <c r="K288" s="5"/>
      <c r="L288" s="5"/>
      <c r="M288" s="5"/>
      <c r="N288" s="5"/>
      <c r="O288" s="5"/>
      <c r="P288" s="5"/>
      <c r="Q288" s="5"/>
      <c r="R288" s="5"/>
    </row>
    <row r="289" spans="1:18">
      <c r="A289" s="4"/>
      <c r="B289" s="5"/>
      <c r="C289" s="4"/>
      <c r="D289" s="5"/>
      <c r="E289" s="5"/>
      <c r="F289" s="5"/>
      <c r="H289" s="5"/>
      <c r="I289" s="5"/>
      <c r="J289" s="5"/>
      <c r="K289" s="5"/>
      <c r="L289" s="5"/>
      <c r="M289" s="5"/>
      <c r="N289" s="5"/>
      <c r="O289" s="5"/>
      <c r="P289" s="5"/>
      <c r="Q289" s="5"/>
      <c r="R289" s="5"/>
    </row>
    <row r="290" spans="1:18">
      <c r="A290" s="4"/>
      <c r="B290" s="5"/>
      <c r="C290" s="4"/>
      <c r="D290" s="5"/>
      <c r="E290" s="5"/>
      <c r="F290" s="5"/>
      <c r="H290" s="5"/>
      <c r="I290" s="5"/>
      <c r="J290" s="5"/>
      <c r="K290" s="5"/>
      <c r="L290" s="5"/>
      <c r="M290" s="5"/>
      <c r="N290" s="5"/>
      <c r="O290" s="5"/>
      <c r="P290" s="5"/>
      <c r="Q290" s="5"/>
      <c r="R290" s="5"/>
    </row>
    <row r="291" spans="1:18">
      <c r="A291" s="4"/>
      <c r="B291" s="5"/>
      <c r="C291" s="4"/>
      <c r="D291" s="5"/>
      <c r="E291" s="5"/>
      <c r="F291" s="5"/>
      <c r="H291" s="5"/>
      <c r="I291" s="5"/>
      <c r="J291" s="5"/>
      <c r="K291" s="5"/>
      <c r="L291" s="5"/>
      <c r="M291" s="5"/>
      <c r="N291" s="5"/>
      <c r="O291" s="5"/>
      <c r="P291" s="5"/>
      <c r="Q291" s="5"/>
      <c r="R291" s="5"/>
    </row>
    <row r="292" spans="1:18">
      <c r="A292" s="158"/>
      <c r="B292" s="171"/>
      <c r="C292" s="4"/>
      <c r="D292" s="159"/>
      <c r="E292" s="172"/>
      <c r="F292" s="172"/>
      <c r="G292" s="5"/>
      <c r="H292" s="172"/>
      <c r="I292" s="172"/>
      <c r="J292" s="5"/>
      <c r="K292" s="172"/>
      <c r="L292" s="172"/>
      <c r="M292" s="172"/>
      <c r="N292" s="172"/>
      <c r="O292" s="159"/>
      <c r="P292" s="159"/>
      <c r="Q292" s="159"/>
      <c r="R292" s="159"/>
    </row>
    <row r="293" spans="1:18">
      <c r="A293" s="158"/>
      <c r="B293" s="171"/>
      <c r="C293" s="4"/>
      <c r="D293" s="159"/>
      <c r="E293" s="172"/>
      <c r="F293" s="172"/>
      <c r="G293" s="5"/>
      <c r="H293" s="172"/>
      <c r="I293" s="172"/>
      <c r="J293" s="159"/>
      <c r="K293" s="172"/>
      <c r="L293" s="172"/>
      <c r="M293" s="172"/>
      <c r="N293" s="172"/>
      <c r="O293" s="159"/>
      <c r="P293" s="159"/>
      <c r="Q293" s="159"/>
      <c r="R293" s="159"/>
    </row>
  </sheetData>
  <autoFilter ref="A39:R293" xr:uid="{3DBE19E9-50DD-467B-880F-03B3045B03C9}"/>
  <mergeCells count="5">
    <mergeCell ref="AO3:AT3"/>
    <mergeCell ref="U1:X1"/>
    <mergeCell ref="U3:Y3"/>
    <mergeCell ref="AA3:AF3"/>
    <mergeCell ref="AH3:AM3"/>
  </mergeCells>
  <dataValidations count="4">
    <dataValidation showInputMessage="1" showErrorMessage="1" sqref="F33:F35 K33 P238:R291 O237:R237 O292:R293 P44:R236 P41:R42" xr:uid="{FAC67B1E-5611-40F7-832D-DA53933C359F}"/>
    <dataValidation type="custom" showInputMessage="1" showErrorMessage="1" sqref="K34:K35" xr:uid="{03F39234-7D9F-4DA7-B8C4-2827082F8418}">
      <formula1>_xlfn.DAYS(H358,F358)</formula1>
    </dataValidation>
    <dataValidation type="custom" allowBlank="1" showInputMessage="1" showErrorMessage="1" sqref="AE38 O38" xr:uid="{CDFAA7D3-4B0B-4BA2-A149-3394BAB08D12}">
      <formula1>_xlfn.DAYS(L361,J361)</formula1>
    </dataValidation>
    <dataValidation type="custom" showInputMessage="1" showErrorMessage="1" sqref="AF38 P38" xr:uid="{5E5F3ABC-7D78-47CA-8262-EE24567BB765}">
      <formula1>_xlfn.DAYS(M360,K360)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885E7B11-DA87-4FAD-AFD7-71BD1F60F480}">
          <x14:formula1>
            <xm:f>Cadastros!$Q$12:$Q$17</xm:f>
          </x14:formula1>
          <xm:sqref>K38 AA38 K28 K238:K291 K158:K236</xm:sqref>
        </x14:dataValidation>
        <x14:dataValidation type="list" allowBlank="1" showInputMessage="1" showErrorMessage="1" xr:uid="{97FA1492-90FF-44A8-8071-4A20C1B139B7}">
          <x14:formula1>
            <xm:f>Cadastros!$F$12:$F$25</xm:f>
          </x14:formula1>
          <xm:sqref>G38 F23 AM38 K24 F238:F291 F15 F44:F236 F41:F42</xm:sqref>
        </x14:dataValidation>
        <x14:dataValidation type="list" allowBlank="1" showInputMessage="1" showErrorMessage="1" xr:uid="{F23E8A5D-35FB-4328-B344-C7CA68B76B77}">
          <x14:formula1>
            <xm:f>Cadastros!$N$12:$N$16</xm:f>
          </x14:formula1>
          <xm:sqref>I38 Y38 K26</xm:sqref>
        </x14:dataValidation>
        <x14:dataValidation type="list" allowBlank="1" showInputMessage="1" showErrorMessage="1" xr:uid="{A37C6F4C-65F0-4204-A6ED-87D7C88B2867}">
          <x14:formula1>
            <xm:f>Cadastros!$S$12:$S$13</xm:f>
          </x14:formula1>
          <xm:sqref>M38:N38 AC38:AD38 K30:K31 F30:F31 M44:N293 M41:N42</xm:sqref>
        </x14:dataValidation>
        <x14:dataValidation type="list" errorStyle="information" allowBlank="1" showInputMessage="1" showErrorMessage="1" xr:uid="{6C6A2C4D-6750-45C2-92BC-75C586198894}">
          <x14:formula1>
            <xm:f>Cadastros!$I$12:$I$21</xm:f>
          </x14:formula1>
          <xm:sqref>H38 K25</xm:sqref>
        </x14:dataValidation>
        <x14:dataValidation type="list" showInputMessage="1" showErrorMessage="1" xr:uid="{4C1E6626-AD28-4BD1-89B7-1451111093C5}">
          <x14:formula1>
            <xm:f>Cadastros!$C$12:$C$16</xm:f>
          </x14:formula1>
          <xm:sqref>K22 AK38 E38 E274:E291</xm:sqref>
        </x14:dataValidation>
        <x14:dataValidation type="list" errorStyle="information" allowBlank="1" showInputMessage="1" showErrorMessage="1" xr:uid="{2A3908A5-4BC2-4CBC-8453-CFD590DAF031}">
          <x14:formula1>
            <xm:f>Cadastros!$I$12:$I$33</xm:f>
          </x14:formula1>
          <xm:sqref>H274:H291</xm:sqref>
        </x14:dataValidation>
        <x14:dataValidation type="list" allowBlank="1" showInputMessage="1" showErrorMessage="1" xr:uid="{B3D52347-88D7-4837-BDBD-FA8BB53A3D4B}">
          <x14:formula1>
            <xm:f>Cadastros!$N$12:$N$19</xm:f>
          </x14:formula1>
          <xm:sqref>F26 I280:I293 I274:I278 I265:I267 I262:I263 I258:I260 I247:I256 I245 I241:I243 I225:I238 I213:I223 I207:I211 I201:I205 I192:I199 I166:I190 I44:I164 I41:I42</xm:sqref>
        </x14:dataValidation>
        <x14:dataValidation type="list" errorStyle="information" allowBlank="1" showInputMessage="1" showErrorMessage="1" xr:uid="{F251B474-FB2B-47F1-B71C-E727A08BE8B5}">
          <x14:formula1>
            <xm:f>Cadastros!$I$12:$I$36</xm:f>
          </x14:formula1>
          <xm:sqref>F25 H238:H273 H44:H236 H41:H42</xm:sqref>
        </x14:dataValidation>
        <x14:dataValidation type="list" allowBlank="1" showInputMessage="1" showErrorMessage="1" xr:uid="{41A73630-7F2F-43A2-BF4B-FB92BA544F0F}">
          <x14:formula1>
            <xm:f>Cadastros!$C$12:$C$16</xm:f>
          </x14:formula1>
          <xm:sqref>F22 E292:E293 F14 E44:E267 E41:E42</xm:sqref>
        </x14:dataValidation>
        <x14:dataValidation type="list" allowBlank="1" showInputMessage="1" showErrorMessage="1" xr:uid="{D3FD2E17-F2ED-4B31-82F7-25E475CA3807}">
          <x14:formula1>
            <xm:f>Cadastros!$Q$12:$Q$15</xm:f>
          </x14:formula1>
          <xm:sqref>K237 K292:K293 F28 K44:K156 K41:K42</xm:sqref>
        </x14:dataValidation>
        <x14:dataValidation type="list" allowBlank="1" showInputMessage="1" showErrorMessage="1" xr:uid="{A391440E-0B72-40FB-945D-E48F07B2CBC7}">
          <x14:formula1>
            <xm:f>Cadastros!$I$12:$I$36</xm:f>
          </x14:formula1>
          <xm:sqref>H237 H292:H293</xm:sqref>
        </x14:dataValidation>
        <x14:dataValidation type="list" allowBlank="1" showInputMessage="1" showErrorMessage="1" xr:uid="{376C1622-1426-4FBC-AD7D-4C9ED89CCB6A}">
          <x14:formula1>
            <xm:f>Cadastros!$F$12:$F$15</xm:f>
          </x14:formula1>
          <xm:sqref>F237 F292:F293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CF74-001C-48A4-8915-3DD65F22A8CD}">
  <sheetPr codeName="Planilha6"/>
  <dimension ref="A1:AT261"/>
  <sheetViews>
    <sheetView topLeftCell="F14" zoomScaleNormal="100" workbookViewId="0">
      <selection activeCell="H45" sqref="H45"/>
    </sheetView>
  </sheetViews>
  <sheetFormatPr defaultRowHeight="15"/>
  <cols>
    <col min="1" max="1" width="16.28515625" bestFit="1" customWidth="1"/>
    <col min="2" max="2" width="13.140625" bestFit="1" customWidth="1"/>
    <col min="3" max="3" width="14" bestFit="1" customWidth="1"/>
    <col min="5" max="5" width="26.28515625" bestFit="1" customWidth="1"/>
    <col min="6" max="6" width="64.28515625" customWidth="1"/>
    <col min="7" max="7" width="73" customWidth="1"/>
    <col min="8" max="8" width="20.28515625" customWidth="1"/>
    <col min="9" max="9" width="14.28515625" customWidth="1"/>
    <col min="10" max="10" width="9.28515625" customWidth="1"/>
    <col min="11" max="11" width="19" bestFit="1" customWidth="1"/>
    <col min="12" max="12" width="18.28515625" customWidth="1"/>
    <col min="13" max="13" width="20.28515625" customWidth="1"/>
    <col min="14" max="15" width="11.28515625" customWidth="1"/>
    <col min="16" max="16" width="12.8554687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1:46" ht="15.75" thickBot="1">
      <c r="A1" t="s">
        <v>305</v>
      </c>
      <c r="U1" s="198" t="s">
        <v>70</v>
      </c>
      <c r="V1" s="199"/>
      <c r="W1" s="199"/>
      <c r="X1" s="199"/>
      <c r="Y1" s="23">
        <f>COUNTA(B$40:B412)</f>
        <v>105</v>
      </c>
    </row>
    <row r="2" spans="1:46" ht="15.75" thickBot="1"/>
    <row r="3" spans="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1:46" ht="15.75" thickBot="1">
      <c r="U5" s="87" t="str">
        <f>Cadastros!I12</f>
        <v>Bárbara Leite</v>
      </c>
      <c r="V5" s="146">
        <f>COUNTIFS(H$39:H530,U5,K$39:K530,V4)</f>
        <v>1</v>
      </c>
      <c r="W5" s="147">
        <f>COUNTIFS(H$39:H530,U5,K$39:K530,W4)</f>
        <v>1</v>
      </c>
      <c r="X5" s="147">
        <f>COUNTIFS(H$39:H530,U5,K$39:K530,X4)</f>
        <v>0</v>
      </c>
      <c r="Y5" s="148">
        <f t="shared" ref="Y5:Y10" si="0">SUM(V5:X5)</f>
        <v>2</v>
      </c>
      <c r="Z5" s="13"/>
      <c r="AA5" s="88" t="str">
        <f>U5</f>
        <v>Bárbara Leite</v>
      </c>
      <c r="AB5" s="33">
        <f>SUMIFS(J$40:J451,H$40:H451,AA5,E$40:E451,"SAL")</f>
        <v>0</v>
      </c>
      <c r="AC5" s="34">
        <f>SUMIFS(J$40:J525,H$40:H525,AA5,E$40:E525,"SAM")</f>
        <v>519</v>
      </c>
      <c r="AD5" s="34">
        <f>SUMIFS(J$40:J525,H$40:H525,AA5,E$40:E525,"NE")</f>
        <v>2110</v>
      </c>
      <c r="AE5" s="34">
        <f>SUMIFS(J$40:J525,H$40:H525,AA5,E$40:E525,"SAIL")</f>
        <v>0</v>
      </c>
      <c r="AF5" s="35">
        <f t="shared" ref="AF5:AF9" si="1">SUBTOTAL(9,AB5:AE5)</f>
        <v>2629</v>
      </c>
      <c r="AH5" s="88" t="str">
        <f>U5</f>
        <v>Bárbara Leite</v>
      </c>
      <c r="AI5" s="33">
        <f>COUNTIFS(H$40:H525,AH5,E$40:E525,"SAL")</f>
        <v>0</v>
      </c>
      <c r="AJ5" s="34">
        <f t="shared" ref="AJ5:AJ29" si="2">COUNTIFS(H$40:H$525,AH5,E$40:E$525,"SAM")</f>
        <v>1</v>
      </c>
      <c r="AK5" s="34">
        <f>COUNTIFS(H$40:H525,AH5,E$40:E$525,"NE")</f>
        <v>1</v>
      </c>
      <c r="AL5" s="34">
        <f>COUNTIFS(H$40:H525,AH5,E$40:E525,"SAIL")</f>
        <v>0</v>
      </c>
      <c r="AM5" s="35">
        <f t="shared" ref="AM5:AM29" si="3">SUBTOTAL(9,AI5:AL5)</f>
        <v>2</v>
      </c>
      <c r="AO5" s="88" t="str">
        <f>U5</f>
        <v>Bárbara Leite</v>
      </c>
      <c r="AP5" s="33">
        <f t="shared" ref="AP5:AP29" si="4">SUMIFS(Q$40:Q$450,H$40:H$450,AO5,E$40:E$450,"SAL")</f>
        <v>0</v>
      </c>
      <c r="AQ5" s="34">
        <f t="shared" ref="AQ5:AQ29" si="5">SUMIFS(Q$40:Q$450,H$40:H$450,AO5,E$40:E$450,"SAM")</f>
        <v>11.5</v>
      </c>
      <c r="AR5" s="34">
        <f t="shared" ref="AR5:AR29" si="6">SUMIFS(Q$40:Q$450,H$40:H$450,AO5,E$40:E$450,"NE")</f>
        <v>6.5</v>
      </c>
      <c r="AS5" s="34">
        <f t="shared" ref="AS5:AS29" si="7">SUMIFS(Q$40:Q$450,H$40:H$450,AO5,E$40:E$450,"SAIL")</f>
        <v>0</v>
      </c>
      <c r="AT5" s="35">
        <f t="shared" ref="AT5:AT29" si="8">SUBTOTAL(9,AP5:AS5)</f>
        <v>18</v>
      </c>
    </row>
    <row r="6" spans="1:46" ht="15.75" thickBot="1">
      <c r="U6" s="87" t="str">
        <f>Cadastros!I13</f>
        <v>Bárbara Teixeira</v>
      </c>
      <c r="V6" s="85">
        <f>COUNTIFS(H$39:H530,U6,K$39:K530,V4)</f>
        <v>0</v>
      </c>
      <c r="W6" s="18">
        <f>COUNTIFS(H$39:H530,U6,K$39:K530,W4)</f>
        <v>0</v>
      </c>
      <c r="X6" s="18">
        <f>COUNTIFS(H$39:H530,U6,K$39:K530,X4)</f>
        <v>0</v>
      </c>
      <c r="Y6" s="19">
        <f t="shared" si="0"/>
        <v>0</v>
      </c>
      <c r="Z6" s="13"/>
      <c r="AA6" s="22" t="str">
        <f>U6</f>
        <v>Bárbara Teixeira</v>
      </c>
      <c r="AB6" s="33">
        <f>SUMIFS(J$40:J452,H$40:H452,AA6,E$40:E452,"SAL")</f>
        <v>0</v>
      </c>
      <c r="AC6" s="34">
        <f>SUMIFS(J$40:J526,H$40:H526,AA6,E$40:E526,"SAM")</f>
        <v>0</v>
      </c>
      <c r="AD6" s="34">
        <f>SUMIFS(J$40:J526,H$40:H526,AA6,E$40:E526,"NE")</f>
        <v>0</v>
      </c>
      <c r="AE6" s="34">
        <f>SUMIFS(J$40:J526,H$40:H526,AA6,E$40:E526,"SAIL")</f>
        <v>0</v>
      </c>
      <c r="AF6" s="31">
        <f t="shared" si="1"/>
        <v>0</v>
      </c>
      <c r="AH6" s="22" t="str">
        <f>U6</f>
        <v>Bárbara Teixeira</v>
      </c>
      <c r="AI6" s="33">
        <f>COUNTIFS(H$40:H526,AH6,E$40:E526,"SAL")</f>
        <v>0</v>
      </c>
      <c r="AJ6" s="34">
        <f t="shared" si="2"/>
        <v>0</v>
      </c>
      <c r="AK6" s="29">
        <f t="shared" ref="AK6:AK29" si="9">COUNTIFS(H$40:H$525,AH6,E$40:E$525,"NE")</f>
        <v>0</v>
      </c>
      <c r="AL6" s="34">
        <f>COUNTIFS(H$40:H526,AH6,E$40:E526,"SAIL")</f>
        <v>0</v>
      </c>
      <c r="AM6" s="31">
        <f t="shared" si="3"/>
        <v>0</v>
      </c>
      <c r="AO6" s="22" t="str">
        <f>U6</f>
        <v>Bárbara Teixeira</v>
      </c>
      <c r="AP6" s="33">
        <f t="shared" si="4"/>
        <v>0</v>
      </c>
      <c r="AQ6" s="34">
        <f t="shared" si="5"/>
        <v>0</v>
      </c>
      <c r="AR6" s="34">
        <f t="shared" si="6"/>
        <v>0</v>
      </c>
      <c r="AS6" s="34">
        <f t="shared" si="7"/>
        <v>0</v>
      </c>
      <c r="AT6" s="31">
        <f t="shared" si="8"/>
        <v>0</v>
      </c>
    </row>
    <row r="7" spans="1:46" ht="15.75" thickBot="1">
      <c r="U7" s="87" t="str">
        <f>Cadastros!I14</f>
        <v>Bruna Ferro</v>
      </c>
      <c r="V7" s="86">
        <f>COUNTIFS(H$39:H530,U7,K$39:K530,V4)</f>
        <v>2</v>
      </c>
      <c r="W7" s="14">
        <f>COUNTIFS(H$39:H530,U7,K$39:K530,W4)</f>
        <v>0</v>
      </c>
      <c r="X7" s="14">
        <f>COUNTIFS(H$39:H530,U7,K$39:K530,X4)</f>
        <v>0</v>
      </c>
      <c r="Y7" s="15">
        <f t="shared" si="0"/>
        <v>2</v>
      </c>
      <c r="Z7" s="13"/>
      <c r="AA7" s="21" t="str">
        <f t="shared" ref="AA7:AA11" si="10">U7</f>
        <v>Bruna Ferro</v>
      </c>
      <c r="AB7" s="33">
        <f>SUMIFS(J$40:J453,H$40:H453,AA7,E$40:E453,"SAL")</f>
        <v>0</v>
      </c>
      <c r="AC7" s="34">
        <f>SUMIFS(J$40:J527,H$40:H527,AA7,E$40:E527,"SAM")</f>
        <v>50</v>
      </c>
      <c r="AD7" s="34">
        <f>SUMIFS(J$40:J527,H$40:H527,AA7,E$40:E527,"NE")</f>
        <v>0</v>
      </c>
      <c r="AE7" s="34">
        <f>SUMIFS(J$40:J527,H$40:H527,AA7,E$40:E527,"SAIL")</f>
        <v>0</v>
      </c>
      <c r="AF7" s="39">
        <f t="shared" si="1"/>
        <v>50</v>
      </c>
      <c r="AH7" s="21" t="str">
        <f t="shared" ref="AH7:AH11" si="11">U7</f>
        <v>Bruna Ferro</v>
      </c>
      <c r="AI7" s="33">
        <f>COUNTIFS(H$40:H527,AH7,E$40:E527,"SAL")</f>
        <v>0</v>
      </c>
      <c r="AJ7" s="34">
        <f t="shared" si="2"/>
        <v>2</v>
      </c>
      <c r="AK7" s="29">
        <f t="shared" si="9"/>
        <v>0</v>
      </c>
      <c r="AL7" s="34">
        <f>COUNTIFS(H$40:H527,AH7,E$40:E527,"SAIL")</f>
        <v>0</v>
      </c>
      <c r="AM7" s="39">
        <f t="shared" si="3"/>
        <v>2</v>
      </c>
      <c r="AO7" s="21" t="str">
        <f>U7</f>
        <v>Bruna Ferro</v>
      </c>
      <c r="AP7" s="33">
        <f t="shared" si="4"/>
        <v>0</v>
      </c>
      <c r="AQ7" s="34">
        <f t="shared" si="5"/>
        <v>0</v>
      </c>
      <c r="AR7" s="34">
        <f t="shared" si="6"/>
        <v>0</v>
      </c>
      <c r="AS7" s="34">
        <f t="shared" si="7"/>
        <v>0</v>
      </c>
      <c r="AT7" s="39">
        <f t="shared" si="8"/>
        <v>0</v>
      </c>
    </row>
    <row r="8" spans="1:46" ht="15.75" thickBot="1">
      <c r="U8" s="87" t="str">
        <f>Cadastros!I15</f>
        <v>Carolina Esmeraldino</v>
      </c>
      <c r="V8" s="85">
        <f>COUNTIFS(H$39:H530,U8,K$39:K530,V4)</f>
        <v>8</v>
      </c>
      <c r="W8" s="18">
        <f>COUNTIFS(H$39:H530,U8,K$39:K530,W4)</f>
        <v>0</v>
      </c>
      <c r="X8" s="18">
        <f>COUNTIFS(H$39:H530,U8,K$39:K530,X4)</f>
        <v>0</v>
      </c>
      <c r="Y8" s="19">
        <f t="shared" si="0"/>
        <v>8</v>
      </c>
      <c r="Z8" s="13"/>
      <c r="AA8" s="22" t="str">
        <f t="shared" si="10"/>
        <v>Carolina Esmeraldino</v>
      </c>
      <c r="AB8" s="33">
        <f>SUMIFS(J$40:J454,H$40:H454,AA8,E$40:E454,"SAL")</f>
        <v>0</v>
      </c>
      <c r="AC8" s="34">
        <f>SUMIFS(J$40:J528,H$40:H528,AA8,E$40:E528,"SAM")</f>
        <v>323</v>
      </c>
      <c r="AD8" s="34">
        <f>SUMIFS(J$40:J528,H$40:H528,AA8,E$40:E528,"NE")</f>
        <v>491</v>
      </c>
      <c r="AE8" s="34">
        <f>SUMIFS(J$40:J528,H$40:H528,AA8,E$40:E528,"SAIL")</f>
        <v>0</v>
      </c>
      <c r="AF8" s="31">
        <f t="shared" si="1"/>
        <v>814</v>
      </c>
      <c r="AH8" s="22" t="str">
        <f t="shared" si="11"/>
        <v>Carolina Esmeraldino</v>
      </c>
      <c r="AI8" s="33">
        <f>COUNTIFS(H$40:H528,AH8,E$40:E528,"SAL")</f>
        <v>0</v>
      </c>
      <c r="AJ8" s="34">
        <f t="shared" si="2"/>
        <v>4</v>
      </c>
      <c r="AK8" s="29">
        <f t="shared" si="9"/>
        <v>4</v>
      </c>
      <c r="AL8" s="34">
        <f>COUNTIFS(H$40:H528,AH8,E$40:E528,"SAIL")</f>
        <v>0</v>
      </c>
      <c r="AM8" s="31">
        <f t="shared" si="3"/>
        <v>8</v>
      </c>
      <c r="AO8" s="22" t="str">
        <f>U8</f>
        <v>Carolina Esmeraldino</v>
      </c>
      <c r="AP8" s="33">
        <f t="shared" si="4"/>
        <v>0</v>
      </c>
      <c r="AQ8" s="34">
        <f t="shared" si="5"/>
        <v>32</v>
      </c>
      <c r="AR8" s="34">
        <f t="shared" si="6"/>
        <v>8</v>
      </c>
      <c r="AS8" s="34">
        <f t="shared" si="7"/>
        <v>0</v>
      </c>
      <c r="AT8" s="31">
        <f t="shared" si="8"/>
        <v>40</v>
      </c>
    </row>
    <row r="9" spans="1:46" ht="15.75" thickBot="1">
      <c r="U9" s="87" t="str">
        <f>Cadastros!I16</f>
        <v>Claudia Savois</v>
      </c>
      <c r="V9" s="86">
        <f>COUNTIFS(H$39:H530,U9,K$39:K530,V4)</f>
        <v>0</v>
      </c>
      <c r="W9" s="14">
        <f>COUNTIFS(H$39:H530,U9,K$39:K530,W4)</f>
        <v>0</v>
      </c>
      <c r="X9" s="14">
        <f>COUNTIFS(H$39:H530,U9,K$39:K530,X4)</f>
        <v>0</v>
      </c>
      <c r="Y9" s="15">
        <f t="shared" si="0"/>
        <v>0</v>
      </c>
      <c r="Z9" s="13"/>
      <c r="AA9" s="21" t="str">
        <f t="shared" si="10"/>
        <v>Claudia Savois</v>
      </c>
      <c r="AB9" s="33">
        <f>SUMIFS(J$40:J455,H$40:H455,AA9,E$40:E455,"SAL")</f>
        <v>0</v>
      </c>
      <c r="AC9" s="34">
        <f>SUMIFS(J$40:J529,H$40:H529,AA9,E$40:E529,"SAM")</f>
        <v>0</v>
      </c>
      <c r="AD9" s="34">
        <f>SUMIFS(J$40:J529,H$40:H529,AA9,E$40:E529,"NE")</f>
        <v>0</v>
      </c>
      <c r="AE9" s="34">
        <f>SUMIFS(J$40:J529,H$40:H529,AA9,E$40:E529,"SAIL")</f>
        <v>0</v>
      </c>
      <c r="AF9" s="39">
        <f t="shared" si="1"/>
        <v>0</v>
      </c>
      <c r="AH9" s="21" t="str">
        <f t="shared" si="11"/>
        <v>Claudia Savois</v>
      </c>
      <c r="AI9" s="33">
        <f>COUNTIFS(H$40:H529,AH9,E$40:E529,"SAL")</f>
        <v>0</v>
      </c>
      <c r="AJ9" s="34">
        <f t="shared" si="2"/>
        <v>0</v>
      </c>
      <c r="AK9" s="29">
        <f t="shared" si="9"/>
        <v>0</v>
      </c>
      <c r="AL9" s="34">
        <f>COUNTIFS(H$40:H529,AH9,E$40:E529,"SAIL")</f>
        <v>0</v>
      </c>
      <c r="AM9" s="39">
        <f t="shared" si="3"/>
        <v>0</v>
      </c>
      <c r="AO9" s="21" t="str">
        <f t="shared" ref="AO9:AO29" si="12">U9</f>
        <v>Claudia Savois</v>
      </c>
      <c r="AP9" s="33">
        <f t="shared" si="4"/>
        <v>0</v>
      </c>
      <c r="AQ9" s="34">
        <f t="shared" si="5"/>
        <v>0</v>
      </c>
      <c r="AR9" s="34">
        <f t="shared" si="6"/>
        <v>0</v>
      </c>
      <c r="AS9" s="34">
        <f t="shared" si="7"/>
        <v>0</v>
      </c>
      <c r="AT9" s="39">
        <f t="shared" si="8"/>
        <v>0</v>
      </c>
    </row>
    <row r="10" spans="1:46" ht="15.75" thickBot="1">
      <c r="U10" s="87" t="str">
        <f>Cadastros!I17</f>
        <v>Daniela Stupp</v>
      </c>
      <c r="V10" s="86">
        <f>COUNTIFS(H$39:H531,U10,K$39:K531,V4)</f>
        <v>2</v>
      </c>
      <c r="W10" s="14">
        <f>COUNTIFS(H$39:H531,U10,K$39:K531,W4)</f>
        <v>0</v>
      </c>
      <c r="X10" s="14">
        <f>COUNTIFS(H$39:H531,U10,K$39:K531,X4)</f>
        <v>0</v>
      </c>
      <c r="Y10" s="15">
        <f t="shared" si="0"/>
        <v>2</v>
      </c>
      <c r="Z10" s="13"/>
      <c r="AA10" s="22" t="str">
        <f t="shared" si="10"/>
        <v>Daniela Stupp</v>
      </c>
      <c r="AB10" s="33">
        <f>SUMIFS(J$40:J456,H$40:H456,AA10,E$40:E456,"SAL")</f>
        <v>0</v>
      </c>
      <c r="AC10" s="34">
        <f>SUMIFS(J$40:J530,H$40:H530,AA10,E$40:E530,"SAM")</f>
        <v>1212</v>
      </c>
      <c r="AD10" s="34">
        <f>SUMIFS(J$40:J530,H$40:H530,AA10,E$40:E530,"NE")</f>
        <v>0</v>
      </c>
      <c r="AE10" s="34">
        <f>SUMIFS(J$40:J530,H$40:H530,AA10,E$40:E530,"SAIL")</f>
        <v>0</v>
      </c>
      <c r="AF10" s="31">
        <f>SUBTOTAL(9,AB10:AE10)</f>
        <v>1212</v>
      </c>
      <c r="AH10" s="22" t="str">
        <f t="shared" si="11"/>
        <v>Daniela Stupp</v>
      </c>
      <c r="AI10" s="33">
        <f>COUNTIFS(H$40:H530,AH10,E$40:E530,"SAL")</f>
        <v>0</v>
      </c>
      <c r="AJ10" s="34">
        <f t="shared" si="2"/>
        <v>2</v>
      </c>
      <c r="AK10" s="29">
        <f t="shared" si="9"/>
        <v>0</v>
      </c>
      <c r="AL10" s="34">
        <f>COUNTIFS(H$40:H530,AH10,E$40:E530,"SAIL")</f>
        <v>0</v>
      </c>
      <c r="AM10" s="31">
        <f t="shared" si="3"/>
        <v>2</v>
      </c>
      <c r="AO10" s="22" t="str">
        <f t="shared" si="12"/>
        <v>Daniela Stupp</v>
      </c>
      <c r="AP10" s="33">
        <f t="shared" si="4"/>
        <v>0</v>
      </c>
      <c r="AQ10" s="34">
        <f t="shared" si="5"/>
        <v>20</v>
      </c>
      <c r="AR10" s="34">
        <f t="shared" si="6"/>
        <v>0</v>
      </c>
      <c r="AS10" s="34">
        <f t="shared" si="7"/>
        <v>0</v>
      </c>
      <c r="AT10" s="31">
        <f t="shared" si="8"/>
        <v>20</v>
      </c>
    </row>
    <row r="11" spans="1:46" ht="15.75" thickBot="1">
      <c r="U11" s="87" t="str">
        <f>Cadastros!I18</f>
        <v>Gabriely</v>
      </c>
      <c r="V11" s="85">
        <f>COUNTIFS(H$39:H530,U11,K$39:K530,V4)</f>
        <v>2</v>
      </c>
      <c r="W11" s="18">
        <f>COUNTIFS(H$39:H530,U11,K$39:K530,W4)</f>
        <v>0</v>
      </c>
      <c r="X11" s="18">
        <f>COUNTIFS(H$39:H530,U11,K$39:K530,X4)</f>
        <v>0</v>
      </c>
      <c r="Y11" s="19">
        <f>SUM(V11:X11)</f>
        <v>2</v>
      </c>
      <c r="Z11" s="13"/>
      <c r="AA11" s="21" t="str">
        <f t="shared" si="10"/>
        <v>Gabriely</v>
      </c>
      <c r="AB11" s="33">
        <f>SUMIFS(J$40:J457,H$40:H457,AA11,E$40:E457,"SAL")</f>
        <v>1453</v>
      </c>
      <c r="AC11" s="34">
        <f>SUMIFS(J$40:J531,H$40:H531,AA11,E$40:E531,"SAM")</f>
        <v>0</v>
      </c>
      <c r="AD11" s="34">
        <f>SUMIFS(J$40:J531,H$40:H531,AA11,E$40:E531,"NE")</f>
        <v>0</v>
      </c>
      <c r="AE11" s="34">
        <f>SUMIFS(J$40:J531,H$40:H531,AA11,E$40:E531,"SAIL")</f>
        <v>0</v>
      </c>
      <c r="AF11" s="39">
        <f>SUBTOTAL(9,AB11:AE11)</f>
        <v>1453</v>
      </c>
      <c r="AH11" s="21" t="str">
        <f t="shared" si="11"/>
        <v>Gabriely</v>
      </c>
      <c r="AI11" s="33">
        <f>COUNTIFS(H$40:H531,AH11,E$40:E531,"SAL")</f>
        <v>2</v>
      </c>
      <c r="AJ11" s="34">
        <f t="shared" si="2"/>
        <v>0</v>
      </c>
      <c r="AK11" s="29">
        <f t="shared" si="9"/>
        <v>0</v>
      </c>
      <c r="AL11" s="34">
        <f>COUNTIFS(H$40:H531,AH11,E$40:E531,"SAIL")</f>
        <v>0</v>
      </c>
      <c r="AM11" s="39">
        <f t="shared" si="3"/>
        <v>2</v>
      </c>
      <c r="AO11" s="21" t="str">
        <f t="shared" si="12"/>
        <v>Gabriely</v>
      </c>
      <c r="AP11" s="33">
        <f t="shared" si="4"/>
        <v>20</v>
      </c>
      <c r="AQ11" s="34">
        <f t="shared" si="5"/>
        <v>0</v>
      </c>
      <c r="AR11" s="34">
        <f t="shared" si="6"/>
        <v>0</v>
      </c>
      <c r="AS11" s="34">
        <f t="shared" si="7"/>
        <v>0</v>
      </c>
      <c r="AT11" s="39">
        <f t="shared" si="8"/>
        <v>20</v>
      </c>
    </row>
    <row r="12" spans="1:46" ht="15.75" thickBot="1">
      <c r="U12" s="87" t="str">
        <f>Cadastros!I19</f>
        <v>Fabio Sasso</v>
      </c>
      <c r="V12" s="86">
        <f>COUNTIFS(H$39:H531,U12,K$39:K531,V4)</f>
        <v>0</v>
      </c>
      <c r="W12" s="14">
        <f>COUNTIFS(H$39:H531,U12,K$39:K531,W4)</f>
        <v>1</v>
      </c>
      <c r="X12" s="14">
        <f>COUNTIFS(H$39:H531,U12,K$39:K531,X4)</f>
        <v>0</v>
      </c>
      <c r="Y12" s="15">
        <f t="shared" ref="Y12:Y29" si="13">SUM(V12:X12)</f>
        <v>1</v>
      </c>
      <c r="AA12" s="22" t="str">
        <f>U12</f>
        <v>Fabio Sasso</v>
      </c>
      <c r="AB12" s="33">
        <f>SUMIFS(J$40:J458,H$40:H458,AA12,E$40:E458,"SAL")</f>
        <v>885</v>
      </c>
      <c r="AC12" s="34">
        <f>SUMIFS(J$40:J532,H$40:H532,AA12,E$40:E532,"SAM")</f>
        <v>0</v>
      </c>
      <c r="AD12" s="34">
        <f>SUMIFS(J$40:J532,H$40:H532,AA12,E$40:E532,"NE")</f>
        <v>0</v>
      </c>
      <c r="AE12" s="34">
        <f>SUMIFS(J$40:J532,H$40:H532,AA12,E$40:E532,"SAIL")</f>
        <v>0</v>
      </c>
      <c r="AF12" s="31">
        <f>SUBTOTAL(9,AB12:AE12)</f>
        <v>885</v>
      </c>
      <c r="AH12" s="22" t="str">
        <f>U12</f>
        <v>Fabio Sasso</v>
      </c>
      <c r="AI12" s="33">
        <f>COUNTIFS(H$40:H532,AH12,E$40:E532,"SAL")</f>
        <v>1</v>
      </c>
      <c r="AJ12" s="34">
        <f t="shared" si="2"/>
        <v>0</v>
      </c>
      <c r="AK12" s="29">
        <f t="shared" si="9"/>
        <v>0</v>
      </c>
      <c r="AL12" s="34">
        <f>COUNTIFS(H$40:H532,AH12,E$40:E532,"SAIL")</f>
        <v>0</v>
      </c>
      <c r="AM12" s="31">
        <f t="shared" si="3"/>
        <v>1</v>
      </c>
      <c r="AO12" s="22" t="str">
        <f t="shared" si="12"/>
        <v>Fabio Sasso</v>
      </c>
      <c r="AP12" s="33">
        <f t="shared" si="4"/>
        <v>13</v>
      </c>
      <c r="AQ12" s="34">
        <f t="shared" si="5"/>
        <v>0</v>
      </c>
      <c r="AR12" s="34">
        <f t="shared" si="6"/>
        <v>0</v>
      </c>
      <c r="AS12" s="34">
        <f t="shared" si="7"/>
        <v>0</v>
      </c>
      <c r="AT12" s="31">
        <f t="shared" si="8"/>
        <v>13</v>
      </c>
    </row>
    <row r="13" spans="1:46" ht="15.75" thickBot="1">
      <c r="U13" s="87" t="str">
        <f>Cadastros!I20</f>
        <v>Felipi Ferreira</v>
      </c>
      <c r="V13" s="85">
        <f>COUNTIFS(H$39:H532,U13,K$39:K532,V$4)</f>
        <v>3</v>
      </c>
      <c r="W13" s="18">
        <f>COUNTIFS(H$39:H532,U13,K$39:K532,W$4)</f>
        <v>0</v>
      </c>
      <c r="X13" s="18">
        <f>COUNTIFS(H$39:H532,U13,K$39:K532,X$4)</f>
        <v>0</v>
      </c>
      <c r="Y13" s="19">
        <f t="shared" si="13"/>
        <v>3</v>
      </c>
      <c r="AA13" s="21" t="str">
        <f t="shared" ref="AA13:AA29" si="14">U13</f>
        <v>Felipi Ferreira</v>
      </c>
      <c r="AB13" s="33">
        <f>SUMIFS(J$40:J459,H$40:H459,AA13,E$40:E459,"SAL")</f>
        <v>0</v>
      </c>
      <c r="AC13" s="34">
        <f>SUMIFS(J$40:J533,H$40:H533,AA13,E$40:E533,"SAM")</f>
        <v>877</v>
      </c>
      <c r="AD13" s="34">
        <f>SUMIFS(J$40:J533,H$40:H533,AA13,E$40:E533,"NE")</f>
        <v>0</v>
      </c>
      <c r="AE13" s="34">
        <f>SUMIFS(J$40:J533,H$40:H533,AA13,E$40:E533,"SAIL")</f>
        <v>892</v>
      </c>
      <c r="AF13" s="39">
        <f t="shared" ref="AF13:AF29" si="15">SUBTOTAL(9,AB13:AE13)</f>
        <v>1769</v>
      </c>
      <c r="AH13" s="21" t="str">
        <f t="shared" ref="AH13:AH29" si="16">U13</f>
        <v>Felipi Ferreira</v>
      </c>
      <c r="AI13" s="33">
        <f>COUNTIFS(H$40:H533,AH13,E$40:E533,"SAL")</f>
        <v>0</v>
      </c>
      <c r="AJ13" s="34">
        <f t="shared" si="2"/>
        <v>2</v>
      </c>
      <c r="AK13" s="29">
        <f t="shared" si="9"/>
        <v>0</v>
      </c>
      <c r="AL13" s="34">
        <f>COUNTIFS(H$40:H533,AH13,E$40:E533,"SAIL")</f>
        <v>1</v>
      </c>
      <c r="AM13" s="39">
        <f t="shared" si="3"/>
        <v>3</v>
      </c>
      <c r="AO13" s="21" t="str">
        <f t="shared" si="12"/>
        <v>Felipi Ferreira</v>
      </c>
      <c r="AP13" s="33">
        <f t="shared" si="4"/>
        <v>0</v>
      </c>
      <c r="AQ13" s="34">
        <f t="shared" si="5"/>
        <v>20</v>
      </c>
      <c r="AR13" s="34">
        <f t="shared" si="6"/>
        <v>0</v>
      </c>
      <c r="AS13" s="34">
        <f t="shared" si="7"/>
        <v>20</v>
      </c>
      <c r="AT13" s="39">
        <f t="shared" si="8"/>
        <v>40</v>
      </c>
    </row>
    <row r="14" spans="1:46" ht="15.75" thickBot="1">
      <c r="U14" s="87" t="str">
        <f>Cadastros!I21</f>
        <v>Flávia Cardoso</v>
      </c>
      <c r="V14" s="86">
        <f>COUNTIFS(H$39:H533,U14,K$39:K533,V$4)</f>
        <v>7</v>
      </c>
      <c r="W14" s="14">
        <f>COUNTIFS(H$39:H533,U14,K$39:K533,W$4)</f>
        <v>1</v>
      </c>
      <c r="X14" s="14">
        <f>COUNTIFS(H$39:H533,U14,K$39:K533,X$4)</f>
        <v>0</v>
      </c>
      <c r="Y14" s="15">
        <f t="shared" si="13"/>
        <v>8</v>
      </c>
      <c r="AA14" s="22" t="str">
        <f t="shared" si="14"/>
        <v>Flávia Cardoso</v>
      </c>
      <c r="AB14" s="33">
        <f>SUMIFS(J$40:J460,H$40:H460,AA14,E$40:E460,"SAL")</f>
        <v>2598</v>
      </c>
      <c r="AC14" s="34">
        <f>SUMIFS(J$40:J534,H$40:H534,AA14,E$40:E534,"SAM")</f>
        <v>1601</v>
      </c>
      <c r="AD14" s="34">
        <f>SUMIFS(J$40:J534,H$40:H534,AA14,E$40:E534,"NE")</f>
        <v>0</v>
      </c>
      <c r="AE14" s="34">
        <f>SUMIFS(J$40:J534,H$40:H534,AA14,E$40:E534,"SAIL")</f>
        <v>0</v>
      </c>
      <c r="AF14" s="31">
        <f t="shared" si="15"/>
        <v>4199</v>
      </c>
      <c r="AH14" s="22" t="str">
        <f t="shared" si="16"/>
        <v>Flávia Cardoso</v>
      </c>
      <c r="AI14" s="33">
        <f>COUNTIFS(H$40:H534,AH14,E$40:E534,"SAL")</f>
        <v>4</v>
      </c>
      <c r="AJ14" s="34">
        <f t="shared" si="2"/>
        <v>4</v>
      </c>
      <c r="AK14" s="29">
        <f t="shared" si="9"/>
        <v>0</v>
      </c>
      <c r="AL14" s="34">
        <f>COUNTIFS(H$40:H534,AH14,E$40:E534,"SAIL")</f>
        <v>0</v>
      </c>
      <c r="AM14" s="31">
        <f t="shared" si="3"/>
        <v>8</v>
      </c>
      <c r="AO14" s="22" t="str">
        <f t="shared" si="12"/>
        <v>Flávia Cardoso</v>
      </c>
      <c r="AP14" s="33">
        <f t="shared" si="4"/>
        <v>40</v>
      </c>
      <c r="AQ14" s="34">
        <f t="shared" si="5"/>
        <v>61</v>
      </c>
      <c r="AR14" s="34">
        <f t="shared" si="6"/>
        <v>0</v>
      </c>
      <c r="AS14" s="34">
        <f t="shared" si="7"/>
        <v>0</v>
      </c>
      <c r="AT14" s="31">
        <f t="shared" si="8"/>
        <v>101</v>
      </c>
    </row>
    <row r="15" spans="1:46" ht="15.75" thickBot="1">
      <c r="U15" s="87" t="str">
        <f>Cadastros!I22</f>
        <v>Giovani cunha</v>
      </c>
      <c r="V15" s="85">
        <f>COUNTIFS(H$39:H534,U15,K$39:K534,V$4)</f>
        <v>3</v>
      </c>
      <c r="W15" s="18">
        <f>COUNTIFS(H$39:H534,U15,K$39:K534,W$4)</f>
        <v>0</v>
      </c>
      <c r="X15" s="18">
        <f>COUNTIFS(H$39:H534,U15,K$39:K534,X$4)</f>
        <v>0</v>
      </c>
      <c r="Y15" s="19">
        <f t="shared" si="13"/>
        <v>3</v>
      </c>
      <c r="AA15" s="21" t="str">
        <f t="shared" si="14"/>
        <v>Giovani cunha</v>
      </c>
      <c r="AB15" s="33">
        <f>SUMIFS(J$40:J461,H$40:H461,AA15,E$40:E461,"SAL")</f>
        <v>0</v>
      </c>
      <c r="AC15" s="34">
        <f>SUMIFS(J$40:J535,H$40:H535,AA15,E$40:E535,"SAM")</f>
        <v>300</v>
      </c>
      <c r="AD15" s="34">
        <f>SUMIFS(J$40:J535,H$40:H535,AA15,E$40:E535,"NE")</f>
        <v>0</v>
      </c>
      <c r="AE15" s="34">
        <f>SUMIFS(J$40:J535,H$40:H535,AA15,E$40:E535,"SAIL")</f>
        <v>0</v>
      </c>
      <c r="AF15" s="39">
        <f t="shared" si="15"/>
        <v>300</v>
      </c>
      <c r="AH15" s="21" t="str">
        <f t="shared" si="16"/>
        <v>Giovani cunha</v>
      </c>
      <c r="AI15" s="33">
        <f>COUNTIFS(H$40:H535,AH15,E$40:E535,"SAL")</f>
        <v>0</v>
      </c>
      <c r="AJ15" s="34">
        <f t="shared" si="2"/>
        <v>3</v>
      </c>
      <c r="AK15" s="29">
        <f t="shared" si="9"/>
        <v>0</v>
      </c>
      <c r="AL15" s="34">
        <f>COUNTIFS(H$40:H535,AH15,E$40:E535,"SAIL")</f>
        <v>0</v>
      </c>
      <c r="AM15" s="39">
        <f t="shared" si="3"/>
        <v>3</v>
      </c>
      <c r="AO15" s="21" t="str">
        <f t="shared" si="12"/>
        <v>Giovani cunha</v>
      </c>
      <c r="AP15" s="33">
        <f t="shared" si="4"/>
        <v>0</v>
      </c>
      <c r="AQ15" s="34">
        <f t="shared" si="5"/>
        <v>0</v>
      </c>
      <c r="AR15" s="34">
        <f t="shared" si="6"/>
        <v>0</v>
      </c>
      <c r="AS15" s="34">
        <f t="shared" si="7"/>
        <v>0</v>
      </c>
      <c r="AT15" s="39">
        <f t="shared" si="8"/>
        <v>0</v>
      </c>
    </row>
    <row r="16" spans="1:46" ht="15.75" thickBot="1">
      <c r="U16" s="87" t="str">
        <f>Cadastros!I23</f>
        <v>Jennifer Rodrigues</v>
      </c>
      <c r="V16" s="86">
        <f>COUNTIFS(H$39:H535,U16,K$39:K535,V$4)</f>
        <v>25</v>
      </c>
      <c r="W16" s="14">
        <f>COUNTIFS(H$39:H535,U16,K$39:K535,W$4)</f>
        <v>0</v>
      </c>
      <c r="X16" s="14">
        <f>COUNTIFS(H$39:H535,U16,K$39:K535,X$4)</f>
        <v>0</v>
      </c>
      <c r="Y16" s="15">
        <f t="shared" si="13"/>
        <v>25</v>
      </c>
      <c r="AA16" s="22" t="str">
        <f t="shared" si="14"/>
        <v>Jennifer Rodrigues</v>
      </c>
      <c r="AB16" s="33">
        <f>SUMIFS(J$40:J462,H$40:H462,AA16,E$40:E462,"SAL")</f>
        <v>0</v>
      </c>
      <c r="AC16" s="34">
        <f>SUMIFS(J$40:J536,H$40:H536,AA16,E$40:E536,"SAM")</f>
        <v>0</v>
      </c>
      <c r="AD16" s="34">
        <f>SUMIFS(J$40:J536,H$40:H536,AA16,E$40:E536,"NE")</f>
        <v>2000</v>
      </c>
      <c r="AE16" s="34">
        <f>SUMIFS(J$40:J536,H$40:H536,AA16,E$40:E536,"SAIL")</f>
        <v>0</v>
      </c>
      <c r="AF16" s="31">
        <f t="shared" si="15"/>
        <v>2000</v>
      </c>
      <c r="AH16" s="22" t="str">
        <f t="shared" si="16"/>
        <v>Jennifer Rodrigues</v>
      </c>
      <c r="AI16" s="33">
        <f>COUNTIFS(H$40:H536,AH16,E$40:E536,"SAL")</f>
        <v>0</v>
      </c>
      <c r="AJ16" s="34">
        <f t="shared" si="2"/>
        <v>0</v>
      </c>
      <c r="AK16" s="29">
        <f t="shared" si="9"/>
        <v>25</v>
      </c>
      <c r="AL16" s="34">
        <f>COUNTIFS(H$40:H536,AH16,E$40:E536,"SAIL")</f>
        <v>0</v>
      </c>
      <c r="AM16" s="31">
        <f t="shared" si="3"/>
        <v>25</v>
      </c>
      <c r="AO16" s="22" t="str">
        <f t="shared" si="12"/>
        <v>Jennifer Rodrigues</v>
      </c>
      <c r="AP16" s="33">
        <f t="shared" si="4"/>
        <v>0</v>
      </c>
      <c r="AQ16" s="34">
        <f t="shared" si="5"/>
        <v>0</v>
      </c>
      <c r="AR16" s="34">
        <f t="shared" si="6"/>
        <v>0</v>
      </c>
      <c r="AS16" s="34">
        <f t="shared" si="7"/>
        <v>0</v>
      </c>
      <c r="AT16" s="31">
        <f t="shared" si="8"/>
        <v>0</v>
      </c>
    </row>
    <row r="17" spans="2:46" ht="15.75" thickBot="1">
      <c r="U17" s="87" t="str">
        <f>Cadastros!I24</f>
        <v>Juliana Guizoni</v>
      </c>
      <c r="V17" s="85">
        <f>COUNTIFS(H$39:H536,U17,K$39:K536,V$4)</f>
        <v>2</v>
      </c>
      <c r="W17" s="18">
        <f>COUNTIFS(H$39:H536,U17,K$39:K536,W$4)</f>
        <v>3</v>
      </c>
      <c r="X17" s="18">
        <f>COUNTIFS(H$39:H536,U17,K$39:K536,X$4)</f>
        <v>0</v>
      </c>
      <c r="Y17" s="19">
        <f t="shared" si="13"/>
        <v>5</v>
      </c>
      <c r="AA17" s="21" t="str">
        <f t="shared" si="14"/>
        <v>Juliana Guizoni</v>
      </c>
      <c r="AB17" s="33">
        <f>SUMIFS(J$40:J463,H$40:H463,AA17,E$40:E463,"SAL")</f>
        <v>0</v>
      </c>
      <c r="AC17" s="34">
        <f>SUMIFS(J$40:J537,H$40:H537,AA17,E$40:E537,"SAM")</f>
        <v>42</v>
      </c>
      <c r="AD17" s="34">
        <f>SUMIFS(J$40:J537,H$40:H537,AA17,E$40:E537,"NE")</f>
        <v>1491</v>
      </c>
      <c r="AE17" s="34">
        <f>SUMIFS(J$40:J537,H$40:H537,AA17,E$40:E537,"SAIL")</f>
        <v>3490</v>
      </c>
      <c r="AF17" s="39">
        <f t="shared" si="15"/>
        <v>5023</v>
      </c>
      <c r="AH17" s="21" t="str">
        <f t="shared" si="16"/>
        <v>Juliana Guizoni</v>
      </c>
      <c r="AI17" s="33">
        <f>COUNTIFS(H$40:H537,AH17,E$40:E537,"SAL")</f>
        <v>0</v>
      </c>
      <c r="AJ17" s="34">
        <f t="shared" si="2"/>
        <v>2</v>
      </c>
      <c r="AK17" s="29">
        <f t="shared" si="9"/>
        <v>1</v>
      </c>
      <c r="AL17" s="34">
        <f>COUNTIFS(H$40:H537,AH17,E$40:E537,"SAIL")</f>
        <v>2</v>
      </c>
      <c r="AM17" s="39">
        <f t="shared" si="3"/>
        <v>5</v>
      </c>
      <c r="AO17" s="21" t="str">
        <f t="shared" si="12"/>
        <v>Juliana Guizoni</v>
      </c>
      <c r="AP17" s="33">
        <f t="shared" si="4"/>
        <v>0</v>
      </c>
      <c r="AQ17" s="34">
        <f t="shared" si="5"/>
        <v>20</v>
      </c>
      <c r="AR17" s="34">
        <f t="shared" si="6"/>
        <v>5</v>
      </c>
      <c r="AS17" s="34">
        <f t="shared" si="7"/>
        <v>52</v>
      </c>
      <c r="AT17" s="39">
        <f t="shared" si="8"/>
        <v>77</v>
      </c>
    </row>
    <row r="18" spans="2:46" ht="15.75" thickBot="1">
      <c r="B18" s="24" t="s">
        <v>76</v>
      </c>
      <c r="C18" s="73" t="s">
        <v>77</v>
      </c>
      <c r="D18" s="10"/>
      <c r="E18" s="74" t="s">
        <v>78</v>
      </c>
      <c r="F18" s="4"/>
      <c r="G18" s="11"/>
      <c r="K18" s="4"/>
      <c r="U18" s="87" t="str">
        <f>Cadastros!I25</f>
        <v>Vinicyos Maguns</v>
      </c>
      <c r="V18" s="86">
        <f>COUNTIFS(H$39:H537,U18,K$39:K537,V$4)</f>
        <v>12</v>
      </c>
      <c r="W18" s="14">
        <f>COUNTIFS(H$39:H537,U18,K$39:K537,W$4)</f>
        <v>0</v>
      </c>
      <c r="X18" s="14">
        <f>COUNTIFS(H$39:H537,U18,K$39:K537,X$4)</f>
        <v>0</v>
      </c>
      <c r="Y18" s="15">
        <f t="shared" si="13"/>
        <v>12</v>
      </c>
      <c r="AA18" s="22" t="str">
        <f t="shared" si="14"/>
        <v>Vinicyos Maguns</v>
      </c>
      <c r="AB18" s="33">
        <f>SUMIFS(J$40:J464,H$40:H464,AA18,E$40:E464,"SAL")</f>
        <v>0</v>
      </c>
      <c r="AC18" s="34">
        <f>SUMIFS(J$40:J538,H$40:H538,AA18,E$40:E538,"SAM")</f>
        <v>0</v>
      </c>
      <c r="AD18" s="34">
        <f>SUMIFS(J$40:J538,H$40:H538,AA18,E$40:E538,"NE")</f>
        <v>4271</v>
      </c>
      <c r="AE18" s="34">
        <f>SUMIFS(J$40:J538,H$40:H538,AA18,E$40:E538,"SAIL")</f>
        <v>0</v>
      </c>
      <c r="AF18" s="31">
        <f t="shared" si="15"/>
        <v>4271</v>
      </c>
      <c r="AH18" s="22" t="str">
        <f t="shared" si="16"/>
        <v>Vinicyos Maguns</v>
      </c>
      <c r="AI18" s="33">
        <f>COUNTIFS(H$40:H538,AH18,E$40:E538,"SAL")</f>
        <v>0</v>
      </c>
      <c r="AJ18" s="34">
        <f t="shared" si="2"/>
        <v>0</v>
      </c>
      <c r="AK18" s="29">
        <f t="shared" si="9"/>
        <v>12</v>
      </c>
      <c r="AL18" s="34">
        <f>COUNTIFS(H$40:H538,AH18,E$40:E538,"SAIL")</f>
        <v>0</v>
      </c>
      <c r="AM18" s="31">
        <f t="shared" si="3"/>
        <v>12</v>
      </c>
      <c r="AO18" s="22" t="str">
        <f t="shared" si="12"/>
        <v>Vinicyos Maguns</v>
      </c>
      <c r="AP18" s="33">
        <f t="shared" si="4"/>
        <v>0</v>
      </c>
      <c r="AQ18" s="34">
        <f t="shared" si="5"/>
        <v>0</v>
      </c>
      <c r="AR18" s="34">
        <f t="shared" si="6"/>
        <v>48</v>
      </c>
      <c r="AS18" s="34">
        <f t="shared" si="7"/>
        <v>0</v>
      </c>
      <c r="AT18" s="31">
        <f t="shared" si="8"/>
        <v>48</v>
      </c>
    </row>
    <row r="19" spans="2:46" ht="15.75" thickBot="1">
      <c r="B19" s="23">
        <v>128217</v>
      </c>
      <c r="C19" s="45">
        <v>100250</v>
      </c>
      <c r="D19" s="10"/>
      <c r="E19" s="74" t="s">
        <v>79</v>
      </c>
      <c r="F19" s="178"/>
      <c r="G19" s="11"/>
      <c r="K19" s="5"/>
      <c r="U19" s="87" t="str">
        <f>Cadastros!I26</f>
        <v>Laís Andrade</v>
      </c>
      <c r="V19" s="85">
        <f>COUNTIFS(H$39:H538,U19,K$39:K538,V$4)</f>
        <v>1</v>
      </c>
      <c r="W19" s="18">
        <f>COUNTIFS(H$39:H538,U19,K$39:K538,W$4)</f>
        <v>0</v>
      </c>
      <c r="X19" s="18">
        <f>COUNTIFS(H$39:H538,U19,K$39:K538,X$4)</f>
        <v>0</v>
      </c>
      <c r="Y19" s="19">
        <f t="shared" si="13"/>
        <v>1</v>
      </c>
      <c r="AA19" s="21" t="str">
        <f t="shared" si="14"/>
        <v>Laís Andrade</v>
      </c>
      <c r="AB19" s="33">
        <f>SUMIFS(J$40:J465,H$40:H465,AA19,E$40:E465,"SAL")</f>
        <v>0</v>
      </c>
      <c r="AC19" s="34">
        <f>SUMIFS(J$40:J539,H$40:H539,AA19,E$40:E539,"SAM")</f>
        <v>1</v>
      </c>
      <c r="AD19" s="34">
        <f>SUMIFS(J$40:J539,H$40:H539,AA19,E$40:E539,"NE")</f>
        <v>0</v>
      </c>
      <c r="AE19" s="34">
        <f>SUMIFS(J$40:J539,H$40:H539,AA19,E$40:E539,"SAIL")</f>
        <v>0</v>
      </c>
      <c r="AF19" s="39">
        <f t="shared" si="15"/>
        <v>1</v>
      </c>
      <c r="AH19" s="21" t="str">
        <f t="shared" si="16"/>
        <v>Laís Andrade</v>
      </c>
      <c r="AI19" s="33">
        <f>COUNTIFS(H$40:H539,AH19,E$40:E539,"SAL")</f>
        <v>0</v>
      </c>
      <c r="AJ19" s="34">
        <f t="shared" si="2"/>
        <v>1</v>
      </c>
      <c r="AK19" s="29">
        <f t="shared" si="9"/>
        <v>0</v>
      </c>
      <c r="AL19" s="34">
        <f>COUNTIFS(H$40:H539,AH19,E$40:E539,"SAIL")</f>
        <v>0</v>
      </c>
      <c r="AM19" s="39">
        <f t="shared" si="3"/>
        <v>1</v>
      </c>
      <c r="AO19" s="21" t="str">
        <f t="shared" si="12"/>
        <v>Laís Andrade</v>
      </c>
      <c r="AP19" s="33">
        <f t="shared" si="4"/>
        <v>0</v>
      </c>
      <c r="AQ19" s="34">
        <f t="shared" si="5"/>
        <v>0</v>
      </c>
      <c r="AR19" s="34">
        <f t="shared" si="6"/>
        <v>0</v>
      </c>
      <c r="AS19" s="34">
        <f t="shared" si="7"/>
        <v>0</v>
      </c>
      <c r="AT19" s="39">
        <f t="shared" si="8"/>
        <v>0</v>
      </c>
    </row>
    <row r="20" spans="2:46" ht="15.75" thickBot="1">
      <c r="D20" s="10"/>
      <c r="E20" s="74" t="s">
        <v>80</v>
      </c>
      <c r="F20" s="4"/>
      <c r="G20" s="11"/>
      <c r="K20" s="4"/>
      <c r="U20" s="87" t="str">
        <f>Cadastros!I27</f>
        <v>Luciana Mercante</v>
      </c>
      <c r="V20" s="86">
        <f>COUNTIFS(H$39:H539,U20,K$39:K539,V$4)</f>
        <v>0</v>
      </c>
      <c r="W20" s="14">
        <f>COUNTIFS(H$39:H539,U20,K$39:K539,W$4)</f>
        <v>0</v>
      </c>
      <c r="X20" s="14">
        <f>COUNTIFS(H$39:H539,U20,K$39:K539,X$4)</f>
        <v>0</v>
      </c>
      <c r="Y20" s="15">
        <f t="shared" si="13"/>
        <v>0</v>
      </c>
      <c r="AA20" s="22" t="str">
        <f t="shared" si="14"/>
        <v>Luciana Mercante</v>
      </c>
      <c r="AB20" s="33">
        <f>SUMIFS(J$40:J466,H$40:H466,AA20,E$40:E466,"SAL")</f>
        <v>0</v>
      </c>
      <c r="AC20" s="34">
        <f>SUMIFS(J$40:J540,H$40:H540,AA20,E$40:E540,"SAM")</f>
        <v>0</v>
      </c>
      <c r="AD20" s="34">
        <f>SUMIFS(J$40:J540,H$40:H540,AA20,E$40:E540,"NE")</f>
        <v>0</v>
      </c>
      <c r="AE20" s="34">
        <f>SUMIFS(J$40:J540,H$40:H540,AA20,E$40:E540,"SAIL")</f>
        <v>0</v>
      </c>
      <c r="AF20" s="31">
        <f t="shared" si="15"/>
        <v>0</v>
      </c>
      <c r="AH20" s="22" t="str">
        <f t="shared" si="16"/>
        <v>Luciana Mercante</v>
      </c>
      <c r="AI20" s="33">
        <f>COUNTIFS(H$40:H540,AH20,E$40:E540,"SAL")</f>
        <v>0</v>
      </c>
      <c r="AJ20" s="34">
        <f t="shared" si="2"/>
        <v>0</v>
      </c>
      <c r="AK20" s="29">
        <f t="shared" si="9"/>
        <v>0</v>
      </c>
      <c r="AL20" s="34">
        <f>COUNTIFS(H$40:H540,AH20,E$40:E540,"SAIL")</f>
        <v>0</v>
      </c>
      <c r="AM20" s="31">
        <f t="shared" si="3"/>
        <v>0</v>
      </c>
      <c r="AO20" s="22" t="str">
        <f t="shared" si="12"/>
        <v>Luciana Mercante</v>
      </c>
      <c r="AP20" s="33">
        <f t="shared" si="4"/>
        <v>0</v>
      </c>
      <c r="AQ20" s="34">
        <f t="shared" si="5"/>
        <v>0</v>
      </c>
      <c r="AR20" s="34">
        <f t="shared" si="6"/>
        <v>0</v>
      </c>
      <c r="AS20" s="34">
        <f t="shared" si="7"/>
        <v>0</v>
      </c>
      <c r="AT20" s="31">
        <f t="shared" si="8"/>
        <v>0</v>
      </c>
    </row>
    <row r="21" spans="2:46" ht="15.75" thickBot="1">
      <c r="D21" s="10"/>
      <c r="E21" s="74" t="s">
        <v>77</v>
      </c>
      <c r="F21" s="159"/>
      <c r="G21" s="11"/>
      <c r="K21" s="5"/>
      <c r="U21" s="87" t="str">
        <f>Cadastros!I28</f>
        <v>Mateus Alves</v>
      </c>
      <c r="V21" s="85">
        <f>COUNTIFS(H$39:H540,U21,K$39:K540,V$4)</f>
        <v>0</v>
      </c>
      <c r="W21" s="18">
        <f>COUNTIFS(H$39:H540,U21,K$39:K540,W$4)</f>
        <v>0</v>
      </c>
      <c r="X21" s="18">
        <f>COUNTIFS(H$39:H540,U21,K$39:K540,X$4)</f>
        <v>0</v>
      </c>
      <c r="Y21" s="19">
        <f t="shared" si="13"/>
        <v>0</v>
      </c>
      <c r="AA21" s="21" t="str">
        <f t="shared" si="14"/>
        <v>Mateus Alves</v>
      </c>
      <c r="AB21" s="33">
        <f>SUMIFS(J$40:J467,H$40:H467,AA21,E$40:E467,"SAL")</f>
        <v>0</v>
      </c>
      <c r="AC21" s="34">
        <f>SUMIFS(J$40:J541,H$40:H541,AA21,E$40:E541,"SAM")</f>
        <v>0</v>
      </c>
      <c r="AD21" s="34">
        <f>SUMIFS(J$40:J541,H$40:H541,AA21,E$40:E541,"NE")</f>
        <v>0</v>
      </c>
      <c r="AE21" s="34">
        <f>SUMIFS(J$40:J541,H$40:H541,AA21,E$40:E541,"SAIL")</f>
        <v>0</v>
      </c>
      <c r="AF21" s="39">
        <f t="shared" si="15"/>
        <v>0</v>
      </c>
      <c r="AH21" s="21" t="str">
        <f t="shared" si="16"/>
        <v>Mateus Alves</v>
      </c>
      <c r="AI21" s="33">
        <f>COUNTIFS(H$40:H541,AH21,E$40:E541,"SAL")</f>
        <v>0</v>
      </c>
      <c r="AJ21" s="34">
        <f t="shared" si="2"/>
        <v>0</v>
      </c>
      <c r="AK21" s="29">
        <f t="shared" si="9"/>
        <v>0</v>
      </c>
      <c r="AL21" s="34">
        <f>COUNTIFS(H$40:H541,AH21,E$40:E541,"SAIL")</f>
        <v>0</v>
      </c>
      <c r="AM21" s="39">
        <f t="shared" si="3"/>
        <v>0</v>
      </c>
      <c r="AO21" s="21" t="str">
        <f t="shared" si="12"/>
        <v>Mateus Alves</v>
      </c>
      <c r="AP21" s="33">
        <f t="shared" si="4"/>
        <v>0</v>
      </c>
      <c r="AQ21" s="34">
        <f t="shared" si="5"/>
        <v>0</v>
      </c>
      <c r="AR21" s="34">
        <f t="shared" si="6"/>
        <v>0</v>
      </c>
      <c r="AS21" s="34">
        <f t="shared" si="7"/>
        <v>0</v>
      </c>
      <c r="AT21" s="39">
        <f t="shared" si="8"/>
        <v>0</v>
      </c>
    </row>
    <row r="22" spans="2:46" ht="15.75" thickBot="1">
      <c r="D22" s="10"/>
      <c r="E22" s="74" t="s">
        <v>81</v>
      </c>
      <c r="F22" s="172"/>
      <c r="G22" s="11"/>
      <c r="K22" s="5"/>
      <c r="U22" s="87" t="str">
        <f>Cadastros!I29</f>
        <v>Patricia Costa</v>
      </c>
      <c r="V22" s="86">
        <f>COUNTIFS(H$39:H541,U22,K$39:K541,V$4)</f>
        <v>2</v>
      </c>
      <c r="W22" s="14">
        <f>COUNTIFS(H$39:H541,U22,K$39:K541,W$4)</f>
        <v>0</v>
      </c>
      <c r="X22" s="14">
        <f>COUNTIFS(H$39:H541,U22,K$39:K541,X$4)</f>
        <v>0</v>
      </c>
      <c r="Y22" s="15">
        <f t="shared" si="13"/>
        <v>2</v>
      </c>
      <c r="AA22" s="22" t="str">
        <f t="shared" si="14"/>
        <v>Patricia Costa</v>
      </c>
      <c r="AB22" s="33">
        <f>SUMIFS(J$40:J468,H$40:H468,AA22,E$40:E468,"SAL")</f>
        <v>60</v>
      </c>
      <c r="AC22" s="34">
        <f>SUMIFS(J$40:J542,H$40:H542,AA22,E$40:E542,"SAM")</f>
        <v>0</v>
      </c>
      <c r="AD22" s="34">
        <f>SUMIFS(J$40:J542,H$40:H542,AA22,E$40:E542,"NE")</f>
        <v>0</v>
      </c>
      <c r="AE22" s="34">
        <f>SUMIFS(J$40:J542,H$40:H542,AA22,E$40:E542,"SAIL")</f>
        <v>0</v>
      </c>
      <c r="AF22" s="31">
        <f t="shared" si="15"/>
        <v>60</v>
      </c>
      <c r="AH22" s="22" t="str">
        <f t="shared" si="16"/>
        <v>Patricia Costa</v>
      </c>
      <c r="AI22" s="33">
        <f>COUNTIFS(H$40:H542,AH22,E$40:E542,"SAL")</f>
        <v>2</v>
      </c>
      <c r="AJ22" s="34">
        <f t="shared" si="2"/>
        <v>0</v>
      </c>
      <c r="AK22" s="29">
        <f t="shared" si="9"/>
        <v>0</v>
      </c>
      <c r="AL22" s="34">
        <f>COUNTIFS(H$40:H542,AH22,E$40:E542,"SAIL")</f>
        <v>0</v>
      </c>
      <c r="AM22" s="31">
        <f t="shared" si="3"/>
        <v>2</v>
      </c>
      <c r="AO22" s="22" t="str">
        <f t="shared" si="12"/>
        <v>Patricia Costa</v>
      </c>
      <c r="AP22" s="33">
        <f t="shared" si="4"/>
        <v>0</v>
      </c>
      <c r="AQ22" s="34">
        <f t="shared" si="5"/>
        <v>0</v>
      </c>
      <c r="AR22" s="34">
        <f t="shared" si="6"/>
        <v>0</v>
      </c>
      <c r="AS22" s="34">
        <f t="shared" si="7"/>
        <v>0</v>
      </c>
      <c r="AT22" s="31">
        <f t="shared" si="8"/>
        <v>0</v>
      </c>
    </row>
    <row r="23" spans="2:46" ht="15.75" thickBot="1">
      <c r="D23" s="10"/>
      <c r="E23" s="74" t="s">
        <v>82</v>
      </c>
      <c r="F23" s="172"/>
      <c r="G23" s="11"/>
      <c r="U23" s="87" t="str">
        <f>Cadastros!I30</f>
        <v>Rafaela Ribeiro</v>
      </c>
      <c r="V23" s="85">
        <f>COUNTIFS(H$39:H542,U23,K$39:K542,V$4)</f>
        <v>3</v>
      </c>
      <c r="W23" s="18">
        <f>COUNTIFS(H$39:H542,U23,K$39:K542,W$4)</f>
        <v>1</v>
      </c>
      <c r="X23" s="18">
        <f>COUNTIFS(H$39:H542,U23,K$39:K542,X$4)</f>
        <v>0</v>
      </c>
      <c r="Y23" s="19">
        <f t="shared" si="13"/>
        <v>4</v>
      </c>
      <c r="AA23" s="21" t="str">
        <f t="shared" si="14"/>
        <v>Rafaela Ribeiro</v>
      </c>
      <c r="AB23" s="33">
        <f>SUMIFS(J$40:J469,H$40:H469,AA23,E$40:E469,"SAL")</f>
        <v>2483</v>
      </c>
      <c r="AC23" s="34">
        <f>SUMIFS(J$40:J543,H$40:H543,AA23,E$40:E543,"SAM")</f>
        <v>427</v>
      </c>
      <c r="AD23" s="34">
        <f>SUMIFS(J$40:J543,H$40:H543,AA23,E$40:E543,"NE")</f>
        <v>0</v>
      </c>
      <c r="AE23" s="34">
        <f>SUMIFS(J$40:J543,H$40:H543,AA23,E$40:E543,"SAIL")</f>
        <v>0</v>
      </c>
      <c r="AF23" s="39">
        <f t="shared" si="15"/>
        <v>2910</v>
      </c>
      <c r="AH23" s="21" t="str">
        <f t="shared" si="16"/>
        <v>Rafaela Ribeiro</v>
      </c>
      <c r="AI23" s="33">
        <f>COUNTIFS(H$40:H543,AH23,E$40:E543,"SAL")</f>
        <v>2</v>
      </c>
      <c r="AJ23" s="34">
        <f t="shared" si="2"/>
        <v>2</v>
      </c>
      <c r="AK23" s="29">
        <f t="shared" si="9"/>
        <v>0</v>
      </c>
      <c r="AL23" s="34">
        <f>COUNTIFS(H$40:H543,AH23,E$40:E543,"SAIL")</f>
        <v>0</v>
      </c>
      <c r="AM23" s="39">
        <f t="shared" si="3"/>
        <v>4</v>
      </c>
      <c r="AO23" s="21" t="str">
        <f t="shared" si="12"/>
        <v>Rafaela Ribeiro</v>
      </c>
      <c r="AP23" s="33">
        <f t="shared" si="4"/>
        <v>30</v>
      </c>
      <c r="AQ23" s="34">
        <f t="shared" si="5"/>
        <v>23</v>
      </c>
      <c r="AR23" s="34">
        <f t="shared" si="6"/>
        <v>0</v>
      </c>
      <c r="AS23" s="34">
        <f t="shared" si="7"/>
        <v>0</v>
      </c>
      <c r="AT23" s="39">
        <f t="shared" si="8"/>
        <v>53</v>
      </c>
    </row>
    <row r="24" spans="2:46" ht="15.75" thickBot="1">
      <c r="D24" s="10"/>
      <c r="E24" s="74" t="s">
        <v>83</v>
      </c>
      <c r="G24" s="11"/>
      <c r="K24" s="5"/>
      <c r="U24" s="87" t="str">
        <f>Cadastros!I31</f>
        <v>Renan Maiato</v>
      </c>
      <c r="V24" s="86">
        <f>COUNTIFS(H$39:H543,U24,K$39:K543,V$4)</f>
        <v>1</v>
      </c>
      <c r="W24" s="14">
        <f>COUNTIFS(H$39:H543,U24,K$39:K543,W$4)</f>
        <v>2</v>
      </c>
      <c r="X24" s="14">
        <f>COUNTIFS(H$39:H543,U24,K$39:K543,X$4)</f>
        <v>0</v>
      </c>
      <c r="Y24" s="15">
        <f t="shared" si="13"/>
        <v>3</v>
      </c>
      <c r="AA24" s="22" t="str">
        <f t="shared" si="14"/>
        <v>Renan Maiato</v>
      </c>
      <c r="AB24" s="33">
        <f>SUMIFS(J$40:J470,H$40:H470,AA24,E$40:E470,"SAL")</f>
        <v>0</v>
      </c>
      <c r="AC24" s="34">
        <f>SUMIFS(J$40:J544,H$40:H544,AA24,E$40:E544,"SAM")</f>
        <v>1351</v>
      </c>
      <c r="AD24" s="34">
        <f>SUMIFS(J$40:J544,H$40:H544,AA24,E$40:E544,"NE")</f>
        <v>0</v>
      </c>
      <c r="AE24" s="34">
        <f>SUMIFS(J$40:J544,H$40:H544,AA24,E$40:E544,"SAIL")</f>
        <v>0</v>
      </c>
      <c r="AF24" s="31">
        <f t="shared" si="15"/>
        <v>1351</v>
      </c>
      <c r="AH24" s="22" t="str">
        <f t="shared" si="16"/>
        <v>Renan Maiato</v>
      </c>
      <c r="AI24" s="33">
        <f>COUNTIFS(H$40:H544,AH24,E$40:E544,"SAL")</f>
        <v>0</v>
      </c>
      <c r="AJ24" s="34">
        <f t="shared" si="2"/>
        <v>3</v>
      </c>
      <c r="AK24" s="29">
        <f t="shared" si="9"/>
        <v>0</v>
      </c>
      <c r="AL24" s="34">
        <f>COUNTIFS(H$40:H544,AH24,E$40:E544,"SAIL")</f>
        <v>0</v>
      </c>
      <c r="AM24" s="31">
        <f t="shared" si="3"/>
        <v>3</v>
      </c>
      <c r="AO24" s="22" t="str">
        <f t="shared" si="12"/>
        <v>Renan Maiato</v>
      </c>
      <c r="AP24" s="33">
        <f t="shared" si="4"/>
        <v>0</v>
      </c>
      <c r="AQ24" s="34">
        <f t="shared" si="5"/>
        <v>50</v>
      </c>
      <c r="AR24" s="34">
        <f t="shared" si="6"/>
        <v>0</v>
      </c>
      <c r="AS24" s="34">
        <f t="shared" si="7"/>
        <v>0</v>
      </c>
      <c r="AT24" s="31">
        <f t="shared" si="8"/>
        <v>50</v>
      </c>
    </row>
    <row r="25" spans="2:46" ht="15.75" thickBot="1">
      <c r="D25" s="10"/>
      <c r="E25" s="74" t="s">
        <v>84</v>
      </c>
      <c r="F25" s="172"/>
      <c r="G25" s="11"/>
      <c r="K25" s="5"/>
      <c r="U25" s="87" t="str">
        <f>Cadastros!I32</f>
        <v>Sabrine Neves</v>
      </c>
      <c r="V25" s="85">
        <f>COUNTIFS(H$39:H544,U25,K$39:K544,V$4)</f>
        <v>1</v>
      </c>
      <c r="W25" s="18">
        <f>COUNTIFS(H$39:H544,U25,K$39:K544,W$4)</f>
        <v>1</v>
      </c>
      <c r="X25" s="18">
        <f>COUNTIFS(H$39:H544,U25,K$39:K544,X$4)</f>
        <v>0</v>
      </c>
      <c r="Y25" s="19">
        <f t="shared" si="13"/>
        <v>2</v>
      </c>
      <c r="AA25" s="21" t="str">
        <f t="shared" si="14"/>
        <v>Sabrine Neves</v>
      </c>
      <c r="AB25" s="33">
        <f>SUMIFS(J$40:J471,H$40:H471,AA25,E$40:E471,"SAL")</f>
        <v>2003</v>
      </c>
      <c r="AC25" s="34">
        <f>SUMIFS(J$40:J545,H$40:H545,AA25,E$40:E545,"SAM")</f>
        <v>387</v>
      </c>
      <c r="AD25" s="34">
        <f>SUMIFS(J$40:J545,H$40:H545,AA25,E$40:E545,"NE")</f>
        <v>0</v>
      </c>
      <c r="AE25" s="34">
        <f>SUMIFS(J$40:J545,H$40:H545,AA25,E$40:E545,"SAIL")</f>
        <v>0</v>
      </c>
      <c r="AF25" s="39">
        <f t="shared" si="15"/>
        <v>2390</v>
      </c>
      <c r="AH25" s="21" t="str">
        <f t="shared" si="16"/>
        <v>Sabrine Neves</v>
      </c>
      <c r="AI25" s="33">
        <f>COUNTIFS(H$40:H545,AH25,E$40:E545,"SAL")</f>
        <v>1</v>
      </c>
      <c r="AJ25" s="34">
        <f t="shared" si="2"/>
        <v>1</v>
      </c>
      <c r="AK25" s="29">
        <f t="shared" si="9"/>
        <v>0</v>
      </c>
      <c r="AL25" s="34">
        <f>COUNTIFS(H$40:H545,AH25,E$40:E545,"SAIL")</f>
        <v>0</v>
      </c>
      <c r="AM25" s="39">
        <f t="shared" si="3"/>
        <v>2</v>
      </c>
      <c r="AO25" s="21" t="str">
        <f t="shared" si="12"/>
        <v>Sabrine Neves</v>
      </c>
      <c r="AP25" s="33">
        <f t="shared" si="4"/>
        <v>20</v>
      </c>
      <c r="AQ25" s="34">
        <f t="shared" si="5"/>
        <v>11.5</v>
      </c>
      <c r="AR25" s="34">
        <f t="shared" si="6"/>
        <v>0</v>
      </c>
      <c r="AS25" s="34">
        <f t="shared" si="7"/>
        <v>0</v>
      </c>
      <c r="AT25" s="39">
        <f t="shared" si="8"/>
        <v>31.5</v>
      </c>
    </row>
    <row r="26" spans="2:46" ht="15.75" thickBot="1">
      <c r="D26" s="10"/>
      <c r="E26" s="74" t="s">
        <v>24</v>
      </c>
      <c r="F26" s="172"/>
      <c r="G26" s="11"/>
      <c r="K26" s="5"/>
      <c r="U26" s="87" t="str">
        <f>Cadastros!I33</f>
        <v>Victor Ferreira</v>
      </c>
      <c r="V26" s="86">
        <f>COUNTIFS(H$39:H545,U26,K$39:K545,V$4)</f>
        <v>6</v>
      </c>
      <c r="W26" s="14">
        <f>COUNTIFS(H$39:H545,U26,K$39:K545,W$4)</f>
        <v>0</v>
      </c>
      <c r="X26" s="14">
        <f>COUNTIFS(H$39:H545,U26,K$39:K545,X$4)</f>
        <v>0</v>
      </c>
      <c r="Y26" s="15">
        <f t="shared" si="13"/>
        <v>6</v>
      </c>
      <c r="AA26" s="22" t="str">
        <f t="shared" si="14"/>
        <v>Victor Ferreira</v>
      </c>
      <c r="AB26" s="33">
        <f>SUMIFS(J$40:J472,H$40:H472,AA26,E$40:E472,"SAL")</f>
        <v>0</v>
      </c>
      <c r="AC26" s="34">
        <f>SUMIFS(J$40:J546,H$40:H546,AA26,E$40:E546,"SAM")</f>
        <v>207</v>
      </c>
      <c r="AD26" s="34">
        <f>SUMIFS(J$40:J546,H$40:H546,AA26,E$40:E546,"NE")</f>
        <v>0</v>
      </c>
      <c r="AE26" s="34">
        <f>SUMIFS(J$40:J546,H$40:H546,AA26,E$40:E546,"SAIL")</f>
        <v>0</v>
      </c>
      <c r="AF26" s="31">
        <f t="shared" si="15"/>
        <v>207</v>
      </c>
      <c r="AH26" s="22" t="str">
        <f t="shared" si="16"/>
        <v>Victor Ferreira</v>
      </c>
      <c r="AI26" s="33">
        <f>COUNTIFS(H$40:H546,AH26,E$40:E546,"SAL")</f>
        <v>0</v>
      </c>
      <c r="AJ26" s="34">
        <f t="shared" si="2"/>
        <v>6</v>
      </c>
      <c r="AK26" s="29">
        <f t="shared" si="9"/>
        <v>0</v>
      </c>
      <c r="AL26" s="34">
        <f>COUNTIFS(H$40:H546,AH26,E$40:E546,"SAIL")</f>
        <v>0</v>
      </c>
      <c r="AM26" s="31">
        <f t="shared" si="3"/>
        <v>6</v>
      </c>
      <c r="AO26" s="22" t="str">
        <f t="shared" si="12"/>
        <v>Victor Ferreira</v>
      </c>
      <c r="AP26" s="33">
        <f t="shared" si="4"/>
        <v>0</v>
      </c>
      <c r="AQ26" s="34">
        <f t="shared" si="5"/>
        <v>0</v>
      </c>
      <c r="AR26" s="34">
        <f t="shared" si="6"/>
        <v>0</v>
      </c>
      <c r="AS26" s="34">
        <f t="shared" si="7"/>
        <v>0</v>
      </c>
      <c r="AT26" s="31">
        <f t="shared" si="8"/>
        <v>0</v>
      </c>
    </row>
    <row r="27" spans="2:46" ht="15.75" thickBot="1">
      <c r="D27" s="10"/>
      <c r="E27" s="74" t="s">
        <v>85</v>
      </c>
      <c r="F27" s="5"/>
      <c r="G27" s="11"/>
      <c r="K27" s="5"/>
      <c r="U27" s="87" t="str">
        <f>Cadastros!I34</f>
        <v>Erick Vicente</v>
      </c>
      <c r="V27" s="85">
        <f>COUNTIFS(H$39:H546,U27,K$39:K546,V$4)</f>
        <v>10</v>
      </c>
      <c r="W27" s="18">
        <f>COUNTIFS(H$39:H546,U27,K$39:K546,W$4)</f>
        <v>0</v>
      </c>
      <c r="X27" s="18">
        <f>COUNTIFS(H$39:H546,U27,K$39:K546,X$4)</f>
        <v>0</v>
      </c>
      <c r="Y27" s="19">
        <f t="shared" si="13"/>
        <v>10</v>
      </c>
      <c r="AA27" s="21" t="str">
        <f t="shared" si="14"/>
        <v>Erick Vicente</v>
      </c>
      <c r="AB27" s="33">
        <f>SUMIFS(J$40:J473,H$40:H473,AA27,E$40:E473,"SAL")</f>
        <v>0</v>
      </c>
      <c r="AC27" s="34">
        <f>SUMIFS(J$40:J547,H$40:H547,AA27,E$40:E547,"SAM")</f>
        <v>942</v>
      </c>
      <c r="AD27" s="34">
        <f>SUMIFS(J$40:J547,H$40:H547,AA27,E$40:E547,"NE")</f>
        <v>1803</v>
      </c>
      <c r="AE27" s="34">
        <f>SUMIFS(J$40:J547,H$40:H547,AA27,E$40:E547,"SAIL")</f>
        <v>0</v>
      </c>
      <c r="AF27" s="39">
        <f t="shared" si="15"/>
        <v>2745</v>
      </c>
      <c r="AH27" s="21" t="str">
        <f t="shared" si="16"/>
        <v>Erick Vicente</v>
      </c>
      <c r="AI27" s="33">
        <f>COUNTIFS(H$40:H547,AH27,E$40:E547,"SAL")</f>
        <v>0</v>
      </c>
      <c r="AJ27" s="34">
        <f t="shared" si="2"/>
        <v>3</v>
      </c>
      <c r="AK27" s="29">
        <f t="shared" si="9"/>
        <v>7</v>
      </c>
      <c r="AL27" s="34">
        <f>COUNTIFS(H$40:H547,AH27,E$40:E547,"SAIL")</f>
        <v>0</v>
      </c>
      <c r="AM27" s="39">
        <f t="shared" si="3"/>
        <v>10</v>
      </c>
      <c r="AO27" s="21" t="str">
        <f t="shared" si="12"/>
        <v>Erick Vicente</v>
      </c>
      <c r="AP27" s="33">
        <f t="shared" si="4"/>
        <v>0</v>
      </c>
      <c r="AQ27" s="34">
        <f t="shared" si="5"/>
        <v>30</v>
      </c>
      <c r="AR27" s="34">
        <f t="shared" si="6"/>
        <v>21</v>
      </c>
      <c r="AS27" s="34">
        <f t="shared" si="7"/>
        <v>0</v>
      </c>
      <c r="AT27" s="39">
        <f t="shared" si="8"/>
        <v>51</v>
      </c>
    </row>
    <row r="28" spans="2:46" ht="15.75" thickBot="1">
      <c r="D28" s="10"/>
      <c r="E28" s="74" t="s">
        <v>25</v>
      </c>
      <c r="F28" s="172"/>
      <c r="G28" s="11"/>
      <c r="K28" s="5"/>
      <c r="U28" s="87" t="str">
        <f>Cadastros!I35</f>
        <v>Rafaela Sampaio</v>
      </c>
      <c r="V28" s="86">
        <f>COUNTIFS(H$39:H547,U28,K$39:K547,V$4)</f>
        <v>1</v>
      </c>
      <c r="W28" s="14">
        <f>COUNTIFS(H$39:H547,U28,K$39:K547,W$4)</f>
        <v>1</v>
      </c>
      <c r="X28" s="14">
        <f>COUNTIFS(H$39:H547,U28,K$39:K547,X$4)</f>
        <v>0</v>
      </c>
      <c r="Y28" s="15">
        <f t="shared" si="13"/>
        <v>2</v>
      </c>
      <c r="AA28" s="22" t="str">
        <f t="shared" si="14"/>
        <v>Rafaela Sampaio</v>
      </c>
      <c r="AB28" s="33">
        <f>SUMIFS(J$40:J474,H$40:H474,AA28,E$40:E474,"SAL")</f>
        <v>3651</v>
      </c>
      <c r="AC28" s="34">
        <f>SUMIFS(J$40:J548,H$40:H548,AA28,E$40:E548,"SAM")</f>
        <v>0</v>
      </c>
      <c r="AD28" s="34">
        <f>SUMIFS(J$40:J548,H$40:H548,AA28,E$40:E548,"NE")</f>
        <v>0</v>
      </c>
      <c r="AE28" s="34">
        <f>SUMIFS(J$40:J548,H$40:H548,AA28,E$40:E548,"SAIL")</f>
        <v>0</v>
      </c>
      <c r="AF28" s="31">
        <f t="shared" si="15"/>
        <v>3651</v>
      </c>
      <c r="AH28" s="22" t="str">
        <f t="shared" si="16"/>
        <v>Rafaela Sampaio</v>
      </c>
      <c r="AI28" s="33">
        <f>COUNTIFS(H$40:H548,AH28,E$40:E548,"SAL")</f>
        <v>2</v>
      </c>
      <c r="AJ28" s="34">
        <f t="shared" si="2"/>
        <v>0</v>
      </c>
      <c r="AK28" s="29">
        <f t="shared" si="9"/>
        <v>0</v>
      </c>
      <c r="AL28" s="34">
        <f>COUNTIFS(H$40:H548,AH28,E$40:E548,"SAIL")</f>
        <v>0</v>
      </c>
      <c r="AM28" s="31">
        <f t="shared" si="3"/>
        <v>2</v>
      </c>
      <c r="AO28" s="22" t="str">
        <f t="shared" si="12"/>
        <v>Rafaela Sampaio</v>
      </c>
      <c r="AP28" s="33">
        <f t="shared" si="4"/>
        <v>30</v>
      </c>
      <c r="AQ28" s="34">
        <f t="shared" si="5"/>
        <v>0</v>
      </c>
      <c r="AR28" s="34">
        <f t="shared" si="6"/>
        <v>0</v>
      </c>
      <c r="AS28" s="34">
        <f t="shared" si="7"/>
        <v>0</v>
      </c>
      <c r="AT28" s="31">
        <f t="shared" si="8"/>
        <v>30</v>
      </c>
    </row>
    <row r="29" spans="2:46" ht="15.75" thickBot="1">
      <c r="D29" s="10"/>
      <c r="E29" s="74" t="s">
        <v>86</v>
      </c>
      <c r="F29" s="159"/>
      <c r="G29" s="11"/>
      <c r="K29" s="5"/>
      <c r="U29" s="87" t="str">
        <f>Cadastros!I36</f>
        <v>Laysa Gabriela</v>
      </c>
      <c r="V29" s="97">
        <f>COUNTIFS(H$39:H548,U29,K$39:K548,V$4)</f>
        <v>2</v>
      </c>
      <c r="W29" s="98">
        <f>COUNTIFS(H$39:H548,U29,K$39:K548,W$4)</f>
        <v>0</v>
      </c>
      <c r="X29" s="98">
        <f>COUNTIFS(H$39:H548,U29,K$39:K548,X$4)</f>
        <v>0</v>
      </c>
      <c r="Y29" s="99">
        <f t="shared" si="13"/>
        <v>2</v>
      </c>
      <c r="AA29" s="89" t="str">
        <f t="shared" si="14"/>
        <v>Laysa Gabriela</v>
      </c>
      <c r="AB29" s="33">
        <f>SUMIFS(J$40:J475,H$40:H475,AA29,E$40:E475,"SAL")</f>
        <v>738</v>
      </c>
      <c r="AC29" s="34">
        <f>SUMIFS(J$40:J549,H$40:H549,AA29,E$40:E549,"SAM")</f>
        <v>0</v>
      </c>
      <c r="AD29" s="34">
        <f>SUMIFS(J$40:J549,H$40:H549,AA29,E$40:E549,"NE")</f>
        <v>0</v>
      </c>
      <c r="AE29" s="34">
        <f>SUMIFS(J$40:J549,H$40:H549,AA29,E$40:E549,"SAIL")</f>
        <v>0</v>
      </c>
      <c r="AF29" s="92">
        <f t="shared" si="15"/>
        <v>738</v>
      </c>
      <c r="AH29" s="89" t="str">
        <f t="shared" si="16"/>
        <v>Laysa Gabriela</v>
      </c>
      <c r="AI29" s="33">
        <f>COUNTIFS(H$40:H549,AH29,E$40:E549,"SAL")</f>
        <v>2</v>
      </c>
      <c r="AJ29" s="34">
        <f t="shared" si="2"/>
        <v>0</v>
      </c>
      <c r="AK29" s="29">
        <f t="shared" si="9"/>
        <v>0</v>
      </c>
      <c r="AL29" s="34">
        <f>COUNTIFS(H$40:H549,AH29,E$40:E549,"SAIL")</f>
        <v>0</v>
      </c>
      <c r="AM29" s="92">
        <f t="shared" si="3"/>
        <v>2</v>
      </c>
      <c r="AO29" s="89" t="str">
        <f t="shared" si="12"/>
        <v>Laysa Gabriela</v>
      </c>
      <c r="AP29" s="33">
        <f t="shared" si="4"/>
        <v>20</v>
      </c>
      <c r="AQ29" s="34">
        <f t="shared" si="5"/>
        <v>0</v>
      </c>
      <c r="AR29" s="34">
        <f t="shared" si="6"/>
        <v>0</v>
      </c>
      <c r="AS29" s="34">
        <f t="shared" si="7"/>
        <v>0</v>
      </c>
      <c r="AT29" s="92">
        <f t="shared" si="8"/>
        <v>20</v>
      </c>
    </row>
    <row r="30" spans="2:46" ht="15.75" thickBot="1">
      <c r="D30" s="10"/>
      <c r="E30" s="74" t="s">
        <v>87</v>
      </c>
      <c r="F30" s="172"/>
      <c r="G30" s="11"/>
      <c r="K30" s="5"/>
      <c r="U30" s="62" t="s">
        <v>88</v>
      </c>
      <c r="V30" s="93">
        <f>SUM(V5:V29)</f>
        <v>94</v>
      </c>
      <c r="W30" s="20">
        <f>SUM(W5:W29)</f>
        <v>11</v>
      </c>
      <c r="X30" s="20">
        <f>SUM(X5:X29)</f>
        <v>0</v>
      </c>
      <c r="Y30" s="100">
        <f>SUM(Y5:Y29)</f>
        <v>105</v>
      </c>
      <c r="AA30" s="62" t="s">
        <v>88</v>
      </c>
      <c r="AB30" s="79">
        <f>SUM(AB5:AB29)</f>
        <v>13871</v>
      </c>
      <c r="AC30" s="80">
        <f>SUM(AC5:AC29)</f>
        <v>8239</v>
      </c>
      <c r="AD30" s="80">
        <f>SUM(AD5:AD29)</f>
        <v>12166</v>
      </c>
      <c r="AE30" s="81">
        <f>SUM(AE5:AE29)</f>
        <v>4382</v>
      </c>
      <c r="AF30" s="62">
        <f>SUM(AB30:AE30)</f>
        <v>38658</v>
      </c>
      <c r="AH30" s="62" t="s">
        <v>88</v>
      </c>
      <c r="AI30" s="79">
        <f>SUM(AI5:AI29)</f>
        <v>16</v>
      </c>
      <c r="AJ30" s="80">
        <f>SUM(AJ5:AJ29)</f>
        <v>36</v>
      </c>
      <c r="AK30" s="80">
        <f>SUM(AK5:AK29)</f>
        <v>50</v>
      </c>
      <c r="AL30" s="81">
        <f>SUM(AL5:AL29)</f>
        <v>3</v>
      </c>
      <c r="AM30" s="62">
        <f>SUM(AI30:AL30)</f>
        <v>105</v>
      </c>
      <c r="AO30" s="62" t="s">
        <v>88</v>
      </c>
      <c r="AP30" s="79">
        <f>SUM(AP5:AP29)</f>
        <v>173</v>
      </c>
      <c r="AQ30" s="80">
        <f>SUM(AQ5:AQ29)</f>
        <v>279</v>
      </c>
      <c r="AR30" s="80">
        <f>SUM(AR5:AR29)</f>
        <v>88.5</v>
      </c>
      <c r="AS30" s="81">
        <f>SUM(AS5:AS29)</f>
        <v>72</v>
      </c>
      <c r="AT30" s="62">
        <f>SUM(AT5:AT29)</f>
        <v>612.5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v>46083</v>
      </c>
      <c r="B40" s="5">
        <v>128637</v>
      </c>
      <c r="C40" s="4">
        <v>46083</v>
      </c>
      <c r="D40" s="171">
        <v>100260</v>
      </c>
      <c r="E40" t="s">
        <v>16</v>
      </c>
      <c r="F40" s="5" t="s">
        <v>34</v>
      </c>
      <c r="G40" s="168" t="s">
        <v>306</v>
      </c>
      <c r="H40" s="5" t="s">
        <v>56</v>
      </c>
      <c r="I40" s="5" t="s">
        <v>28</v>
      </c>
      <c r="J40" s="5">
        <v>142</v>
      </c>
      <c r="K40" s="172" t="s">
        <v>10</v>
      </c>
      <c r="L40" s="5">
        <v>0</v>
      </c>
      <c r="M40" s="5" t="s">
        <v>33</v>
      </c>
      <c r="N40" s="5" t="s">
        <v>33</v>
      </c>
      <c r="O40" s="5">
        <v>0</v>
      </c>
      <c r="P40" s="5" t="s">
        <v>36</v>
      </c>
      <c r="Q40" s="5">
        <v>0</v>
      </c>
      <c r="R40" s="5">
        <v>3</v>
      </c>
    </row>
    <row r="41" spans="1:18">
      <c r="A41" s="4">
        <v>46083</v>
      </c>
      <c r="B41" s="178">
        <v>128217</v>
      </c>
      <c r="C41" s="4">
        <v>46083</v>
      </c>
      <c r="D41" s="159">
        <v>100250</v>
      </c>
      <c r="E41" s="172" t="s">
        <v>16</v>
      </c>
      <c r="F41" s="172" t="s">
        <v>34</v>
      </c>
      <c r="H41" s="172" t="s">
        <v>27</v>
      </c>
      <c r="I41" s="172" t="s">
        <v>28</v>
      </c>
      <c r="J41" s="5">
        <v>2110</v>
      </c>
      <c r="K41" s="172" t="s">
        <v>11</v>
      </c>
      <c r="L41" s="159">
        <v>3</v>
      </c>
      <c r="M41" s="172" t="s">
        <v>33</v>
      </c>
      <c r="N41" s="172" t="s">
        <v>33</v>
      </c>
      <c r="O41" s="5">
        <v>0</v>
      </c>
      <c r="P41" s="5" t="s">
        <v>8</v>
      </c>
      <c r="Q41" s="5">
        <v>6.5</v>
      </c>
      <c r="R41" s="5">
        <v>3</v>
      </c>
    </row>
    <row r="42" spans="1:18">
      <c r="A42" s="4">
        <v>46114</v>
      </c>
      <c r="B42" s="178">
        <v>129810</v>
      </c>
      <c r="C42" s="4">
        <v>46114</v>
      </c>
      <c r="D42" s="159">
        <v>101000</v>
      </c>
      <c r="E42" s="172" t="s">
        <v>18</v>
      </c>
      <c r="F42" s="172" t="s">
        <v>34</v>
      </c>
      <c r="G42" t="s">
        <v>307</v>
      </c>
      <c r="H42" s="172" t="s">
        <v>54</v>
      </c>
      <c r="I42" s="172" t="s">
        <v>32</v>
      </c>
      <c r="J42" s="5">
        <v>50</v>
      </c>
      <c r="K42" s="172" t="s">
        <v>10</v>
      </c>
      <c r="L42" s="159">
        <v>0</v>
      </c>
      <c r="M42" s="172" t="s">
        <v>33</v>
      </c>
      <c r="N42" s="172" t="s">
        <v>33</v>
      </c>
      <c r="O42" s="5">
        <v>0</v>
      </c>
      <c r="P42" s="5" t="s">
        <v>36</v>
      </c>
      <c r="Q42" s="5">
        <v>0</v>
      </c>
      <c r="R42" s="5">
        <v>3</v>
      </c>
    </row>
    <row r="43" spans="1:18">
      <c r="A43" s="4">
        <v>46077</v>
      </c>
      <c r="B43" s="178">
        <v>128410</v>
      </c>
      <c r="C43" s="4">
        <v>46113</v>
      </c>
      <c r="D43" s="159">
        <v>100990</v>
      </c>
      <c r="E43" s="172" t="s">
        <v>18</v>
      </c>
      <c r="F43" s="172" t="s">
        <v>34</v>
      </c>
      <c r="G43" t="s">
        <v>308</v>
      </c>
      <c r="H43" s="172" t="s">
        <v>52</v>
      </c>
      <c r="I43" s="172" t="s">
        <v>32</v>
      </c>
      <c r="J43" s="5">
        <v>140</v>
      </c>
      <c r="K43" s="172" t="s">
        <v>10</v>
      </c>
      <c r="L43" s="159">
        <v>0</v>
      </c>
      <c r="M43" s="172" t="s">
        <v>33</v>
      </c>
      <c r="N43" s="172" t="s">
        <v>33</v>
      </c>
      <c r="O43" s="5">
        <v>26</v>
      </c>
      <c r="P43" s="5" t="s">
        <v>8</v>
      </c>
      <c r="Q43" s="5">
        <v>11.5</v>
      </c>
      <c r="R43" s="5">
        <v>2</v>
      </c>
    </row>
    <row r="44" spans="1:18">
      <c r="A44" s="4">
        <v>45999</v>
      </c>
      <c r="B44" s="178">
        <v>125146</v>
      </c>
      <c r="C44" s="4">
        <v>46113</v>
      </c>
      <c r="D44" s="159">
        <v>100988</v>
      </c>
      <c r="E44" s="172" t="s">
        <v>9</v>
      </c>
      <c r="F44" s="172" t="s">
        <v>34</v>
      </c>
      <c r="G44" t="s">
        <v>309</v>
      </c>
      <c r="H44" s="172" t="s">
        <v>47</v>
      </c>
      <c r="I44" s="172" t="s">
        <v>32</v>
      </c>
      <c r="J44" s="5">
        <v>885</v>
      </c>
      <c r="K44" s="172" t="s">
        <v>11</v>
      </c>
      <c r="L44" s="159">
        <v>0</v>
      </c>
      <c r="M44" s="172" t="s">
        <v>33</v>
      </c>
      <c r="N44" s="172" t="s">
        <v>33</v>
      </c>
      <c r="O44" s="5">
        <v>82</v>
      </c>
      <c r="P44" s="5" t="s">
        <v>14</v>
      </c>
      <c r="Q44" s="5">
        <v>13</v>
      </c>
      <c r="R44" s="5">
        <v>2</v>
      </c>
    </row>
    <row r="45" spans="1:18">
      <c r="A45" s="4">
        <v>46108</v>
      </c>
      <c r="B45" s="178">
        <v>129521</v>
      </c>
      <c r="C45" s="4">
        <v>46112</v>
      </c>
      <c r="D45" s="159">
        <v>100945</v>
      </c>
      <c r="E45" s="172" t="s">
        <v>16</v>
      </c>
      <c r="F45" s="172" t="s">
        <v>34</v>
      </c>
      <c r="G45" t="s">
        <v>310</v>
      </c>
      <c r="H45" s="172" t="s">
        <v>58</v>
      </c>
      <c r="I45" s="172" t="s">
        <v>28</v>
      </c>
      <c r="J45" s="5">
        <v>247</v>
      </c>
      <c r="K45" s="172" t="s">
        <v>10</v>
      </c>
      <c r="L45" s="159">
        <v>1</v>
      </c>
      <c r="M45" s="172" t="s">
        <v>33</v>
      </c>
      <c r="N45" s="172" t="s">
        <v>33</v>
      </c>
      <c r="O45" s="5">
        <v>2</v>
      </c>
      <c r="P45" s="5" t="s">
        <v>8</v>
      </c>
      <c r="Q45" s="5">
        <v>4</v>
      </c>
      <c r="R45" s="5">
        <v>2</v>
      </c>
    </row>
    <row r="46" spans="1:18">
      <c r="A46" s="4">
        <v>46104</v>
      </c>
      <c r="B46" s="178">
        <v>129274</v>
      </c>
      <c r="C46" s="4">
        <v>46112</v>
      </c>
      <c r="D46" s="159">
        <v>100944</v>
      </c>
      <c r="E46" s="172" t="s">
        <v>16</v>
      </c>
      <c r="F46" s="172" t="s">
        <v>34</v>
      </c>
      <c r="G46" t="s">
        <v>311</v>
      </c>
      <c r="H46" s="172" t="s">
        <v>58</v>
      </c>
      <c r="I46" s="172" t="s">
        <v>28</v>
      </c>
      <c r="J46" s="5">
        <v>286</v>
      </c>
      <c r="K46" s="172" t="s">
        <v>10</v>
      </c>
      <c r="L46" s="159">
        <v>1</v>
      </c>
      <c r="M46" s="172" t="s">
        <v>33</v>
      </c>
      <c r="N46" s="172" t="s">
        <v>33</v>
      </c>
      <c r="O46" s="5">
        <v>6</v>
      </c>
      <c r="P46" s="5" t="s">
        <v>8</v>
      </c>
      <c r="Q46" s="5">
        <v>4</v>
      </c>
      <c r="R46" s="5">
        <v>2</v>
      </c>
    </row>
    <row r="47" spans="1:18">
      <c r="A47" s="4">
        <v>46111</v>
      </c>
      <c r="B47" s="178">
        <v>129661</v>
      </c>
      <c r="C47" s="4">
        <v>46112</v>
      </c>
      <c r="D47" s="159">
        <v>100943</v>
      </c>
      <c r="E47" s="172" t="s">
        <v>16</v>
      </c>
      <c r="F47" s="172" t="s">
        <v>38</v>
      </c>
      <c r="G47" t="s">
        <v>312</v>
      </c>
      <c r="H47" s="172" t="s">
        <v>39</v>
      </c>
      <c r="I47" s="172" t="s">
        <v>45</v>
      </c>
      <c r="J47" s="5">
        <v>89</v>
      </c>
      <c r="K47" s="172" t="s">
        <v>10</v>
      </c>
      <c r="L47" s="159">
        <v>0</v>
      </c>
      <c r="M47" s="172" t="s">
        <v>33</v>
      </c>
      <c r="N47" s="172" t="s">
        <v>33</v>
      </c>
      <c r="O47" s="5">
        <v>1</v>
      </c>
      <c r="P47" s="5" t="s">
        <v>15</v>
      </c>
      <c r="Q47" s="5">
        <v>2</v>
      </c>
      <c r="R47" s="5">
        <v>3</v>
      </c>
    </row>
    <row r="48" spans="1:18">
      <c r="A48" s="4">
        <v>46106</v>
      </c>
      <c r="B48" s="178">
        <v>129535</v>
      </c>
      <c r="C48" s="4">
        <v>46112</v>
      </c>
      <c r="D48" s="159">
        <v>100941</v>
      </c>
      <c r="E48" s="172" t="s">
        <v>16</v>
      </c>
      <c r="F48" s="172" t="s">
        <v>38</v>
      </c>
      <c r="G48" t="s">
        <v>313</v>
      </c>
      <c r="H48" s="172" t="s">
        <v>39</v>
      </c>
      <c r="I48" s="172" t="s">
        <v>45</v>
      </c>
      <c r="J48" s="5">
        <v>135</v>
      </c>
      <c r="K48" s="172" t="s">
        <v>10</v>
      </c>
      <c r="L48" s="159">
        <v>0</v>
      </c>
      <c r="M48" s="172" t="s">
        <v>33</v>
      </c>
      <c r="N48" s="172" t="s">
        <v>33</v>
      </c>
      <c r="O48" s="5">
        <v>4</v>
      </c>
      <c r="P48" s="5" t="s">
        <v>15</v>
      </c>
      <c r="Q48" s="5">
        <v>2</v>
      </c>
      <c r="R48" s="5">
        <v>3</v>
      </c>
    </row>
    <row r="49" spans="1:18">
      <c r="A49" s="4">
        <v>46107</v>
      </c>
      <c r="B49" s="178">
        <v>129545</v>
      </c>
      <c r="C49" s="4">
        <v>46112</v>
      </c>
      <c r="D49" s="159">
        <v>100940</v>
      </c>
      <c r="E49" s="172" t="s">
        <v>16</v>
      </c>
      <c r="F49" s="172" t="s">
        <v>38</v>
      </c>
      <c r="G49" t="s">
        <v>314</v>
      </c>
      <c r="H49" s="172" t="s">
        <v>39</v>
      </c>
      <c r="I49" s="172" t="s">
        <v>45</v>
      </c>
      <c r="J49" s="5">
        <v>195</v>
      </c>
      <c r="K49" s="172" t="s">
        <v>10</v>
      </c>
      <c r="L49" s="159">
        <v>0</v>
      </c>
      <c r="M49" s="172" t="s">
        <v>33</v>
      </c>
      <c r="N49" s="172" t="s">
        <v>33</v>
      </c>
      <c r="O49" s="5">
        <v>3</v>
      </c>
      <c r="P49" s="5" t="s">
        <v>15</v>
      </c>
      <c r="Q49" s="5">
        <v>2</v>
      </c>
      <c r="R49" s="5">
        <v>3</v>
      </c>
    </row>
    <row r="50" spans="1:18">
      <c r="A50" s="4">
        <v>46111</v>
      </c>
      <c r="B50" s="178">
        <v>129643</v>
      </c>
      <c r="C50" s="4">
        <v>46111</v>
      </c>
      <c r="D50" s="159">
        <v>100912</v>
      </c>
      <c r="E50" s="172" t="s">
        <v>16</v>
      </c>
      <c r="F50" s="172" t="s">
        <v>34</v>
      </c>
      <c r="G50" t="s">
        <v>315</v>
      </c>
      <c r="H50" s="172" t="s">
        <v>56</v>
      </c>
      <c r="I50" s="172" t="s">
        <v>28</v>
      </c>
      <c r="J50" s="5"/>
      <c r="K50" s="172" t="s">
        <v>10</v>
      </c>
      <c r="L50" s="159">
        <v>0</v>
      </c>
      <c r="M50" s="172" t="s">
        <v>33</v>
      </c>
      <c r="N50" s="172" t="s">
        <v>33</v>
      </c>
      <c r="O50" s="5">
        <v>0</v>
      </c>
      <c r="P50" s="5" t="s">
        <v>36</v>
      </c>
      <c r="Q50" s="5">
        <v>0</v>
      </c>
      <c r="R50" s="5">
        <v>3</v>
      </c>
    </row>
    <row r="51" spans="1:18">
      <c r="A51" s="4">
        <v>46107</v>
      </c>
      <c r="B51" s="178">
        <v>129541</v>
      </c>
      <c r="C51" s="4">
        <v>46107</v>
      </c>
      <c r="D51" s="159">
        <v>100841</v>
      </c>
      <c r="E51" s="172" t="s">
        <v>16</v>
      </c>
      <c r="F51" s="172" t="s">
        <v>34</v>
      </c>
      <c r="G51" t="s">
        <v>316</v>
      </c>
      <c r="H51" s="172" t="s">
        <v>56</v>
      </c>
      <c r="I51" s="172" t="s">
        <v>28</v>
      </c>
      <c r="J51" s="5">
        <v>79</v>
      </c>
      <c r="K51" s="172" t="s">
        <v>10</v>
      </c>
      <c r="L51" s="159">
        <v>0</v>
      </c>
      <c r="M51" s="172" t="s">
        <v>33</v>
      </c>
      <c r="N51" s="172" t="s">
        <v>33</v>
      </c>
      <c r="O51" s="5">
        <v>0</v>
      </c>
      <c r="P51" s="5" t="s">
        <v>36</v>
      </c>
      <c r="Q51" s="5">
        <v>0</v>
      </c>
      <c r="R51" s="5">
        <v>3</v>
      </c>
    </row>
    <row r="52" spans="1:18">
      <c r="A52" s="4">
        <v>46107</v>
      </c>
      <c r="B52" s="178">
        <v>129436</v>
      </c>
      <c r="C52" s="4">
        <v>46111</v>
      </c>
      <c r="D52" s="159">
        <v>100848</v>
      </c>
      <c r="E52" s="172" t="s">
        <v>16</v>
      </c>
      <c r="F52" s="172" t="s">
        <v>34</v>
      </c>
      <c r="G52" t="s">
        <v>317</v>
      </c>
      <c r="H52" s="172" t="s">
        <v>56</v>
      </c>
      <c r="I52" s="172" t="s">
        <v>28</v>
      </c>
      <c r="J52" s="5">
        <v>59</v>
      </c>
      <c r="K52" s="172" t="s">
        <v>10</v>
      </c>
      <c r="L52" s="159">
        <v>0</v>
      </c>
      <c r="M52" s="172" t="s">
        <v>33</v>
      </c>
      <c r="N52" s="172" t="s">
        <v>33</v>
      </c>
      <c r="O52" s="5">
        <v>2</v>
      </c>
      <c r="P52" s="5" t="s">
        <v>36</v>
      </c>
      <c r="Q52" s="5">
        <v>0</v>
      </c>
      <c r="R52" s="5">
        <v>3</v>
      </c>
    </row>
    <row r="53" spans="1:18">
      <c r="A53" s="4">
        <v>46108</v>
      </c>
      <c r="B53" s="178">
        <v>129568</v>
      </c>
      <c r="C53" s="4">
        <v>46108</v>
      </c>
      <c r="D53" s="159">
        <v>100873</v>
      </c>
      <c r="E53" s="172" t="s">
        <v>16</v>
      </c>
      <c r="F53" s="172" t="s">
        <v>34</v>
      </c>
      <c r="G53" t="s">
        <v>318</v>
      </c>
      <c r="H53" s="172" t="s">
        <v>56</v>
      </c>
      <c r="I53" s="172" t="s">
        <v>28</v>
      </c>
      <c r="J53" s="5">
        <v>92</v>
      </c>
      <c r="K53" s="172" t="s">
        <v>10</v>
      </c>
      <c r="L53" s="159">
        <v>0</v>
      </c>
      <c r="M53" s="172" t="s">
        <v>33</v>
      </c>
      <c r="N53" s="172" t="s">
        <v>33</v>
      </c>
      <c r="O53" s="5">
        <v>0</v>
      </c>
      <c r="P53" s="5" t="s">
        <v>36</v>
      </c>
      <c r="Q53" s="5">
        <v>0</v>
      </c>
      <c r="R53" s="5">
        <v>3</v>
      </c>
    </row>
    <row r="54" spans="1:18">
      <c r="A54" s="4">
        <v>46100</v>
      </c>
      <c r="B54" s="178">
        <v>129302</v>
      </c>
      <c r="C54" s="4">
        <v>46111</v>
      </c>
      <c r="D54" s="159">
        <v>100904</v>
      </c>
      <c r="E54" s="172" t="s">
        <v>18</v>
      </c>
      <c r="F54" s="172" t="s">
        <v>34</v>
      </c>
      <c r="G54" t="s">
        <v>319</v>
      </c>
      <c r="H54" s="172" t="s">
        <v>52</v>
      </c>
      <c r="I54" s="172" t="s">
        <v>32</v>
      </c>
      <c r="J54" s="5">
        <v>196</v>
      </c>
      <c r="K54" s="172" t="s">
        <v>10</v>
      </c>
      <c r="L54" s="159">
        <v>0</v>
      </c>
      <c r="M54" s="172" t="s">
        <v>33</v>
      </c>
      <c r="N54" s="172" t="s">
        <v>33</v>
      </c>
      <c r="O54" s="5">
        <v>7</v>
      </c>
      <c r="P54" s="5" t="s">
        <v>8</v>
      </c>
      <c r="Q54" s="5">
        <v>11.5</v>
      </c>
      <c r="R54" s="5">
        <v>2</v>
      </c>
    </row>
    <row r="55" spans="1:18">
      <c r="A55" s="4">
        <v>46108</v>
      </c>
      <c r="B55" s="178">
        <v>129628</v>
      </c>
      <c r="C55" s="4">
        <v>46108</v>
      </c>
      <c r="D55" s="159">
        <v>100903</v>
      </c>
      <c r="E55" s="172" t="s">
        <v>18</v>
      </c>
      <c r="F55" s="172" t="s">
        <v>38</v>
      </c>
      <c r="G55" t="s">
        <v>320</v>
      </c>
      <c r="H55" s="172" t="s">
        <v>39</v>
      </c>
      <c r="I55" s="172" t="s">
        <v>45</v>
      </c>
      <c r="J55" s="5">
        <v>15</v>
      </c>
      <c r="K55" s="172" t="s">
        <v>10</v>
      </c>
      <c r="L55" s="159">
        <v>0</v>
      </c>
      <c r="M55" s="172" t="s">
        <v>33</v>
      </c>
      <c r="N55" s="172" t="s">
        <v>33</v>
      </c>
      <c r="O55" s="5">
        <v>0</v>
      </c>
      <c r="P55" s="5" t="s">
        <v>15</v>
      </c>
      <c r="Q55" s="5">
        <v>8</v>
      </c>
      <c r="R55" s="5">
        <v>3</v>
      </c>
    </row>
    <row r="56" spans="1:18">
      <c r="A56" s="4">
        <v>46108</v>
      </c>
      <c r="B56" s="178">
        <v>129624</v>
      </c>
      <c r="C56" s="4">
        <v>46108</v>
      </c>
      <c r="D56" s="159">
        <v>100898</v>
      </c>
      <c r="E56" s="172" t="s">
        <v>16</v>
      </c>
      <c r="F56" s="172" t="s">
        <v>38</v>
      </c>
      <c r="G56" t="s">
        <v>321</v>
      </c>
      <c r="H56" s="172" t="s">
        <v>39</v>
      </c>
      <c r="I56" s="172" t="s">
        <v>45</v>
      </c>
      <c r="J56" s="5">
        <v>72</v>
      </c>
      <c r="K56" s="172" t="s">
        <v>10</v>
      </c>
      <c r="L56" s="159">
        <v>0</v>
      </c>
      <c r="M56" s="172" t="s">
        <v>33</v>
      </c>
      <c r="N56" s="172" t="s">
        <v>33</v>
      </c>
      <c r="O56" s="5">
        <v>0</v>
      </c>
      <c r="P56" s="5" t="s">
        <v>15</v>
      </c>
      <c r="Q56" s="5">
        <v>2</v>
      </c>
      <c r="R56" s="5">
        <v>3</v>
      </c>
    </row>
    <row r="57" spans="1:18">
      <c r="A57" s="4">
        <v>46078</v>
      </c>
      <c r="B57" s="178">
        <v>128376</v>
      </c>
      <c r="C57" s="4">
        <v>46107</v>
      </c>
      <c r="D57" s="159">
        <v>100853</v>
      </c>
      <c r="E57" s="172" t="s">
        <v>9</v>
      </c>
      <c r="F57" s="172" t="s">
        <v>34</v>
      </c>
      <c r="G57" t="s">
        <v>322</v>
      </c>
      <c r="H57" s="172" t="s">
        <v>52</v>
      </c>
      <c r="I57" s="172" t="s">
        <v>40</v>
      </c>
      <c r="J57" s="5">
        <f>189+148</f>
        <v>337</v>
      </c>
      <c r="K57" s="172" t="s">
        <v>10</v>
      </c>
      <c r="L57" s="159">
        <v>0</v>
      </c>
      <c r="M57" s="172" t="s">
        <v>33</v>
      </c>
      <c r="N57" s="172" t="s">
        <v>33</v>
      </c>
      <c r="O57" s="5">
        <v>21</v>
      </c>
      <c r="P57" s="5" t="s">
        <v>8</v>
      </c>
      <c r="Q57" s="5">
        <v>10</v>
      </c>
      <c r="R57" s="5">
        <v>2</v>
      </c>
    </row>
    <row r="58" spans="1:18">
      <c r="A58" s="4">
        <v>46080</v>
      </c>
      <c r="B58" s="178">
        <v>128299</v>
      </c>
      <c r="C58" s="4">
        <v>46107</v>
      </c>
      <c r="D58" s="159">
        <v>100847</v>
      </c>
      <c r="E58" s="172" t="s">
        <v>9</v>
      </c>
      <c r="F58" s="172" t="s">
        <v>34</v>
      </c>
      <c r="G58" t="s">
        <v>323</v>
      </c>
      <c r="H58" s="172" t="s">
        <v>68</v>
      </c>
      <c r="I58" s="172" t="s">
        <v>40</v>
      </c>
      <c r="J58" s="5">
        <f>1079+2197</f>
        <v>3276</v>
      </c>
      <c r="K58" s="172" t="s">
        <v>11</v>
      </c>
      <c r="L58" s="159">
        <v>3</v>
      </c>
      <c r="M58" s="172" t="s">
        <v>29</v>
      </c>
      <c r="N58" s="172" t="s">
        <v>33</v>
      </c>
      <c r="O58" s="5">
        <v>19</v>
      </c>
      <c r="P58" s="5" t="s">
        <v>8</v>
      </c>
      <c r="Q58" s="5">
        <v>20</v>
      </c>
      <c r="R58" s="5">
        <v>2</v>
      </c>
    </row>
    <row r="59" spans="1:18">
      <c r="A59" s="4">
        <v>46077</v>
      </c>
      <c r="B59" s="178">
        <v>128409</v>
      </c>
      <c r="C59" s="4">
        <v>46106</v>
      </c>
      <c r="D59" s="159">
        <v>100811</v>
      </c>
      <c r="E59" s="172" t="s">
        <v>18</v>
      </c>
      <c r="F59" s="172" t="s">
        <v>34</v>
      </c>
      <c r="G59" t="s">
        <v>324</v>
      </c>
      <c r="H59" s="172" t="s">
        <v>52</v>
      </c>
      <c r="I59" s="172" t="s">
        <v>32</v>
      </c>
      <c r="J59" s="5">
        <v>686</v>
      </c>
      <c r="K59" s="172" t="s">
        <v>10</v>
      </c>
      <c r="L59" s="159">
        <v>0</v>
      </c>
      <c r="M59" s="172" t="s">
        <v>33</v>
      </c>
      <c r="N59" s="172" t="s">
        <v>29</v>
      </c>
      <c r="O59" s="5">
        <v>21</v>
      </c>
      <c r="P59" s="5" t="s">
        <v>8</v>
      </c>
      <c r="Q59" s="5">
        <v>11.5</v>
      </c>
      <c r="R59" s="5">
        <v>2</v>
      </c>
    </row>
    <row r="60" spans="1:18">
      <c r="A60" s="4">
        <v>46105</v>
      </c>
      <c r="B60" s="178">
        <v>129388</v>
      </c>
      <c r="C60" s="4">
        <v>46106</v>
      </c>
      <c r="D60" s="159">
        <v>100803</v>
      </c>
      <c r="E60" s="172" t="s">
        <v>16</v>
      </c>
      <c r="F60" s="172" t="s">
        <v>34</v>
      </c>
      <c r="G60" t="s">
        <v>325</v>
      </c>
      <c r="H60" s="172" t="s">
        <v>56</v>
      </c>
      <c r="I60" s="172" t="s">
        <v>28</v>
      </c>
      <c r="J60" s="5">
        <v>67</v>
      </c>
      <c r="K60" s="172" t="s">
        <v>10</v>
      </c>
      <c r="L60" s="159">
        <v>0</v>
      </c>
      <c r="M60" s="172" t="s">
        <v>33</v>
      </c>
      <c r="N60" s="172" t="s">
        <v>33</v>
      </c>
      <c r="O60" s="5">
        <v>1</v>
      </c>
      <c r="P60" s="5" t="s">
        <v>36</v>
      </c>
      <c r="Q60" s="5">
        <v>0</v>
      </c>
      <c r="R60" s="5">
        <v>3</v>
      </c>
    </row>
    <row r="61" spans="1:18">
      <c r="A61" s="4">
        <v>46105</v>
      </c>
      <c r="B61" s="178">
        <v>128431</v>
      </c>
      <c r="C61" s="4">
        <v>46106</v>
      </c>
      <c r="D61" s="159">
        <v>100802</v>
      </c>
      <c r="E61" s="172" t="s">
        <v>16</v>
      </c>
      <c r="F61" s="172" t="s">
        <v>34</v>
      </c>
      <c r="G61" t="s">
        <v>326</v>
      </c>
      <c r="H61" s="172" t="s">
        <v>56</v>
      </c>
      <c r="I61" s="172" t="s">
        <v>28</v>
      </c>
      <c r="J61" s="5">
        <v>157</v>
      </c>
      <c r="K61" s="172" t="s">
        <v>10</v>
      </c>
      <c r="L61" s="159">
        <v>0</v>
      </c>
      <c r="M61" s="172" t="s">
        <v>33</v>
      </c>
      <c r="N61" s="172" t="s">
        <v>33</v>
      </c>
      <c r="O61" s="5">
        <v>1</v>
      </c>
      <c r="P61" s="5" t="s">
        <v>36</v>
      </c>
      <c r="Q61" s="5">
        <v>0</v>
      </c>
      <c r="R61" s="5">
        <v>3</v>
      </c>
    </row>
    <row r="62" spans="1:18">
      <c r="A62" s="4">
        <v>46085</v>
      </c>
      <c r="B62" s="178">
        <v>128731</v>
      </c>
      <c r="C62" s="4">
        <v>46106</v>
      </c>
      <c r="D62" s="159">
        <v>100805</v>
      </c>
      <c r="E62" s="172" t="s">
        <v>16</v>
      </c>
      <c r="F62" s="172" t="s">
        <v>34</v>
      </c>
      <c r="G62" t="s">
        <v>327</v>
      </c>
      <c r="H62" s="172" t="s">
        <v>58</v>
      </c>
      <c r="I62" s="172" t="s">
        <v>28</v>
      </c>
      <c r="J62" s="5">
        <v>306</v>
      </c>
      <c r="K62" s="172" t="s">
        <v>10</v>
      </c>
      <c r="L62" s="159">
        <v>3</v>
      </c>
      <c r="M62" s="172" t="s">
        <v>33</v>
      </c>
      <c r="N62" s="172" t="s">
        <v>33</v>
      </c>
      <c r="O62" s="5">
        <v>15</v>
      </c>
      <c r="P62" s="5" t="s">
        <v>8</v>
      </c>
      <c r="Q62" s="5">
        <v>4</v>
      </c>
      <c r="R62" s="5">
        <v>2</v>
      </c>
    </row>
    <row r="63" spans="1:18">
      <c r="A63" s="4">
        <v>46101</v>
      </c>
      <c r="B63" s="178">
        <v>129317</v>
      </c>
      <c r="C63" s="4">
        <v>46106</v>
      </c>
      <c r="D63" s="159">
        <v>100806</v>
      </c>
      <c r="E63" s="172" t="s">
        <v>16</v>
      </c>
      <c r="F63" s="172" t="s">
        <v>34</v>
      </c>
      <c r="G63" t="s">
        <v>328</v>
      </c>
      <c r="H63" s="172" t="s">
        <v>56</v>
      </c>
      <c r="I63" s="172" t="s">
        <v>28</v>
      </c>
      <c r="J63" s="5">
        <v>129</v>
      </c>
      <c r="K63" s="172" t="s">
        <v>10</v>
      </c>
      <c r="L63" s="159">
        <v>0</v>
      </c>
      <c r="M63" s="172" t="s">
        <v>33</v>
      </c>
      <c r="N63" s="172" t="s">
        <v>33</v>
      </c>
      <c r="O63" s="5">
        <v>3</v>
      </c>
      <c r="P63" s="5" t="s">
        <v>36</v>
      </c>
      <c r="Q63" s="5">
        <v>0</v>
      </c>
      <c r="R63" s="5">
        <v>3</v>
      </c>
    </row>
    <row r="64" spans="1:18">
      <c r="A64" s="4">
        <v>46105</v>
      </c>
      <c r="B64" s="178">
        <v>129490</v>
      </c>
      <c r="C64" s="4">
        <v>46105</v>
      </c>
      <c r="D64" s="159">
        <v>100795</v>
      </c>
      <c r="E64" s="172" t="s">
        <v>16</v>
      </c>
      <c r="F64" s="172" t="s">
        <v>34</v>
      </c>
      <c r="G64" t="s">
        <v>329</v>
      </c>
      <c r="H64" s="172" t="s">
        <v>56</v>
      </c>
      <c r="I64" s="172" t="s">
        <v>28</v>
      </c>
      <c r="J64" s="5">
        <v>23</v>
      </c>
      <c r="K64" s="172" t="s">
        <v>10</v>
      </c>
      <c r="L64" s="159">
        <v>0</v>
      </c>
      <c r="M64" s="172" t="s">
        <v>33</v>
      </c>
      <c r="N64" s="172" t="s">
        <v>33</v>
      </c>
      <c r="O64" s="5">
        <v>0</v>
      </c>
      <c r="P64" s="5" t="s">
        <v>36</v>
      </c>
      <c r="Q64" s="5">
        <v>0</v>
      </c>
      <c r="R64" s="5">
        <v>3</v>
      </c>
    </row>
    <row r="65" spans="1:18">
      <c r="A65" s="4">
        <v>46100</v>
      </c>
      <c r="B65" s="178">
        <v>129248</v>
      </c>
      <c r="C65" s="4">
        <v>46106</v>
      </c>
      <c r="D65" s="159">
        <v>100808</v>
      </c>
      <c r="E65" s="172" t="s">
        <v>16</v>
      </c>
      <c r="F65" s="172" t="s">
        <v>34</v>
      </c>
      <c r="G65" t="s">
        <v>330</v>
      </c>
      <c r="H65" s="172" t="s">
        <v>56</v>
      </c>
      <c r="I65" s="172" t="s">
        <v>28</v>
      </c>
      <c r="J65" s="5">
        <v>41</v>
      </c>
      <c r="K65" s="172" t="s">
        <v>10</v>
      </c>
      <c r="L65" s="159">
        <v>0</v>
      </c>
      <c r="M65" s="172" t="s">
        <v>33</v>
      </c>
      <c r="N65" s="172" t="s">
        <v>33</v>
      </c>
      <c r="O65" s="5">
        <v>4</v>
      </c>
      <c r="P65" s="5" t="s">
        <v>36</v>
      </c>
      <c r="Q65" s="5">
        <v>0</v>
      </c>
      <c r="R65" s="5">
        <v>3</v>
      </c>
    </row>
    <row r="66" spans="1:18">
      <c r="A66" s="4">
        <v>46100</v>
      </c>
      <c r="B66" s="178">
        <v>129048</v>
      </c>
      <c r="C66" s="4">
        <v>46106</v>
      </c>
      <c r="D66" s="159">
        <v>100807</v>
      </c>
      <c r="E66" s="172" t="s">
        <v>16</v>
      </c>
      <c r="F66" s="172" t="s">
        <v>34</v>
      </c>
      <c r="G66" t="s">
        <v>331</v>
      </c>
      <c r="H66" s="172" t="s">
        <v>56</v>
      </c>
      <c r="I66" s="172" t="s">
        <v>28</v>
      </c>
      <c r="J66" s="5">
        <v>134</v>
      </c>
      <c r="K66" s="172" t="s">
        <v>10</v>
      </c>
      <c r="L66" s="159">
        <v>0</v>
      </c>
      <c r="M66" s="172" t="s">
        <v>33</v>
      </c>
      <c r="N66" s="172" t="s">
        <v>33</v>
      </c>
      <c r="O66" s="5">
        <v>4</v>
      </c>
      <c r="P66" s="5" t="s">
        <v>36</v>
      </c>
      <c r="Q66" s="5">
        <v>0</v>
      </c>
      <c r="R66" s="5">
        <v>3</v>
      </c>
    </row>
    <row r="67" spans="1:18">
      <c r="A67" s="4">
        <v>46105</v>
      </c>
      <c r="B67" s="178">
        <v>128390</v>
      </c>
      <c r="C67" s="4">
        <v>46105</v>
      </c>
      <c r="D67" s="159">
        <v>100784</v>
      </c>
      <c r="E67" s="172" t="s">
        <v>18</v>
      </c>
      <c r="F67" s="172" t="s">
        <v>38</v>
      </c>
      <c r="G67" t="s">
        <v>332</v>
      </c>
      <c r="H67" s="172" t="s">
        <v>39</v>
      </c>
      <c r="I67" s="172" t="s">
        <v>43</v>
      </c>
      <c r="J67" s="5"/>
      <c r="K67" s="172" t="s">
        <v>10</v>
      </c>
      <c r="L67" s="159">
        <v>2</v>
      </c>
      <c r="M67" s="172" t="s">
        <v>33</v>
      </c>
      <c r="N67" s="172" t="s">
        <v>33</v>
      </c>
      <c r="O67" s="5">
        <v>0</v>
      </c>
      <c r="P67" s="5" t="s">
        <v>15</v>
      </c>
      <c r="Q67" s="5">
        <v>8</v>
      </c>
      <c r="R67" s="5">
        <v>3</v>
      </c>
    </row>
    <row r="68" spans="1:18">
      <c r="A68" s="4">
        <v>46105</v>
      </c>
      <c r="B68" s="178">
        <v>129458</v>
      </c>
      <c r="C68" s="4">
        <v>46105</v>
      </c>
      <c r="D68" s="159">
        <v>100774</v>
      </c>
      <c r="E68" s="172" t="s">
        <v>18</v>
      </c>
      <c r="F68" s="172" t="s">
        <v>34</v>
      </c>
      <c r="G68" t="s">
        <v>333</v>
      </c>
      <c r="H68" s="172" t="s">
        <v>54</v>
      </c>
      <c r="I68" s="172" t="s">
        <v>32</v>
      </c>
      <c r="J68" s="5">
        <v>94</v>
      </c>
      <c r="K68" s="172" t="s">
        <v>10</v>
      </c>
      <c r="L68" s="159">
        <v>0</v>
      </c>
      <c r="M68" s="172" t="s">
        <v>33</v>
      </c>
      <c r="N68" s="172" t="s">
        <v>33</v>
      </c>
      <c r="O68" s="5">
        <v>0</v>
      </c>
      <c r="P68" s="5" t="s">
        <v>36</v>
      </c>
      <c r="Q68" s="5">
        <v>0</v>
      </c>
      <c r="R68" s="5">
        <v>3</v>
      </c>
    </row>
    <row r="69" spans="1:18">
      <c r="A69" s="4">
        <v>46064</v>
      </c>
      <c r="B69" s="178">
        <v>127922</v>
      </c>
      <c r="C69" s="4">
        <v>46105</v>
      </c>
      <c r="D69" s="159">
        <v>100763</v>
      </c>
      <c r="E69" s="172" t="s">
        <v>18</v>
      </c>
      <c r="F69" s="172" t="s">
        <v>38</v>
      </c>
      <c r="G69" t="s">
        <v>334</v>
      </c>
      <c r="H69" s="172" t="s">
        <v>63</v>
      </c>
      <c r="I69" s="172" t="s">
        <v>32</v>
      </c>
      <c r="J69" s="5">
        <v>427</v>
      </c>
      <c r="K69" s="172" t="s">
        <v>10</v>
      </c>
      <c r="L69" s="159">
        <v>0</v>
      </c>
      <c r="M69" s="172" t="s">
        <v>33</v>
      </c>
      <c r="N69" s="172" t="s">
        <v>29</v>
      </c>
      <c r="O69" s="5">
        <v>29</v>
      </c>
      <c r="P69" s="5" t="s">
        <v>8</v>
      </c>
      <c r="Q69" s="5">
        <v>11.5</v>
      </c>
      <c r="R69" s="5">
        <v>2</v>
      </c>
    </row>
    <row r="70" spans="1:18">
      <c r="A70" s="4">
        <v>46099</v>
      </c>
      <c r="B70" s="178">
        <v>129164</v>
      </c>
      <c r="C70" s="4">
        <v>46104</v>
      </c>
      <c r="D70" s="159">
        <v>100757</v>
      </c>
      <c r="E70" s="172" t="s">
        <v>9</v>
      </c>
      <c r="F70" s="172" t="s">
        <v>34</v>
      </c>
      <c r="G70" t="s">
        <v>335</v>
      </c>
      <c r="H70" s="172" t="s">
        <v>69</v>
      </c>
      <c r="I70" s="172" t="s">
        <v>40</v>
      </c>
      <c r="J70" s="5">
        <f>105+270</f>
        <v>375</v>
      </c>
      <c r="K70" s="172" t="s">
        <v>10</v>
      </c>
      <c r="L70" s="159">
        <v>1</v>
      </c>
      <c r="M70" s="172" t="s">
        <v>33</v>
      </c>
      <c r="N70" s="172" t="s">
        <v>33</v>
      </c>
      <c r="O70" s="5">
        <v>3</v>
      </c>
      <c r="P70" s="5" t="s">
        <v>8</v>
      </c>
      <c r="Q70" s="5">
        <v>10</v>
      </c>
      <c r="R70" s="5">
        <v>3</v>
      </c>
    </row>
    <row r="71" spans="1:18">
      <c r="A71" s="4">
        <v>46043</v>
      </c>
      <c r="B71" s="178">
        <v>126795</v>
      </c>
      <c r="C71" s="4">
        <v>46104</v>
      </c>
      <c r="D71" s="159">
        <v>100751</v>
      </c>
      <c r="E71" s="172" t="s">
        <v>9</v>
      </c>
      <c r="F71" s="172" t="s">
        <v>34</v>
      </c>
      <c r="G71" t="s">
        <v>336</v>
      </c>
      <c r="H71" s="172" t="s">
        <v>63</v>
      </c>
      <c r="I71" s="172" t="s">
        <v>32</v>
      </c>
      <c r="J71" s="5">
        <v>1197</v>
      </c>
      <c r="K71" s="172" t="s">
        <v>11</v>
      </c>
      <c r="L71" s="159">
        <v>1</v>
      </c>
      <c r="M71" s="172" t="s">
        <v>33</v>
      </c>
      <c r="N71" s="172" t="s">
        <v>29</v>
      </c>
      <c r="O71" s="5">
        <v>43</v>
      </c>
      <c r="P71" s="5" t="s">
        <v>8</v>
      </c>
      <c r="Q71" s="5">
        <v>20</v>
      </c>
      <c r="R71" s="5">
        <v>2</v>
      </c>
    </row>
    <row r="72" spans="1:18">
      <c r="A72" s="4">
        <v>46100</v>
      </c>
      <c r="B72" s="178">
        <v>129097</v>
      </c>
      <c r="C72" s="4">
        <v>46104</v>
      </c>
      <c r="D72" s="159">
        <v>100741</v>
      </c>
      <c r="E72" s="172" t="s">
        <v>9</v>
      </c>
      <c r="F72" s="172" t="s">
        <v>34</v>
      </c>
      <c r="G72" t="s">
        <v>337</v>
      </c>
      <c r="H72" s="172" t="s">
        <v>46</v>
      </c>
      <c r="I72" s="172" t="s">
        <v>40</v>
      </c>
      <c r="J72" s="5">
        <f>416+361</f>
        <v>777</v>
      </c>
      <c r="K72" s="172" t="s">
        <v>10</v>
      </c>
      <c r="L72" s="159">
        <v>1</v>
      </c>
      <c r="M72" s="172" t="s">
        <v>29</v>
      </c>
      <c r="N72" s="172" t="s">
        <v>33</v>
      </c>
      <c r="O72" s="5">
        <v>2</v>
      </c>
      <c r="P72" s="5" t="s">
        <v>8</v>
      </c>
      <c r="Q72" s="5">
        <v>10</v>
      </c>
      <c r="R72" s="5">
        <v>3</v>
      </c>
    </row>
    <row r="73" spans="1:18">
      <c r="A73" s="4">
        <v>46104</v>
      </c>
      <c r="B73" s="178">
        <v>129393</v>
      </c>
      <c r="C73" s="4">
        <v>46104</v>
      </c>
      <c r="D73" s="159">
        <v>100726</v>
      </c>
      <c r="E73" s="172" t="s">
        <v>9</v>
      </c>
      <c r="F73" s="172" t="s">
        <v>34</v>
      </c>
      <c r="G73" t="s">
        <v>338</v>
      </c>
      <c r="H73" s="172" t="s">
        <v>62</v>
      </c>
      <c r="I73" s="172" t="s">
        <v>40</v>
      </c>
      <c r="J73" s="5">
        <v>40</v>
      </c>
      <c r="K73" s="172" t="s">
        <v>10</v>
      </c>
      <c r="L73" s="159">
        <v>0</v>
      </c>
      <c r="M73" s="172" t="s">
        <v>33</v>
      </c>
      <c r="N73" s="172" t="s">
        <v>33</v>
      </c>
      <c r="O73" s="5">
        <v>0</v>
      </c>
      <c r="P73" s="5" t="s">
        <v>36</v>
      </c>
      <c r="Q73" s="5">
        <v>0</v>
      </c>
      <c r="R73" s="5">
        <v>2</v>
      </c>
    </row>
    <row r="74" spans="1:18">
      <c r="A74" s="4">
        <v>46104</v>
      </c>
      <c r="B74" s="178">
        <v>129392</v>
      </c>
      <c r="C74" s="4">
        <v>46104</v>
      </c>
      <c r="D74" s="159">
        <v>100722</v>
      </c>
      <c r="E74" s="172" t="s">
        <v>18</v>
      </c>
      <c r="F74" s="172" t="s">
        <v>34</v>
      </c>
      <c r="G74" s="77" t="s">
        <v>339</v>
      </c>
      <c r="H74" s="172" t="s">
        <v>35</v>
      </c>
      <c r="I74" s="172" t="s">
        <v>35</v>
      </c>
      <c r="J74" s="5">
        <v>30</v>
      </c>
      <c r="K74" s="172" t="s">
        <v>10</v>
      </c>
      <c r="L74" s="159">
        <v>0</v>
      </c>
      <c r="M74" s="172" t="s">
        <v>33</v>
      </c>
      <c r="N74" s="172" t="s">
        <v>33</v>
      </c>
      <c r="O74" s="5">
        <v>0</v>
      </c>
      <c r="P74" s="5" t="s">
        <v>36</v>
      </c>
      <c r="Q74" s="5">
        <v>0</v>
      </c>
      <c r="R74" s="5">
        <v>1</v>
      </c>
    </row>
    <row r="75" spans="1:18">
      <c r="A75" s="4">
        <v>46043</v>
      </c>
      <c r="B75" s="178">
        <v>126797</v>
      </c>
      <c r="C75" s="4">
        <v>46101</v>
      </c>
      <c r="D75" s="159">
        <v>100691</v>
      </c>
      <c r="E75" s="172" t="s">
        <v>18</v>
      </c>
      <c r="F75" s="172" t="s">
        <v>34</v>
      </c>
      <c r="G75" t="s">
        <v>340</v>
      </c>
      <c r="H75" s="172" t="s">
        <v>54</v>
      </c>
      <c r="I75" s="172" t="s">
        <v>32</v>
      </c>
      <c r="J75" s="5">
        <v>156</v>
      </c>
      <c r="K75" s="172" t="s">
        <v>10</v>
      </c>
      <c r="L75" s="159">
        <v>0</v>
      </c>
      <c r="M75" s="172" t="s">
        <v>33</v>
      </c>
      <c r="N75" s="172" t="s">
        <v>29</v>
      </c>
      <c r="O75" s="5">
        <v>42</v>
      </c>
      <c r="P75" s="5" t="s">
        <v>36</v>
      </c>
      <c r="Q75" s="5">
        <v>0</v>
      </c>
      <c r="R75" s="5">
        <v>3</v>
      </c>
    </row>
    <row r="76" spans="1:18">
      <c r="A76" s="4">
        <v>46099</v>
      </c>
      <c r="B76" s="178">
        <v>125632</v>
      </c>
      <c r="C76" s="4">
        <v>46099</v>
      </c>
      <c r="D76" s="159">
        <v>100624</v>
      </c>
      <c r="E76" s="172" t="s">
        <v>18</v>
      </c>
      <c r="F76" s="172" t="s">
        <v>38</v>
      </c>
      <c r="G76" t="s">
        <v>341</v>
      </c>
      <c r="H76" s="172" t="s">
        <v>39</v>
      </c>
      <c r="I76" s="172" t="s">
        <v>43</v>
      </c>
      <c r="J76" s="5">
        <v>278</v>
      </c>
      <c r="K76" s="172" t="s">
        <v>10</v>
      </c>
      <c r="L76" s="159">
        <v>1</v>
      </c>
      <c r="M76" s="172" t="s">
        <v>33</v>
      </c>
      <c r="N76" s="172" t="s">
        <v>33</v>
      </c>
      <c r="O76" s="5">
        <v>0</v>
      </c>
      <c r="P76" s="5" t="s">
        <v>15</v>
      </c>
      <c r="Q76" s="5">
        <v>8</v>
      </c>
      <c r="R76" s="5">
        <v>3</v>
      </c>
    </row>
    <row r="77" spans="1:18">
      <c r="A77" s="4">
        <v>46087</v>
      </c>
      <c r="B77" s="178">
        <v>128880</v>
      </c>
      <c r="C77" s="4">
        <v>46099</v>
      </c>
      <c r="D77" s="159">
        <v>100620</v>
      </c>
      <c r="E77" s="172" t="s">
        <v>18</v>
      </c>
      <c r="F77" s="172" t="s">
        <v>34</v>
      </c>
      <c r="G77" t="s">
        <v>342</v>
      </c>
      <c r="H77" s="172" t="s">
        <v>52</v>
      </c>
      <c r="I77" s="172" t="s">
        <v>32</v>
      </c>
      <c r="J77" s="5">
        <v>579</v>
      </c>
      <c r="K77" s="172" t="s">
        <v>11</v>
      </c>
      <c r="L77" s="159">
        <v>1</v>
      </c>
      <c r="M77" s="172" t="s">
        <v>33</v>
      </c>
      <c r="N77" s="172" t="s">
        <v>33</v>
      </c>
      <c r="O77" s="5">
        <v>8</v>
      </c>
      <c r="P77" s="5" t="s">
        <v>8</v>
      </c>
      <c r="Q77" s="5">
        <v>26.5</v>
      </c>
      <c r="R77" s="5">
        <v>2</v>
      </c>
    </row>
    <row r="78" spans="1:18">
      <c r="A78" s="4">
        <v>46099</v>
      </c>
      <c r="B78" s="178">
        <v>129151</v>
      </c>
      <c r="C78" s="4">
        <v>46099</v>
      </c>
      <c r="D78" s="159">
        <v>100616</v>
      </c>
      <c r="E78" s="172" t="s">
        <v>16</v>
      </c>
      <c r="F78" s="172" t="s">
        <v>34</v>
      </c>
      <c r="G78" t="s">
        <v>343</v>
      </c>
      <c r="H78" s="172" t="s">
        <v>56</v>
      </c>
      <c r="I78" s="172" t="s">
        <v>28</v>
      </c>
      <c r="J78" s="5">
        <v>67</v>
      </c>
      <c r="K78" s="172" t="s">
        <v>10</v>
      </c>
      <c r="L78" s="159">
        <v>0</v>
      </c>
      <c r="M78" s="172" t="s">
        <v>33</v>
      </c>
      <c r="N78" s="172" t="s">
        <v>33</v>
      </c>
      <c r="O78" s="5">
        <v>0</v>
      </c>
      <c r="P78" s="5" t="s">
        <v>36</v>
      </c>
      <c r="Q78" s="5">
        <v>0</v>
      </c>
      <c r="R78" s="5">
        <v>3</v>
      </c>
    </row>
    <row r="79" spans="1:18">
      <c r="A79" s="4">
        <v>46099</v>
      </c>
      <c r="B79" s="178">
        <v>127428</v>
      </c>
      <c r="C79" s="4">
        <v>46099</v>
      </c>
      <c r="D79" s="159">
        <v>100618</v>
      </c>
      <c r="E79" s="172" t="s">
        <v>16</v>
      </c>
      <c r="F79" s="172" t="s">
        <v>34</v>
      </c>
      <c r="G79" t="s">
        <v>344</v>
      </c>
      <c r="H79" s="172" t="s">
        <v>56</v>
      </c>
      <c r="I79" s="172" t="s">
        <v>28</v>
      </c>
      <c r="J79" s="5">
        <v>126</v>
      </c>
      <c r="K79" s="172" t="s">
        <v>10</v>
      </c>
      <c r="L79" s="159">
        <v>0</v>
      </c>
      <c r="M79" s="172" t="s">
        <v>33</v>
      </c>
      <c r="N79" s="172" t="s">
        <v>33</v>
      </c>
      <c r="O79" s="5">
        <v>0</v>
      </c>
      <c r="P79" s="5" t="s">
        <v>36</v>
      </c>
      <c r="Q79" s="5">
        <v>0</v>
      </c>
      <c r="R79" s="5">
        <v>3</v>
      </c>
    </row>
    <row r="80" spans="1:18">
      <c r="A80" s="4">
        <v>46072</v>
      </c>
      <c r="B80" s="178">
        <v>127678</v>
      </c>
      <c r="C80" s="4">
        <v>46099</v>
      </c>
      <c r="D80" s="159">
        <v>100615</v>
      </c>
      <c r="E80" s="172" t="s">
        <v>9</v>
      </c>
      <c r="F80" s="172" t="s">
        <v>34</v>
      </c>
      <c r="G80" t="s">
        <v>345</v>
      </c>
      <c r="H80" s="172" t="s">
        <v>52</v>
      </c>
      <c r="I80" s="172" t="s">
        <v>40</v>
      </c>
      <c r="J80" s="5">
        <f>421+643</f>
        <v>1064</v>
      </c>
      <c r="K80" s="172" t="s">
        <v>10</v>
      </c>
      <c r="L80" s="159">
        <v>1</v>
      </c>
      <c r="M80" s="172" t="s">
        <v>33</v>
      </c>
      <c r="N80" s="172" t="s">
        <v>33</v>
      </c>
      <c r="O80" s="5">
        <v>19</v>
      </c>
      <c r="P80" s="5" t="s">
        <v>8</v>
      </c>
      <c r="Q80" s="5">
        <v>10</v>
      </c>
      <c r="R80" s="5">
        <v>2</v>
      </c>
    </row>
    <row r="81" spans="1:18">
      <c r="A81" s="4">
        <v>46098</v>
      </c>
      <c r="B81" s="178">
        <v>128816</v>
      </c>
      <c r="C81" s="4">
        <v>46099</v>
      </c>
      <c r="D81" s="159">
        <v>100609</v>
      </c>
      <c r="E81" s="172" t="s">
        <v>18</v>
      </c>
      <c r="F81" s="172" t="s">
        <v>38</v>
      </c>
      <c r="G81" t="s">
        <v>346</v>
      </c>
      <c r="H81" s="172" t="s">
        <v>65</v>
      </c>
      <c r="I81" s="172" t="s">
        <v>40</v>
      </c>
      <c r="J81" s="5">
        <v>387</v>
      </c>
      <c r="K81" s="172" t="s">
        <v>10</v>
      </c>
      <c r="L81" s="159">
        <v>1</v>
      </c>
      <c r="M81" s="172" t="s">
        <v>33</v>
      </c>
      <c r="N81" s="172" t="s">
        <v>33</v>
      </c>
      <c r="O81" s="5">
        <v>1</v>
      </c>
      <c r="P81" s="5" t="s">
        <v>8</v>
      </c>
      <c r="Q81" s="5">
        <v>11.5</v>
      </c>
      <c r="R81" s="5">
        <v>2</v>
      </c>
    </row>
    <row r="82" spans="1:18">
      <c r="A82" s="4">
        <v>46094</v>
      </c>
      <c r="B82" s="178">
        <v>128452</v>
      </c>
      <c r="C82" s="4">
        <v>46099</v>
      </c>
      <c r="D82" s="159">
        <v>100608</v>
      </c>
      <c r="E82" s="172" t="s">
        <v>9</v>
      </c>
      <c r="F82" s="172" t="s">
        <v>34</v>
      </c>
      <c r="G82" t="s">
        <v>347</v>
      </c>
      <c r="H82" s="172" t="s">
        <v>65</v>
      </c>
      <c r="I82" s="172" t="s">
        <v>40</v>
      </c>
      <c r="J82" s="5">
        <f>802+1201</f>
        <v>2003</v>
      </c>
      <c r="K82" s="172" t="s">
        <v>11</v>
      </c>
      <c r="L82" s="159">
        <v>2</v>
      </c>
      <c r="M82" s="172" t="s">
        <v>29</v>
      </c>
      <c r="N82" s="172" t="s">
        <v>29</v>
      </c>
      <c r="O82" s="5">
        <v>3</v>
      </c>
      <c r="P82" s="5" t="s">
        <v>8</v>
      </c>
      <c r="Q82" s="5">
        <v>20</v>
      </c>
      <c r="R82" s="5">
        <v>2</v>
      </c>
    </row>
    <row r="83" spans="1:18">
      <c r="A83" s="4">
        <v>46094</v>
      </c>
      <c r="B83" s="178">
        <v>113876</v>
      </c>
      <c r="C83" s="4">
        <v>46099</v>
      </c>
      <c r="D83" s="159">
        <v>100602</v>
      </c>
      <c r="E83" s="172" t="s">
        <v>18</v>
      </c>
      <c r="F83" s="172" t="s">
        <v>38</v>
      </c>
      <c r="G83" s="168" t="s">
        <v>348</v>
      </c>
      <c r="H83" s="172" t="s">
        <v>67</v>
      </c>
      <c r="I83" s="172" t="s">
        <v>43</v>
      </c>
      <c r="J83" s="5">
        <v>534</v>
      </c>
      <c r="K83" s="172" t="s">
        <v>10</v>
      </c>
      <c r="L83" s="159">
        <v>1</v>
      </c>
      <c r="M83" s="172" t="s">
        <v>33</v>
      </c>
      <c r="N83" s="172" t="s">
        <v>33</v>
      </c>
      <c r="O83" s="5">
        <v>3</v>
      </c>
      <c r="P83" s="5" t="s">
        <v>14</v>
      </c>
      <c r="Q83" s="5">
        <v>10</v>
      </c>
      <c r="R83" s="5">
        <v>3</v>
      </c>
    </row>
    <row r="84" spans="1:18">
      <c r="A84" s="4">
        <v>46069</v>
      </c>
      <c r="B84" s="178">
        <v>128049</v>
      </c>
      <c r="C84" s="4">
        <v>46098</v>
      </c>
      <c r="D84" s="159">
        <v>100594</v>
      </c>
      <c r="E84" s="172" t="s">
        <v>18</v>
      </c>
      <c r="F84" s="172" t="s">
        <v>30</v>
      </c>
      <c r="G84" s="168" t="s">
        <v>349</v>
      </c>
      <c r="H84" s="172" t="s">
        <v>44</v>
      </c>
      <c r="I84" s="172" t="s">
        <v>35</v>
      </c>
      <c r="J84" s="5">
        <f>662+550</f>
        <v>1212</v>
      </c>
      <c r="K84" s="172" t="s">
        <v>10</v>
      </c>
      <c r="L84" s="159">
        <v>1</v>
      </c>
      <c r="M84" s="172" t="s">
        <v>33</v>
      </c>
      <c r="N84" s="172" t="s">
        <v>33</v>
      </c>
      <c r="O84" s="5">
        <v>21</v>
      </c>
      <c r="P84" s="5" t="s">
        <v>14</v>
      </c>
      <c r="Q84" s="5">
        <v>10</v>
      </c>
      <c r="R84" s="5">
        <v>1</v>
      </c>
    </row>
    <row r="85" spans="1:18">
      <c r="A85" s="4">
        <v>46010</v>
      </c>
      <c r="B85" s="178">
        <v>125652</v>
      </c>
      <c r="C85" s="4">
        <v>46098</v>
      </c>
      <c r="D85" s="159">
        <v>100590</v>
      </c>
      <c r="E85" s="172" t="s">
        <v>18</v>
      </c>
      <c r="F85" s="172" t="s">
        <v>38</v>
      </c>
      <c r="G85" s="168" t="s">
        <v>350</v>
      </c>
      <c r="H85" s="172" t="s">
        <v>44</v>
      </c>
      <c r="I85" s="172" t="s">
        <v>43</v>
      </c>
      <c r="J85" s="5"/>
      <c r="K85" s="172" t="s">
        <v>10</v>
      </c>
      <c r="L85" s="159">
        <v>0</v>
      </c>
      <c r="M85" s="172" t="s">
        <v>33</v>
      </c>
      <c r="N85" s="172" t="s">
        <v>33</v>
      </c>
      <c r="O85" s="5">
        <v>62</v>
      </c>
      <c r="P85" s="5" t="s">
        <v>14</v>
      </c>
      <c r="Q85" s="5">
        <v>10</v>
      </c>
      <c r="R85" s="5">
        <v>1</v>
      </c>
    </row>
    <row r="86" spans="1:18">
      <c r="A86" s="4">
        <v>46088</v>
      </c>
      <c r="B86" s="178">
        <v>128660</v>
      </c>
      <c r="C86" s="4">
        <v>46097</v>
      </c>
      <c r="D86" s="159">
        <v>100582</v>
      </c>
      <c r="E86" s="172" t="s">
        <v>16</v>
      </c>
      <c r="F86" s="172" t="s">
        <v>34</v>
      </c>
      <c r="G86" s="168" t="s">
        <v>351</v>
      </c>
      <c r="H86" s="172" t="s">
        <v>58</v>
      </c>
      <c r="I86" s="172" t="s">
        <v>28</v>
      </c>
      <c r="J86" s="5">
        <v>415</v>
      </c>
      <c r="K86" s="172" t="s">
        <v>10</v>
      </c>
      <c r="L86" s="159">
        <v>2</v>
      </c>
      <c r="M86" s="172" t="s">
        <v>33</v>
      </c>
      <c r="N86" s="172" t="s">
        <v>33</v>
      </c>
      <c r="O86" s="5">
        <v>5</v>
      </c>
      <c r="P86" s="5" t="s">
        <v>8</v>
      </c>
      <c r="Q86" s="5">
        <v>4</v>
      </c>
      <c r="R86" s="5">
        <v>2</v>
      </c>
    </row>
    <row r="87" spans="1:18">
      <c r="A87" s="4">
        <v>46086</v>
      </c>
      <c r="B87" s="178">
        <v>128847</v>
      </c>
      <c r="C87" s="4">
        <v>46097</v>
      </c>
      <c r="D87" s="159">
        <v>100580</v>
      </c>
      <c r="E87" s="172" t="s">
        <v>18</v>
      </c>
      <c r="F87" s="172" t="s">
        <v>34</v>
      </c>
      <c r="G87" s="168" t="s">
        <v>352</v>
      </c>
      <c r="H87" s="172" t="s">
        <v>27</v>
      </c>
      <c r="I87" s="172" t="s">
        <v>35</v>
      </c>
      <c r="J87" s="5">
        <f>190+329</f>
        <v>519</v>
      </c>
      <c r="K87" s="172" t="s">
        <v>10</v>
      </c>
      <c r="L87" s="159">
        <v>3</v>
      </c>
      <c r="M87" s="172" t="s">
        <v>33</v>
      </c>
      <c r="N87" s="172" t="s">
        <v>33</v>
      </c>
      <c r="O87" s="5">
        <v>7</v>
      </c>
      <c r="P87" s="5" t="s">
        <v>8</v>
      </c>
      <c r="Q87" s="5">
        <v>11.5</v>
      </c>
      <c r="R87" s="5">
        <v>3</v>
      </c>
    </row>
    <row r="88" spans="1:18">
      <c r="A88" s="4">
        <v>46084</v>
      </c>
      <c r="B88" s="178">
        <v>128734</v>
      </c>
      <c r="C88" s="4">
        <v>46097</v>
      </c>
      <c r="D88" s="159">
        <v>100578</v>
      </c>
      <c r="E88" s="172" t="s">
        <v>16</v>
      </c>
      <c r="F88" s="172" t="s">
        <v>38</v>
      </c>
      <c r="G88" s="168" t="s">
        <v>353</v>
      </c>
      <c r="H88" s="172" t="s">
        <v>67</v>
      </c>
      <c r="I88" s="172" t="s">
        <v>45</v>
      </c>
      <c r="J88" s="5">
        <v>333</v>
      </c>
      <c r="K88" s="172" t="s">
        <v>10</v>
      </c>
      <c r="L88" s="159">
        <v>0</v>
      </c>
      <c r="M88" s="172" t="s">
        <v>33</v>
      </c>
      <c r="N88" s="172" t="s">
        <v>33</v>
      </c>
      <c r="O88" s="5">
        <v>9</v>
      </c>
      <c r="P88" s="5" t="s">
        <v>14</v>
      </c>
      <c r="Q88" s="5">
        <v>3</v>
      </c>
      <c r="R88" s="5">
        <v>3</v>
      </c>
    </row>
    <row r="89" spans="1:18">
      <c r="A89" s="4">
        <v>46087</v>
      </c>
      <c r="B89" s="178">
        <v>128542</v>
      </c>
      <c r="C89" s="4">
        <v>46097</v>
      </c>
      <c r="D89" s="159">
        <v>100575</v>
      </c>
      <c r="E89" s="172" t="s">
        <v>16</v>
      </c>
      <c r="F89" s="172" t="s">
        <v>34</v>
      </c>
      <c r="G89" s="168" t="s">
        <v>354</v>
      </c>
      <c r="H89" s="172" t="s">
        <v>58</v>
      </c>
      <c r="I89" s="172" t="s">
        <v>28</v>
      </c>
      <c r="J89" s="5">
        <v>579</v>
      </c>
      <c r="K89" s="172" t="s">
        <v>10</v>
      </c>
      <c r="L89" s="159">
        <v>2</v>
      </c>
      <c r="M89" s="172" t="s">
        <v>33</v>
      </c>
      <c r="N89" s="172" t="s">
        <v>33</v>
      </c>
      <c r="O89" s="5">
        <v>6</v>
      </c>
      <c r="P89" s="5" t="s">
        <v>8</v>
      </c>
      <c r="Q89" s="5">
        <v>4</v>
      </c>
      <c r="R89" s="5">
        <v>2</v>
      </c>
    </row>
    <row r="90" spans="1:18">
      <c r="A90" s="4">
        <v>46014</v>
      </c>
      <c r="B90" s="178">
        <v>125613</v>
      </c>
      <c r="C90" s="4">
        <v>46097</v>
      </c>
      <c r="D90" s="159">
        <v>100574</v>
      </c>
      <c r="E90" s="172" t="s">
        <v>17</v>
      </c>
      <c r="F90" s="172" t="s">
        <v>34</v>
      </c>
      <c r="G90" s="168" t="s">
        <v>355</v>
      </c>
      <c r="H90" s="172" t="s">
        <v>57</v>
      </c>
      <c r="I90" s="172" t="s">
        <v>37</v>
      </c>
      <c r="J90" s="5">
        <v>2271</v>
      </c>
      <c r="K90" s="172" t="s">
        <v>11</v>
      </c>
      <c r="L90" s="159">
        <v>1</v>
      </c>
      <c r="M90" s="172" t="s">
        <v>29</v>
      </c>
      <c r="N90" s="172" t="s">
        <v>33</v>
      </c>
      <c r="O90" s="5">
        <v>59</v>
      </c>
      <c r="P90" s="5" t="s">
        <v>14</v>
      </c>
      <c r="Q90" s="5">
        <v>26</v>
      </c>
      <c r="R90" s="5">
        <v>3</v>
      </c>
    </row>
    <row r="91" spans="1:18">
      <c r="A91" s="4">
        <v>46094</v>
      </c>
      <c r="B91" s="178">
        <v>128809</v>
      </c>
      <c r="C91" s="4">
        <v>46097</v>
      </c>
      <c r="D91" s="159">
        <v>100564</v>
      </c>
      <c r="E91" s="172" t="s">
        <v>16</v>
      </c>
      <c r="F91" s="172" t="s">
        <v>34</v>
      </c>
      <c r="G91" s="168" t="s">
        <v>356</v>
      </c>
      <c r="H91" s="172" t="s">
        <v>58</v>
      </c>
      <c r="I91" s="172" t="s">
        <v>28</v>
      </c>
      <c r="J91" s="5">
        <v>428</v>
      </c>
      <c r="K91" s="172" t="s">
        <v>10</v>
      </c>
      <c r="L91" s="159">
        <v>1</v>
      </c>
      <c r="M91" s="172" t="s">
        <v>33</v>
      </c>
      <c r="N91" s="172" t="s">
        <v>33</v>
      </c>
      <c r="O91" s="5">
        <v>1</v>
      </c>
      <c r="P91" s="5" t="s">
        <v>8</v>
      </c>
      <c r="Q91" s="5">
        <v>4</v>
      </c>
      <c r="R91" s="5">
        <v>2</v>
      </c>
    </row>
    <row r="92" spans="1:18">
      <c r="A92" s="4">
        <v>46094</v>
      </c>
      <c r="B92" s="178">
        <v>128948</v>
      </c>
      <c r="C92" s="4">
        <v>46094</v>
      </c>
      <c r="D92" s="159">
        <v>100557</v>
      </c>
      <c r="E92" s="172" t="s">
        <v>18</v>
      </c>
      <c r="F92" s="172" t="s">
        <v>38</v>
      </c>
      <c r="G92" s="168" t="s">
        <v>357</v>
      </c>
      <c r="H92" s="172" t="s">
        <v>64</v>
      </c>
      <c r="I92" s="172" t="s">
        <v>37</v>
      </c>
      <c r="J92" s="5">
        <v>482</v>
      </c>
      <c r="K92" s="172" t="s">
        <v>11</v>
      </c>
      <c r="L92" s="159">
        <v>1</v>
      </c>
      <c r="M92" s="172"/>
      <c r="N92" s="172"/>
      <c r="O92" s="5">
        <v>0</v>
      </c>
      <c r="P92" s="5" t="s">
        <v>14</v>
      </c>
      <c r="Q92" s="5">
        <v>20</v>
      </c>
      <c r="R92" s="5">
        <v>3</v>
      </c>
    </row>
    <row r="93" spans="1:18">
      <c r="A93" s="4">
        <v>46020</v>
      </c>
      <c r="B93" s="178">
        <v>125883</v>
      </c>
      <c r="C93" s="4">
        <v>46094</v>
      </c>
      <c r="D93" s="159">
        <v>100555</v>
      </c>
      <c r="E93" s="172" t="s">
        <v>17</v>
      </c>
      <c r="F93" s="172" t="s">
        <v>34</v>
      </c>
      <c r="G93" s="168" t="s">
        <v>358</v>
      </c>
      <c r="H93" s="172" t="s">
        <v>57</v>
      </c>
      <c r="I93" s="172" t="s">
        <v>37</v>
      </c>
      <c r="J93" s="5">
        <v>1219</v>
      </c>
      <c r="K93" s="172" t="s">
        <v>11</v>
      </c>
      <c r="L93" s="159">
        <v>1</v>
      </c>
      <c r="M93" s="172" t="s">
        <v>29</v>
      </c>
      <c r="N93" s="172" t="s">
        <v>33</v>
      </c>
      <c r="O93" s="5">
        <v>54</v>
      </c>
      <c r="P93" s="5" t="s">
        <v>14</v>
      </c>
      <c r="Q93" s="5">
        <v>26</v>
      </c>
      <c r="R93" s="5">
        <v>3</v>
      </c>
    </row>
    <row r="94" spans="1:18">
      <c r="A94" s="4">
        <v>46094</v>
      </c>
      <c r="B94" s="178">
        <v>61083</v>
      </c>
      <c r="C94" s="4">
        <v>46094</v>
      </c>
      <c r="D94" s="159">
        <v>100550</v>
      </c>
      <c r="E94" s="172" t="s">
        <v>18</v>
      </c>
      <c r="F94" s="172" t="s">
        <v>38</v>
      </c>
      <c r="G94" s="168" t="s">
        <v>359</v>
      </c>
      <c r="H94" s="172" t="s">
        <v>67</v>
      </c>
      <c r="I94" s="172" t="s">
        <v>43</v>
      </c>
      <c r="J94" s="5">
        <v>338</v>
      </c>
      <c r="K94" s="172" t="s">
        <v>10</v>
      </c>
      <c r="L94" s="159">
        <v>0</v>
      </c>
      <c r="M94" s="172" t="s">
        <v>33</v>
      </c>
      <c r="N94" s="172" t="s">
        <v>33</v>
      </c>
      <c r="O94" s="5">
        <v>0</v>
      </c>
      <c r="P94" s="5" t="s">
        <v>14</v>
      </c>
      <c r="Q94" s="5">
        <v>10</v>
      </c>
      <c r="R94" s="5">
        <v>3</v>
      </c>
    </row>
    <row r="95" spans="1:18">
      <c r="A95" s="4">
        <v>46093</v>
      </c>
      <c r="B95" s="178">
        <v>124275</v>
      </c>
      <c r="C95" s="4">
        <v>46094</v>
      </c>
      <c r="D95" s="159">
        <v>100541</v>
      </c>
      <c r="E95" s="172" t="s">
        <v>18</v>
      </c>
      <c r="F95" s="172" t="s">
        <v>34</v>
      </c>
      <c r="G95" s="168" t="s">
        <v>360</v>
      </c>
      <c r="H95" s="172" t="s">
        <v>64</v>
      </c>
      <c r="I95" s="172" t="s">
        <v>37</v>
      </c>
      <c r="J95" s="5">
        <v>809</v>
      </c>
      <c r="K95" s="172" t="s">
        <v>11</v>
      </c>
      <c r="L95" s="159"/>
      <c r="M95" s="172" t="s">
        <v>29</v>
      </c>
      <c r="N95" s="172" t="s">
        <v>29</v>
      </c>
      <c r="O95" s="5">
        <v>1</v>
      </c>
      <c r="P95" s="5" t="s">
        <v>14</v>
      </c>
      <c r="Q95" s="5">
        <v>20</v>
      </c>
      <c r="R95" s="5">
        <v>3</v>
      </c>
    </row>
    <row r="96" spans="1:18">
      <c r="A96" s="4">
        <v>46087</v>
      </c>
      <c r="B96" s="178">
        <v>128818</v>
      </c>
      <c r="C96" s="4">
        <v>46094</v>
      </c>
      <c r="D96" s="159">
        <v>100546</v>
      </c>
      <c r="E96" s="172" t="s">
        <v>18</v>
      </c>
      <c r="F96" s="172" t="s">
        <v>38</v>
      </c>
      <c r="G96" s="168" t="s">
        <v>361</v>
      </c>
      <c r="H96" s="172" t="s">
        <v>64</v>
      </c>
      <c r="I96" s="172" t="s">
        <v>37</v>
      </c>
      <c r="J96" s="5">
        <v>60</v>
      </c>
      <c r="K96" s="172" t="s">
        <v>10</v>
      </c>
      <c r="L96" s="159"/>
      <c r="M96" s="172"/>
      <c r="N96" s="172"/>
      <c r="O96" s="5">
        <v>5</v>
      </c>
      <c r="P96" s="5" t="s">
        <v>14</v>
      </c>
      <c r="Q96" s="5">
        <v>10</v>
      </c>
      <c r="R96" s="5">
        <v>3</v>
      </c>
    </row>
    <row r="97" spans="1:18">
      <c r="A97" s="4">
        <v>46094</v>
      </c>
      <c r="B97" s="178">
        <v>129130</v>
      </c>
      <c r="C97" s="4">
        <v>46094</v>
      </c>
      <c r="D97" s="159">
        <v>100544</v>
      </c>
      <c r="E97" s="172" t="s">
        <v>18</v>
      </c>
      <c r="F97" s="172" t="s">
        <v>38</v>
      </c>
      <c r="G97" t="s">
        <v>362</v>
      </c>
      <c r="H97" s="172" t="s">
        <v>66</v>
      </c>
      <c r="I97" s="172" t="s">
        <v>43</v>
      </c>
      <c r="J97" s="5">
        <v>26</v>
      </c>
      <c r="K97" s="172" t="s">
        <v>10</v>
      </c>
      <c r="L97" s="159">
        <v>0</v>
      </c>
      <c r="M97" s="172" t="s">
        <v>33</v>
      </c>
      <c r="N97" s="172" t="s">
        <v>33</v>
      </c>
      <c r="O97" s="5">
        <v>0</v>
      </c>
      <c r="P97" s="5" t="s">
        <v>36</v>
      </c>
      <c r="Q97" s="5">
        <v>0</v>
      </c>
      <c r="R97" s="5">
        <v>3</v>
      </c>
    </row>
    <row r="98" spans="1:18">
      <c r="A98" s="4">
        <v>46094</v>
      </c>
      <c r="B98" s="178">
        <v>129127</v>
      </c>
      <c r="C98" s="4">
        <v>46094</v>
      </c>
      <c r="D98" s="159">
        <v>100542</v>
      </c>
      <c r="E98" s="172" t="s">
        <v>18</v>
      </c>
      <c r="F98" s="172" t="s">
        <v>38</v>
      </c>
      <c r="G98" t="s">
        <v>363</v>
      </c>
      <c r="H98" s="172" t="s">
        <v>66</v>
      </c>
      <c r="I98" s="172" t="s">
        <v>43</v>
      </c>
      <c r="J98" s="5">
        <v>36</v>
      </c>
      <c r="K98" s="172" t="s">
        <v>10</v>
      </c>
      <c r="L98" s="159">
        <v>0</v>
      </c>
      <c r="M98" s="172" t="s">
        <v>33</v>
      </c>
      <c r="N98" s="172" t="s">
        <v>33</v>
      </c>
      <c r="O98" s="5">
        <v>0</v>
      </c>
      <c r="P98" s="5" t="s">
        <v>36</v>
      </c>
      <c r="Q98" s="5">
        <v>0</v>
      </c>
      <c r="R98" s="5">
        <v>3</v>
      </c>
    </row>
    <row r="99" spans="1:18" ht="60">
      <c r="A99" s="4">
        <v>46092</v>
      </c>
      <c r="B99" s="178">
        <v>128808</v>
      </c>
      <c r="C99" s="4">
        <v>46094</v>
      </c>
      <c r="D99" s="159">
        <v>100539</v>
      </c>
      <c r="E99" s="172" t="s">
        <v>16</v>
      </c>
      <c r="F99" s="172" t="s">
        <v>34</v>
      </c>
      <c r="G99" s="77" t="s">
        <v>364</v>
      </c>
      <c r="H99" s="172" t="s">
        <v>58</v>
      </c>
      <c r="I99" s="172" t="s">
        <v>28</v>
      </c>
      <c r="J99" s="5">
        <v>264</v>
      </c>
      <c r="K99" s="172" t="s">
        <v>10</v>
      </c>
      <c r="L99" s="159">
        <v>1</v>
      </c>
      <c r="M99" s="172" t="s">
        <v>33</v>
      </c>
      <c r="N99" s="172" t="s">
        <v>33</v>
      </c>
      <c r="O99" s="5">
        <v>2</v>
      </c>
      <c r="P99" s="5" t="s">
        <v>8</v>
      </c>
      <c r="Q99" s="5">
        <v>4</v>
      </c>
      <c r="R99" s="5">
        <v>2</v>
      </c>
    </row>
    <row r="100" spans="1:18" ht="30">
      <c r="A100" s="4">
        <v>46087</v>
      </c>
      <c r="B100" s="178">
        <v>128427</v>
      </c>
      <c r="C100" s="4">
        <v>46094</v>
      </c>
      <c r="D100" s="159">
        <v>100523</v>
      </c>
      <c r="E100" s="172" t="s">
        <v>16</v>
      </c>
      <c r="F100" s="172" t="s">
        <v>34</v>
      </c>
      <c r="G100" s="77" t="s">
        <v>365</v>
      </c>
      <c r="H100" s="172" t="s">
        <v>56</v>
      </c>
      <c r="I100" s="172" t="s">
        <v>28</v>
      </c>
      <c r="J100" s="5">
        <v>84</v>
      </c>
      <c r="K100" s="172" t="s">
        <v>10</v>
      </c>
      <c r="L100" s="159">
        <v>0</v>
      </c>
      <c r="M100" s="172" t="s">
        <v>33</v>
      </c>
      <c r="N100" s="172" t="s">
        <v>33</v>
      </c>
      <c r="O100" s="5">
        <v>5</v>
      </c>
      <c r="P100" s="5" t="s">
        <v>36</v>
      </c>
      <c r="Q100" s="5">
        <v>0</v>
      </c>
      <c r="R100" s="5">
        <v>3</v>
      </c>
    </row>
    <row r="101" spans="1:18" ht="30">
      <c r="A101" s="4">
        <v>46079</v>
      </c>
      <c r="B101" s="178">
        <v>128426</v>
      </c>
      <c r="C101" s="4">
        <v>46094</v>
      </c>
      <c r="D101" s="159">
        <v>100524</v>
      </c>
      <c r="E101" s="172" t="s">
        <v>16</v>
      </c>
      <c r="F101" s="172" t="s">
        <v>34</v>
      </c>
      <c r="G101" s="77" t="s">
        <v>366</v>
      </c>
      <c r="H101" s="172" t="s">
        <v>58</v>
      </c>
      <c r="I101" s="172" t="s">
        <v>28</v>
      </c>
      <c r="J101" s="5">
        <v>216</v>
      </c>
      <c r="K101" s="172" t="s">
        <v>10</v>
      </c>
      <c r="L101" s="159">
        <v>1</v>
      </c>
      <c r="M101" s="172" t="s">
        <v>33</v>
      </c>
      <c r="N101" s="172" t="s">
        <v>33</v>
      </c>
      <c r="O101" s="5">
        <v>11</v>
      </c>
      <c r="P101" s="5" t="s">
        <v>8</v>
      </c>
      <c r="Q101" s="5">
        <v>4</v>
      </c>
      <c r="R101" s="5">
        <v>2</v>
      </c>
    </row>
    <row r="102" spans="1:18" ht="30">
      <c r="A102" s="4">
        <v>46091</v>
      </c>
      <c r="B102" s="178">
        <v>128811</v>
      </c>
      <c r="C102" s="4">
        <v>46094</v>
      </c>
      <c r="D102" s="159">
        <v>100525</v>
      </c>
      <c r="E102" s="172" t="s">
        <v>16</v>
      </c>
      <c r="F102" s="172" t="s">
        <v>34</v>
      </c>
      <c r="G102" s="77" t="s">
        <v>367</v>
      </c>
      <c r="H102" s="172" t="s">
        <v>56</v>
      </c>
      <c r="I102" s="172" t="s">
        <v>28</v>
      </c>
      <c r="J102" s="5">
        <v>78</v>
      </c>
      <c r="K102" s="172" t="s">
        <v>10</v>
      </c>
      <c r="L102" s="159">
        <v>0</v>
      </c>
      <c r="M102" s="172" t="s">
        <v>29</v>
      </c>
      <c r="N102" s="172" t="s">
        <v>33</v>
      </c>
      <c r="O102" s="5">
        <v>3</v>
      </c>
      <c r="P102" s="5" t="s">
        <v>36</v>
      </c>
      <c r="Q102" s="5">
        <v>0</v>
      </c>
      <c r="R102" s="5">
        <v>3</v>
      </c>
    </row>
    <row r="103" spans="1:18" ht="30">
      <c r="A103" s="4">
        <v>46066</v>
      </c>
      <c r="B103" s="178">
        <v>128018</v>
      </c>
      <c r="C103" s="4">
        <v>46094</v>
      </c>
      <c r="D103" s="159">
        <v>100527</v>
      </c>
      <c r="E103" s="172" t="s">
        <v>18</v>
      </c>
      <c r="F103" s="172" t="s">
        <v>38</v>
      </c>
      <c r="G103" s="77" t="s">
        <v>368</v>
      </c>
      <c r="H103" s="172" t="s">
        <v>50</v>
      </c>
      <c r="I103" s="172" t="s">
        <v>35</v>
      </c>
      <c r="J103" s="5">
        <v>124</v>
      </c>
      <c r="K103" s="172" t="s">
        <v>10</v>
      </c>
      <c r="L103" s="159">
        <v>0</v>
      </c>
      <c r="M103" s="172" t="s">
        <v>33</v>
      </c>
      <c r="N103" s="172" t="s">
        <v>33</v>
      </c>
      <c r="O103" s="5">
        <v>20</v>
      </c>
      <c r="P103" s="5" t="s">
        <v>14</v>
      </c>
      <c r="Q103" s="5">
        <v>10</v>
      </c>
      <c r="R103" s="5">
        <v>2</v>
      </c>
    </row>
    <row r="104" spans="1:18" ht="30">
      <c r="A104" s="4">
        <v>45960</v>
      </c>
      <c r="B104" s="178">
        <v>123874</v>
      </c>
      <c r="C104" s="4">
        <v>46094</v>
      </c>
      <c r="D104" s="159">
        <v>100526</v>
      </c>
      <c r="E104" s="172" t="s">
        <v>17</v>
      </c>
      <c r="F104" s="172" t="s">
        <v>34</v>
      </c>
      <c r="G104" s="77" t="s">
        <v>369</v>
      </c>
      <c r="H104" s="172" t="s">
        <v>50</v>
      </c>
      <c r="I104" s="172" t="s">
        <v>35</v>
      </c>
      <c r="J104" s="5">
        <f>646+246</f>
        <v>892</v>
      </c>
      <c r="K104" s="172" t="s">
        <v>10</v>
      </c>
      <c r="L104" s="159">
        <v>0</v>
      </c>
      <c r="M104" s="172" t="s">
        <v>33</v>
      </c>
      <c r="N104" s="172" t="s">
        <v>33</v>
      </c>
      <c r="O104" s="5">
        <v>96</v>
      </c>
      <c r="P104" s="5" t="s">
        <v>14</v>
      </c>
      <c r="Q104" s="5">
        <v>20</v>
      </c>
      <c r="R104" s="5">
        <v>2</v>
      </c>
    </row>
    <row r="105" spans="1:18">
      <c r="A105" s="4">
        <v>46093</v>
      </c>
      <c r="B105" s="178">
        <v>129061</v>
      </c>
      <c r="C105" s="4">
        <v>46093</v>
      </c>
      <c r="D105" s="159">
        <v>100517</v>
      </c>
      <c r="E105" s="172" t="s">
        <v>16</v>
      </c>
      <c r="F105" s="172" t="s">
        <v>38</v>
      </c>
      <c r="G105" t="s">
        <v>370</v>
      </c>
      <c r="H105" s="172" t="s">
        <v>67</v>
      </c>
      <c r="I105" s="172" t="s">
        <v>45</v>
      </c>
      <c r="J105" s="5">
        <v>216</v>
      </c>
      <c r="K105" s="172" t="s">
        <v>10</v>
      </c>
      <c r="L105" s="159">
        <v>0</v>
      </c>
      <c r="M105" s="172" t="s">
        <v>33</v>
      </c>
      <c r="N105" s="172" t="s">
        <v>33</v>
      </c>
      <c r="O105" s="5">
        <v>0</v>
      </c>
      <c r="P105" s="5" t="s">
        <v>14</v>
      </c>
      <c r="Q105" s="5">
        <v>3</v>
      </c>
      <c r="R105" s="5">
        <v>3</v>
      </c>
    </row>
    <row r="106" spans="1:18">
      <c r="A106" s="4">
        <v>46092</v>
      </c>
      <c r="B106" s="178">
        <v>129001</v>
      </c>
      <c r="C106" s="4">
        <v>46093</v>
      </c>
      <c r="D106" s="159">
        <v>100498</v>
      </c>
      <c r="E106" s="172" t="s">
        <v>16</v>
      </c>
      <c r="F106" s="172" t="s">
        <v>34</v>
      </c>
      <c r="G106" t="s">
        <v>371</v>
      </c>
      <c r="H106" s="172" t="s">
        <v>58</v>
      </c>
      <c r="I106" s="172" t="s">
        <v>28</v>
      </c>
      <c r="J106" s="5">
        <v>187</v>
      </c>
      <c r="K106" s="172" t="s">
        <v>10</v>
      </c>
      <c r="L106" s="159">
        <v>1</v>
      </c>
      <c r="M106" s="172" t="s">
        <v>33</v>
      </c>
      <c r="N106" s="172" t="s">
        <v>33</v>
      </c>
      <c r="O106" s="5">
        <v>1</v>
      </c>
      <c r="P106" s="5" t="s">
        <v>8</v>
      </c>
      <c r="Q106" s="5">
        <v>4</v>
      </c>
      <c r="R106" s="5">
        <v>2</v>
      </c>
    </row>
    <row r="107" spans="1:18">
      <c r="A107" s="4">
        <v>46086</v>
      </c>
      <c r="B107" s="178">
        <v>128590</v>
      </c>
      <c r="C107" s="4">
        <v>46093</v>
      </c>
      <c r="D107" s="159">
        <v>100499</v>
      </c>
      <c r="E107" s="172" t="s">
        <v>9</v>
      </c>
      <c r="F107" s="172" t="s">
        <v>34</v>
      </c>
      <c r="G107" t="s">
        <v>372</v>
      </c>
      <c r="H107" s="172" t="s">
        <v>52</v>
      </c>
      <c r="I107" s="172" t="s">
        <v>40</v>
      </c>
      <c r="J107" s="5">
        <f>320+312</f>
        <v>632</v>
      </c>
      <c r="K107" s="172" t="s">
        <v>10</v>
      </c>
      <c r="L107" s="159">
        <v>1</v>
      </c>
      <c r="M107" s="172" t="s">
        <v>33</v>
      </c>
      <c r="N107" s="172" t="s">
        <v>33</v>
      </c>
      <c r="O107" s="5">
        <v>5</v>
      </c>
      <c r="P107" s="5" t="s">
        <v>8</v>
      </c>
      <c r="Q107" s="5">
        <v>10</v>
      </c>
      <c r="R107" s="5">
        <v>2</v>
      </c>
    </row>
    <row r="108" spans="1:18">
      <c r="A108" s="4">
        <v>46085</v>
      </c>
      <c r="B108" s="178">
        <v>127536</v>
      </c>
      <c r="C108" s="4">
        <v>46092</v>
      </c>
      <c r="D108" s="159">
        <v>100483</v>
      </c>
      <c r="E108" s="172" t="s">
        <v>9</v>
      </c>
      <c r="F108" s="172" t="s">
        <v>34</v>
      </c>
      <c r="G108" t="s">
        <v>373</v>
      </c>
      <c r="H108" s="172" t="s">
        <v>63</v>
      </c>
      <c r="I108" s="172" t="s">
        <v>40</v>
      </c>
      <c r="J108" s="5">
        <f>256+1030</f>
        <v>1286</v>
      </c>
      <c r="K108" s="172" t="s">
        <v>10</v>
      </c>
      <c r="L108" s="159">
        <v>1</v>
      </c>
      <c r="M108" s="172" t="s">
        <v>29</v>
      </c>
      <c r="N108" s="172" t="s">
        <v>33</v>
      </c>
      <c r="O108" s="5">
        <v>5</v>
      </c>
      <c r="P108" s="5" t="s">
        <v>8</v>
      </c>
      <c r="Q108" s="5">
        <v>10</v>
      </c>
      <c r="R108" s="5">
        <v>2</v>
      </c>
    </row>
    <row r="109" spans="1:18">
      <c r="A109" s="4">
        <v>46092</v>
      </c>
      <c r="B109" s="178">
        <v>128282</v>
      </c>
      <c r="C109" s="4">
        <v>46092</v>
      </c>
      <c r="D109" s="159">
        <v>100476</v>
      </c>
      <c r="E109" s="172" t="s">
        <v>18</v>
      </c>
      <c r="F109" s="172" t="s">
        <v>38</v>
      </c>
      <c r="G109" s="5" t="s">
        <v>374</v>
      </c>
      <c r="H109" s="172" t="s">
        <v>67</v>
      </c>
      <c r="I109" s="172" t="s">
        <v>43</v>
      </c>
      <c r="J109" s="5">
        <v>70</v>
      </c>
      <c r="K109" s="172" t="s">
        <v>10</v>
      </c>
      <c r="L109" s="159">
        <v>0</v>
      </c>
      <c r="M109" s="172" t="s">
        <v>33</v>
      </c>
      <c r="N109" s="172" t="s">
        <v>33</v>
      </c>
      <c r="O109" s="5">
        <v>0</v>
      </c>
      <c r="P109" s="5" t="s">
        <v>14</v>
      </c>
      <c r="Q109" s="5">
        <v>10</v>
      </c>
      <c r="R109" s="5">
        <v>3</v>
      </c>
    </row>
    <row r="110" spans="1:18">
      <c r="A110" s="4">
        <v>46092</v>
      </c>
      <c r="B110" s="178">
        <v>128991</v>
      </c>
      <c r="C110" s="4">
        <v>46092</v>
      </c>
      <c r="D110" s="159">
        <v>100474</v>
      </c>
      <c r="E110" s="172" t="s">
        <v>18</v>
      </c>
      <c r="F110" s="172" t="s">
        <v>38</v>
      </c>
      <c r="G110" t="s">
        <v>375</v>
      </c>
      <c r="H110" s="172" t="s">
        <v>39</v>
      </c>
      <c r="I110" s="172" t="s">
        <v>43</v>
      </c>
      <c r="J110" s="5">
        <v>30</v>
      </c>
      <c r="K110" s="172" t="s">
        <v>10</v>
      </c>
      <c r="L110" s="159">
        <v>0</v>
      </c>
      <c r="M110" s="172" t="s">
        <v>33</v>
      </c>
      <c r="N110" s="172" t="s">
        <v>33</v>
      </c>
      <c r="O110" s="5">
        <v>0</v>
      </c>
      <c r="P110" s="5" t="s">
        <v>15</v>
      </c>
      <c r="Q110" s="5">
        <v>8</v>
      </c>
      <c r="R110" s="5">
        <v>3</v>
      </c>
    </row>
    <row r="111" spans="1:18">
      <c r="A111" s="4">
        <v>46092</v>
      </c>
      <c r="B111" s="178">
        <v>128992</v>
      </c>
      <c r="C111" s="4">
        <v>46092</v>
      </c>
      <c r="D111" s="5">
        <v>100472</v>
      </c>
      <c r="E111" s="5" t="s">
        <v>18</v>
      </c>
      <c r="F111" s="5" t="s">
        <v>34</v>
      </c>
      <c r="G111" t="s">
        <v>376</v>
      </c>
      <c r="H111" s="5" t="s">
        <v>63</v>
      </c>
      <c r="I111" s="5" t="s">
        <v>32</v>
      </c>
      <c r="J111" s="5"/>
      <c r="K111" s="5" t="s">
        <v>10</v>
      </c>
      <c r="L111" s="5">
        <v>0</v>
      </c>
      <c r="M111" s="5" t="s">
        <v>33</v>
      </c>
      <c r="N111" s="5" t="s">
        <v>33</v>
      </c>
      <c r="O111" s="5">
        <v>0</v>
      </c>
      <c r="P111" s="5" t="s">
        <v>8</v>
      </c>
      <c r="Q111" s="5">
        <v>11.5</v>
      </c>
      <c r="R111" s="5">
        <v>2</v>
      </c>
    </row>
    <row r="112" spans="1:18">
      <c r="A112" s="4">
        <v>46091</v>
      </c>
      <c r="B112" s="178">
        <v>128709</v>
      </c>
      <c r="C112" s="4">
        <v>46091</v>
      </c>
      <c r="D112" s="5">
        <v>100464</v>
      </c>
      <c r="E112" s="5" t="s">
        <v>9</v>
      </c>
      <c r="F112" s="5" t="s">
        <v>34</v>
      </c>
      <c r="G112" t="s">
        <v>377</v>
      </c>
      <c r="H112" s="5" t="s">
        <v>52</v>
      </c>
      <c r="I112" s="5" t="s">
        <v>40</v>
      </c>
      <c r="J112" s="5">
        <f>352+213</f>
        <v>565</v>
      </c>
      <c r="K112" s="5" t="s">
        <v>10</v>
      </c>
      <c r="L112" s="5">
        <v>0</v>
      </c>
      <c r="M112" s="5" t="s">
        <v>33</v>
      </c>
      <c r="N112" s="5" t="s">
        <v>33</v>
      </c>
      <c r="O112" s="5">
        <v>0</v>
      </c>
      <c r="P112" s="5" t="s">
        <v>8</v>
      </c>
      <c r="Q112" s="5">
        <v>10</v>
      </c>
      <c r="R112" s="5">
        <v>2</v>
      </c>
    </row>
    <row r="113" spans="1:18">
      <c r="A113" s="4">
        <v>46091</v>
      </c>
      <c r="B113" s="178">
        <v>128978</v>
      </c>
      <c r="C113" s="4">
        <v>46091</v>
      </c>
      <c r="D113" s="5">
        <v>100454</v>
      </c>
      <c r="E113" s="5" t="s">
        <v>18</v>
      </c>
      <c r="F113" s="5" t="s">
        <v>30</v>
      </c>
      <c r="G113" t="s">
        <v>378</v>
      </c>
      <c r="H113" s="5" t="s">
        <v>66</v>
      </c>
      <c r="I113" s="5" t="s">
        <v>43</v>
      </c>
      <c r="J113" s="5">
        <v>35</v>
      </c>
      <c r="K113" s="5" t="s">
        <v>10</v>
      </c>
      <c r="L113" s="5">
        <v>0</v>
      </c>
      <c r="M113" s="5" t="s">
        <v>33</v>
      </c>
      <c r="N113" s="5" t="s">
        <v>33</v>
      </c>
      <c r="O113" s="5">
        <v>0</v>
      </c>
      <c r="P113" s="5" t="s">
        <v>36</v>
      </c>
      <c r="Q113" s="5">
        <v>0</v>
      </c>
      <c r="R113" s="5">
        <v>3</v>
      </c>
    </row>
    <row r="114" spans="1:18">
      <c r="A114" s="4">
        <v>46091</v>
      </c>
      <c r="B114" s="178">
        <v>128857</v>
      </c>
      <c r="C114" s="4">
        <v>46091</v>
      </c>
      <c r="D114" s="5">
        <v>100445</v>
      </c>
      <c r="E114" s="5" t="s">
        <v>9</v>
      </c>
      <c r="F114" s="5" t="s">
        <v>34</v>
      </c>
      <c r="G114" t="s">
        <v>379</v>
      </c>
      <c r="H114" s="5" t="s">
        <v>68</v>
      </c>
      <c r="I114" s="5" t="s">
        <v>40</v>
      </c>
      <c r="J114" s="5">
        <f>315+60</f>
        <v>375</v>
      </c>
      <c r="K114" s="5" t="s">
        <v>10</v>
      </c>
      <c r="L114" s="5">
        <v>0</v>
      </c>
      <c r="M114" s="5" t="s">
        <v>33</v>
      </c>
      <c r="N114" s="5" t="s">
        <v>29</v>
      </c>
      <c r="O114" s="5">
        <v>0</v>
      </c>
      <c r="P114" s="5" t="s">
        <v>8</v>
      </c>
      <c r="Q114" s="5">
        <v>10</v>
      </c>
      <c r="R114" s="5">
        <v>2</v>
      </c>
    </row>
    <row r="115" spans="1:18">
      <c r="A115" s="4">
        <v>46059</v>
      </c>
      <c r="B115" s="178">
        <v>127663</v>
      </c>
      <c r="C115" s="4">
        <v>46091</v>
      </c>
      <c r="D115" s="5">
        <v>100439</v>
      </c>
      <c r="E115" s="5" t="s">
        <v>18</v>
      </c>
      <c r="F115" s="5" t="s">
        <v>34</v>
      </c>
      <c r="G115" t="s">
        <v>380</v>
      </c>
      <c r="H115" s="5" t="s">
        <v>50</v>
      </c>
      <c r="I115" s="5" t="s">
        <v>32</v>
      </c>
      <c r="J115" s="5">
        <v>753</v>
      </c>
      <c r="K115" s="5" t="s">
        <v>10</v>
      </c>
      <c r="L115" s="5">
        <v>0</v>
      </c>
      <c r="M115" s="5" t="s">
        <v>29</v>
      </c>
      <c r="N115" s="5" t="s">
        <v>33</v>
      </c>
      <c r="O115" s="5">
        <v>22</v>
      </c>
      <c r="P115" s="5" t="s">
        <v>14</v>
      </c>
      <c r="Q115" s="5">
        <v>10</v>
      </c>
      <c r="R115" s="5">
        <v>2</v>
      </c>
    </row>
    <row r="116" spans="1:18">
      <c r="A116" s="4">
        <v>46091</v>
      </c>
      <c r="B116" s="178">
        <v>128943</v>
      </c>
      <c r="C116" s="4">
        <v>46091</v>
      </c>
      <c r="D116" s="5">
        <v>100427</v>
      </c>
      <c r="E116" s="5" t="s">
        <v>16</v>
      </c>
      <c r="F116" s="5" t="s">
        <v>34</v>
      </c>
      <c r="G116" t="s">
        <v>381</v>
      </c>
      <c r="H116" s="5" t="s">
        <v>56</v>
      </c>
      <c r="I116" s="5" t="s">
        <v>28</v>
      </c>
      <c r="J116" s="5">
        <v>17</v>
      </c>
      <c r="K116" s="5" t="s">
        <v>10</v>
      </c>
      <c r="L116" s="5">
        <v>0</v>
      </c>
      <c r="M116" s="5" t="s">
        <v>33</v>
      </c>
      <c r="N116" s="5" t="s">
        <v>33</v>
      </c>
      <c r="O116" s="5">
        <v>0</v>
      </c>
      <c r="P116" s="5" t="s">
        <v>36</v>
      </c>
      <c r="Q116" s="5">
        <v>0</v>
      </c>
      <c r="R116" s="5">
        <v>3</v>
      </c>
    </row>
    <row r="117" spans="1:18">
      <c r="A117" s="4">
        <v>45726</v>
      </c>
      <c r="B117" s="178">
        <v>128936</v>
      </c>
      <c r="C117" s="4">
        <v>45726</v>
      </c>
      <c r="D117" s="5">
        <v>100423</v>
      </c>
      <c r="E117" s="5" t="s">
        <v>9</v>
      </c>
      <c r="F117" s="5" t="s">
        <v>34</v>
      </c>
      <c r="G117" t="s">
        <v>382</v>
      </c>
      <c r="H117" s="5" t="s">
        <v>62</v>
      </c>
      <c r="I117" s="5" t="s">
        <v>40</v>
      </c>
      <c r="J117" s="5">
        <v>20</v>
      </c>
      <c r="K117" s="5" t="s">
        <v>10</v>
      </c>
      <c r="L117" s="5">
        <v>0</v>
      </c>
      <c r="M117" s="5" t="s">
        <v>33</v>
      </c>
      <c r="N117" s="5" t="s">
        <v>33</v>
      </c>
      <c r="O117" s="5">
        <v>0</v>
      </c>
      <c r="P117" s="5" t="s">
        <v>36</v>
      </c>
      <c r="Q117" s="5">
        <v>0</v>
      </c>
      <c r="R117" s="5">
        <v>2</v>
      </c>
    </row>
    <row r="118" spans="1:18">
      <c r="A118" s="4">
        <v>46090</v>
      </c>
      <c r="B118" s="178">
        <v>128930</v>
      </c>
      <c r="C118" s="4">
        <v>46090</v>
      </c>
      <c r="D118" s="5">
        <v>100422</v>
      </c>
      <c r="E118" s="5" t="s">
        <v>18</v>
      </c>
      <c r="F118" s="5" t="s">
        <v>38</v>
      </c>
      <c r="G118" t="s">
        <v>383</v>
      </c>
      <c r="H118" s="5" t="s">
        <v>66</v>
      </c>
      <c r="I118" s="5" t="s">
        <v>43</v>
      </c>
      <c r="J118" s="5">
        <v>20</v>
      </c>
      <c r="K118" s="5" t="s">
        <v>10</v>
      </c>
      <c r="L118" s="5">
        <v>0</v>
      </c>
      <c r="M118" s="5" t="s">
        <v>33</v>
      </c>
      <c r="N118" s="5" t="s">
        <v>33</v>
      </c>
      <c r="O118" s="5">
        <v>0</v>
      </c>
      <c r="P118" s="5" t="s">
        <v>36</v>
      </c>
      <c r="Q118" s="5">
        <v>0</v>
      </c>
      <c r="R118" s="5">
        <v>3</v>
      </c>
    </row>
    <row r="119" spans="1:18">
      <c r="A119" s="4">
        <v>46090</v>
      </c>
      <c r="B119" s="178">
        <v>128885</v>
      </c>
      <c r="C119" s="4">
        <v>45725</v>
      </c>
      <c r="D119" s="5">
        <v>100418</v>
      </c>
      <c r="E119" s="5" t="s">
        <v>9</v>
      </c>
      <c r="F119" s="5" t="s">
        <v>34</v>
      </c>
      <c r="G119" t="s">
        <v>384</v>
      </c>
      <c r="H119" s="5" t="s">
        <v>69</v>
      </c>
      <c r="I119" s="5" t="s">
        <v>40</v>
      </c>
      <c r="J119" s="5">
        <v>363</v>
      </c>
      <c r="K119" s="5" t="s">
        <v>10</v>
      </c>
      <c r="L119" s="5">
        <v>1</v>
      </c>
      <c r="M119" s="5" t="s">
        <v>33</v>
      </c>
      <c r="N119" s="5" t="s">
        <v>33</v>
      </c>
      <c r="O119" s="5">
        <v>-365</v>
      </c>
      <c r="P119" s="5" t="s">
        <v>8</v>
      </c>
      <c r="Q119" s="5">
        <v>10</v>
      </c>
      <c r="R119" s="5">
        <v>3</v>
      </c>
    </row>
    <row r="120" spans="1:18">
      <c r="A120" s="4">
        <v>46090</v>
      </c>
      <c r="B120" s="178">
        <v>128896</v>
      </c>
      <c r="C120" s="4">
        <v>46090</v>
      </c>
      <c r="D120" s="5">
        <v>100417</v>
      </c>
      <c r="E120" s="5" t="s">
        <v>16</v>
      </c>
      <c r="F120" s="5" t="s">
        <v>38</v>
      </c>
      <c r="G120" t="s">
        <v>385</v>
      </c>
      <c r="H120" s="5" t="s">
        <v>67</v>
      </c>
      <c r="I120" s="5" t="s">
        <v>43</v>
      </c>
      <c r="J120" s="5">
        <v>195</v>
      </c>
      <c r="K120" s="5" t="s">
        <v>10</v>
      </c>
      <c r="L120" s="5">
        <v>0</v>
      </c>
      <c r="M120" s="5" t="s">
        <v>33</v>
      </c>
      <c r="N120" s="5" t="s">
        <v>33</v>
      </c>
      <c r="O120" s="5">
        <v>0</v>
      </c>
      <c r="P120" s="5" t="s">
        <v>14</v>
      </c>
      <c r="Q120" s="5">
        <v>3</v>
      </c>
      <c r="R120" s="5">
        <v>3</v>
      </c>
    </row>
    <row r="121" spans="1:18">
      <c r="A121" s="4">
        <v>46090</v>
      </c>
      <c r="B121" s="178">
        <v>128890</v>
      </c>
      <c r="C121" s="4">
        <v>46090</v>
      </c>
      <c r="D121" s="5">
        <v>100410</v>
      </c>
      <c r="E121" s="5" t="s">
        <v>16</v>
      </c>
      <c r="F121" s="5" t="s">
        <v>34</v>
      </c>
      <c r="G121" t="s">
        <v>386</v>
      </c>
      <c r="H121" s="5" t="s">
        <v>56</v>
      </c>
      <c r="I121" s="5" t="s">
        <v>28</v>
      </c>
      <c r="J121" s="5">
        <v>67</v>
      </c>
      <c r="K121" s="5" t="s">
        <v>10</v>
      </c>
      <c r="L121" s="5">
        <v>0</v>
      </c>
      <c r="M121" s="5" t="s">
        <v>33</v>
      </c>
      <c r="N121" s="5" t="s">
        <v>33</v>
      </c>
      <c r="O121" s="5">
        <v>0</v>
      </c>
      <c r="P121" s="5" t="s">
        <v>36</v>
      </c>
      <c r="Q121" s="5">
        <v>0</v>
      </c>
      <c r="R121" s="5">
        <v>3</v>
      </c>
    </row>
    <row r="122" spans="1:18">
      <c r="A122" s="4">
        <v>46073</v>
      </c>
      <c r="B122" s="178">
        <v>128040</v>
      </c>
      <c r="C122" s="4">
        <v>46090</v>
      </c>
      <c r="D122" s="5">
        <v>100407</v>
      </c>
      <c r="E122" s="5" t="s">
        <v>16</v>
      </c>
      <c r="F122" s="5" t="s">
        <v>34</v>
      </c>
      <c r="G122" t="s">
        <v>387</v>
      </c>
      <c r="H122" s="5" t="s">
        <v>58</v>
      </c>
      <c r="I122" s="5" t="s">
        <v>28</v>
      </c>
      <c r="J122" s="5">
        <v>337</v>
      </c>
      <c r="K122" s="5" t="s">
        <v>10</v>
      </c>
      <c r="L122" s="5">
        <v>2</v>
      </c>
      <c r="M122" s="5" t="s">
        <v>33</v>
      </c>
      <c r="N122" s="5" t="s">
        <v>33</v>
      </c>
      <c r="O122" s="5">
        <v>11</v>
      </c>
      <c r="P122" s="5" t="s">
        <v>8</v>
      </c>
      <c r="Q122" s="5">
        <v>4</v>
      </c>
      <c r="R122" s="5">
        <v>2</v>
      </c>
    </row>
    <row r="123" spans="1:18">
      <c r="A123" s="4">
        <v>46087</v>
      </c>
      <c r="B123" s="178">
        <v>128664</v>
      </c>
      <c r="C123" s="4">
        <v>46087</v>
      </c>
      <c r="D123" s="5">
        <v>100389</v>
      </c>
      <c r="E123" s="5" t="s">
        <v>16</v>
      </c>
      <c r="F123" s="5" t="s">
        <v>38</v>
      </c>
      <c r="G123" t="s">
        <v>388</v>
      </c>
      <c r="H123" s="5" t="s">
        <v>67</v>
      </c>
      <c r="I123" s="5" t="s">
        <v>43</v>
      </c>
      <c r="J123" s="5">
        <v>186</v>
      </c>
      <c r="K123" s="5" t="s">
        <v>10</v>
      </c>
      <c r="L123" s="5">
        <v>0</v>
      </c>
      <c r="M123" s="5" t="s">
        <v>33</v>
      </c>
      <c r="N123" s="5" t="s">
        <v>33</v>
      </c>
      <c r="O123" s="5">
        <v>0</v>
      </c>
      <c r="P123" s="5" t="s">
        <v>14</v>
      </c>
      <c r="Q123" s="5">
        <v>3</v>
      </c>
      <c r="R123" s="5">
        <v>3</v>
      </c>
    </row>
    <row r="124" spans="1:18">
      <c r="A124" s="4">
        <v>46086</v>
      </c>
      <c r="B124" s="178">
        <v>128211</v>
      </c>
      <c r="C124" s="4">
        <v>46086</v>
      </c>
      <c r="D124" s="5">
        <v>100373</v>
      </c>
      <c r="E124" s="5" t="s">
        <v>16</v>
      </c>
      <c r="F124" s="5" t="s">
        <v>38</v>
      </c>
      <c r="G124" t="s">
        <v>389</v>
      </c>
      <c r="H124" s="5" t="s">
        <v>67</v>
      </c>
      <c r="I124" s="5" t="s">
        <v>43</v>
      </c>
      <c r="J124" s="5">
        <v>373</v>
      </c>
      <c r="K124" s="5" t="s">
        <v>10</v>
      </c>
      <c r="L124" s="5">
        <v>0</v>
      </c>
      <c r="M124" s="5" t="s">
        <v>33</v>
      </c>
      <c r="N124" s="5" t="s">
        <v>33</v>
      </c>
      <c r="O124" s="5">
        <v>0</v>
      </c>
      <c r="P124" s="5" t="s">
        <v>14</v>
      </c>
      <c r="Q124" s="5">
        <v>3</v>
      </c>
      <c r="R124" s="5">
        <v>3</v>
      </c>
    </row>
    <row r="125" spans="1:18">
      <c r="A125" s="4">
        <v>46086</v>
      </c>
      <c r="B125" s="178">
        <v>128848</v>
      </c>
      <c r="C125" s="4">
        <v>46086</v>
      </c>
      <c r="D125" s="5">
        <v>100371</v>
      </c>
      <c r="E125" s="5" t="s">
        <v>18</v>
      </c>
      <c r="F125" s="5" t="s">
        <v>30</v>
      </c>
      <c r="G125" t="s">
        <v>390</v>
      </c>
      <c r="H125" s="5" t="s">
        <v>66</v>
      </c>
      <c r="I125" s="5" t="s">
        <v>43</v>
      </c>
      <c r="J125" s="5">
        <v>60</v>
      </c>
      <c r="K125" s="5" t="s">
        <v>10</v>
      </c>
      <c r="L125" s="5">
        <v>0</v>
      </c>
      <c r="M125" s="5" t="s">
        <v>33</v>
      </c>
      <c r="N125" s="5" t="s">
        <v>33</v>
      </c>
      <c r="O125" s="5">
        <v>0</v>
      </c>
      <c r="P125" s="5" t="s">
        <v>36</v>
      </c>
      <c r="Q125" s="5">
        <v>0</v>
      </c>
      <c r="R125" s="5">
        <v>3</v>
      </c>
    </row>
    <row r="126" spans="1:18">
      <c r="A126" s="4">
        <v>46085</v>
      </c>
      <c r="B126" s="178">
        <v>128813</v>
      </c>
      <c r="C126" s="4">
        <v>46086</v>
      </c>
      <c r="D126" s="5">
        <v>100345</v>
      </c>
      <c r="E126" s="5" t="s">
        <v>16</v>
      </c>
      <c r="F126" s="5" t="s">
        <v>34</v>
      </c>
      <c r="G126" t="s">
        <v>391</v>
      </c>
      <c r="H126" s="5" t="s">
        <v>56</v>
      </c>
      <c r="I126" s="5" t="s">
        <v>28</v>
      </c>
      <c r="J126" s="5">
        <v>20</v>
      </c>
      <c r="K126" s="5" t="s">
        <v>10</v>
      </c>
      <c r="L126" s="5">
        <v>0</v>
      </c>
      <c r="M126" s="5" t="s">
        <v>33</v>
      </c>
      <c r="N126" s="5" t="s">
        <v>33</v>
      </c>
      <c r="O126" s="5">
        <v>1</v>
      </c>
      <c r="P126" s="5" t="s">
        <v>36</v>
      </c>
      <c r="Q126" s="5">
        <v>0</v>
      </c>
      <c r="R126" s="5">
        <v>3</v>
      </c>
    </row>
    <row r="127" spans="1:18">
      <c r="A127" s="4">
        <v>46085</v>
      </c>
      <c r="B127" s="178">
        <v>128814</v>
      </c>
      <c r="C127" s="4">
        <v>46086</v>
      </c>
      <c r="D127" s="5">
        <v>100344</v>
      </c>
      <c r="E127" s="5" t="s">
        <v>16</v>
      </c>
      <c r="F127" s="5" t="s">
        <v>34</v>
      </c>
      <c r="G127" t="s">
        <v>392</v>
      </c>
      <c r="H127" s="5" t="s">
        <v>56</v>
      </c>
      <c r="I127" s="5" t="s">
        <v>28</v>
      </c>
      <c r="J127" s="5">
        <v>37</v>
      </c>
      <c r="K127" s="5" t="s">
        <v>10</v>
      </c>
      <c r="L127" s="5">
        <v>0</v>
      </c>
      <c r="M127" s="5" t="s">
        <v>33</v>
      </c>
      <c r="N127" s="5" t="s">
        <v>33</v>
      </c>
      <c r="O127" s="5">
        <v>1</v>
      </c>
      <c r="P127" s="5" t="s">
        <v>36</v>
      </c>
      <c r="Q127" s="5">
        <v>0</v>
      </c>
      <c r="R127" s="5">
        <v>3</v>
      </c>
    </row>
    <row r="128" spans="1:18">
      <c r="A128" s="4">
        <v>46085</v>
      </c>
      <c r="B128" s="178">
        <v>128779</v>
      </c>
      <c r="C128" s="4">
        <v>46086</v>
      </c>
      <c r="D128" s="5">
        <v>100343</v>
      </c>
      <c r="E128" s="5" t="s">
        <v>16</v>
      </c>
      <c r="F128" s="5" t="s">
        <v>34</v>
      </c>
      <c r="G128" t="s">
        <v>393</v>
      </c>
      <c r="H128" s="5" t="s">
        <v>56</v>
      </c>
      <c r="I128" s="5" t="s">
        <v>28</v>
      </c>
      <c r="J128" s="5">
        <v>86</v>
      </c>
      <c r="K128" s="5" t="s">
        <v>10</v>
      </c>
      <c r="L128" s="5">
        <v>0</v>
      </c>
      <c r="M128" s="5" t="s">
        <v>33</v>
      </c>
      <c r="N128" s="5" t="s">
        <v>33</v>
      </c>
      <c r="O128" s="5">
        <v>1</v>
      </c>
      <c r="P128" s="5" t="s">
        <v>36</v>
      </c>
      <c r="Q128" s="5">
        <v>0</v>
      </c>
      <c r="R128" s="5">
        <v>3</v>
      </c>
    </row>
    <row r="129" spans="1:18">
      <c r="A129" s="4">
        <v>46085</v>
      </c>
      <c r="B129" s="178">
        <v>128729</v>
      </c>
      <c r="C129" s="4">
        <v>46086</v>
      </c>
      <c r="D129" s="5">
        <v>100342</v>
      </c>
      <c r="E129" s="5" t="s">
        <v>16</v>
      </c>
      <c r="F129" s="5" t="s">
        <v>34</v>
      </c>
      <c r="G129" t="s">
        <v>394</v>
      </c>
      <c r="H129" s="5" t="s">
        <v>56</v>
      </c>
      <c r="I129" s="5" t="s">
        <v>28</v>
      </c>
      <c r="J129" s="5">
        <v>256</v>
      </c>
      <c r="K129" s="5" t="s">
        <v>10</v>
      </c>
      <c r="L129" s="5">
        <v>0</v>
      </c>
      <c r="M129" s="5" t="s">
        <v>33</v>
      </c>
      <c r="N129" s="5" t="s">
        <v>33</v>
      </c>
      <c r="O129" s="5">
        <v>1</v>
      </c>
      <c r="P129" s="5" t="s">
        <v>36</v>
      </c>
      <c r="Q129" s="5">
        <v>0</v>
      </c>
      <c r="R129" s="5">
        <v>3</v>
      </c>
    </row>
    <row r="130" spans="1:18">
      <c r="A130" s="4">
        <v>46072</v>
      </c>
      <c r="B130" s="178">
        <v>127637</v>
      </c>
      <c r="C130" s="4">
        <v>46086</v>
      </c>
      <c r="D130" s="5">
        <v>100368</v>
      </c>
      <c r="E130" s="5" t="s">
        <v>16</v>
      </c>
      <c r="F130" s="5" t="s">
        <v>34</v>
      </c>
      <c r="G130" t="s">
        <v>395</v>
      </c>
      <c r="H130" s="5" t="s">
        <v>58</v>
      </c>
      <c r="I130" s="5" t="s">
        <v>28</v>
      </c>
      <c r="J130" s="5">
        <v>723</v>
      </c>
      <c r="K130" s="5" t="s">
        <v>10</v>
      </c>
      <c r="L130" s="5">
        <v>1</v>
      </c>
      <c r="M130" s="5" t="s">
        <v>33</v>
      </c>
      <c r="N130" s="5" t="s">
        <v>33</v>
      </c>
      <c r="O130" s="5">
        <v>32918</v>
      </c>
      <c r="P130" s="5" t="s">
        <v>8</v>
      </c>
      <c r="Q130" s="5">
        <v>4</v>
      </c>
      <c r="R130" s="5">
        <v>2</v>
      </c>
    </row>
    <row r="131" spans="1:18">
      <c r="A131" s="4">
        <v>46048</v>
      </c>
      <c r="B131" s="178">
        <v>126290</v>
      </c>
      <c r="C131" s="4">
        <v>46086</v>
      </c>
      <c r="D131" s="5">
        <v>100347</v>
      </c>
      <c r="E131" s="5" t="s">
        <v>16</v>
      </c>
      <c r="F131" s="5" t="s">
        <v>34</v>
      </c>
      <c r="G131" t="s">
        <v>396</v>
      </c>
      <c r="H131" s="5" t="s">
        <v>56</v>
      </c>
      <c r="I131" s="5" t="s">
        <v>28</v>
      </c>
      <c r="J131" s="5">
        <v>94</v>
      </c>
      <c r="K131" s="5" t="s">
        <v>10</v>
      </c>
      <c r="L131" s="5">
        <v>0</v>
      </c>
      <c r="M131" s="5" t="s">
        <v>33</v>
      </c>
      <c r="N131" s="5" t="s">
        <v>33</v>
      </c>
      <c r="O131" s="5">
        <v>28</v>
      </c>
      <c r="P131" s="5" t="s">
        <v>36</v>
      </c>
      <c r="Q131" s="5">
        <v>0</v>
      </c>
      <c r="R131" s="5">
        <v>3</v>
      </c>
    </row>
    <row r="132" spans="1:18">
      <c r="A132" s="4">
        <v>46077</v>
      </c>
      <c r="B132" s="178">
        <v>127261</v>
      </c>
      <c r="C132" s="4">
        <v>46086</v>
      </c>
      <c r="D132" s="5">
        <v>100346</v>
      </c>
      <c r="E132" s="5" t="s">
        <v>16</v>
      </c>
      <c r="F132" s="5" t="s">
        <v>34</v>
      </c>
      <c r="G132" t="s">
        <v>397</v>
      </c>
      <c r="H132" s="5" t="s">
        <v>58</v>
      </c>
      <c r="I132" s="5" t="s">
        <v>28</v>
      </c>
      <c r="J132" s="5">
        <v>283</v>
      </c>
      <c r="K132" s="5" t="s">
        <v>10</v>
      </c>
      <c r="L132" s="5">
        <v>0</v>
      </c>
      <c r="M132" s="5" t="s">
        <v>33</v>
      </c>
      <c r="N132" s="5" t="s">
        <v>33</v>
      </c>
      <c r="O132" s="5">
        <v>7</v>
      </c>
      <c r="P132" s="5" t="s">
        <v>8</v>
      </c>
      <c r="Q132" s="5">
        <v>4</v>
      </c>
      <c r="R132" s="5">
        <v>2</v>
      </c>
    </row>
    <row r="133" spans="1:18">
      <c r="A133" s="4">
        <v>46086</v>
      </c>
      <c r="B133" s="178">
        <v>128465</v>
      </c>
      <c r="C133" s="4">
        <v>46086</v>
      </c>
      <c r="D133" s="5">
        <v>100357</v>
      </c>
      <c r="E133" s="5" t="s">
        <v>16</v>
      </c>
      <c r="F133" s="5" t="s">
        <v>38</v>
      </c>
      <c r="G133" t="s">
        <v>398</v>
      </c>
      <c r="H133" s="5" t="s">
        <v>67</v>
      </c>
      <c r="I133" s="5" t="s">
        <v>43</v>
      </c>
      <c r="J133" s="5">
        <v>280</v>
      </c>
      <c r="K133" s="5" t="s">
        <v>10</v>
      </c>
      <c r="L133" s="5">
        <v>0</v>
      </c>
      <c r="M133" s="5" t="s">
        <v>33</v>
      </c>
      <c r="N133" s="5" t="s">
        <v>33</v>
      </c>
      <c r="O133" s="5">
        <v>0</v>
      </c>
      <c r="P133" s="5" t="s">
        <v>14</v>
      </c>
      <c r="Q133" s="5">
        <v>3</v>
      </c>
      <c r="R133" s="5">
        <v>3</v>
      </c>
    </row>
    <row r="134" spans="1:18">
      <c r="A134" s="4">
        <v>46086</v>
      </c>
      <c r="B134" s="178">
        <v>128819</v>
      </c>
      <c r="C134" s="4">
        <v>46086</v>
      </c>
      <c r="D134" s="5">
        <v>100348</v>
      </c>
      <c r="E134" s="5" t="s">
        <v>18</v>
      </c>
      <c r="F134" s="5" t="s">
        <v>38</v>
      </c>
      <c r="G134" t="s">
        <v>399</v>
      </c>
      <c r="H134" s="5" t="s">
        <v>66</v>
      </c>
      <c r="I134" s="5" t="s">
        <v>43</v>
      </c>
      <c r="J134" s="5">
        <v>30</v>
      </c>
      <c r="K134" s="5" t="s">
        <v>10</v>
      </c>
      <c r="L134" s="5">
        <v>0</v>
      </c>
      <c r="M134" s="5" t="s">
        <v>33</v>
      </c>
      <c r="N134" s="5" t="s">
        <v>33</v>
      </c>
      <c r="O134" s="5">
        <v>0</v>
      </c>
      <c r="P134" s="5" t="s">
        <v>36</v>
      </c>
      <c r="Q134" s="5">
        <v>0</v>
      </c>
      <c r="R134" s="5">
        <v>3</v>
      </c>
    </row>
    <row r="135" spans="1:18">
      <c r="A135" s="4">
        <v>46085</v>
      </c>
      <c r="B135" s="178">
        <v>128756</v>
      </c>
      <c r="C135" s="4">
        <v>46085</v>
      </c>
      <c r="D135" s="5">
        <v>100319</v>
      </c>
      <c r="E135" s="5" t="s">
        <v>16</v>
      </c>
      <c r="F135" s="5" t="s">
        <v>34</v>
      </c>
      <c r="G135" t="s">
        <v>400</v>
      </c>
      <c r="H135" s="5" t="s">
        <v>56</v>
      </c>
      <c r="I135" s="5" t="s">
        <v>28</v>
      </c>
      <c r="J135" s="5">
        <v>132</v>
      </c>
      <c r="K135" s="5" t="s">
        <v>10</v>
      </c>
      <c r="L135" s="5">
        <v>0</v>
      </c>
      <c r="M135" s="5" t="s">
        <v>33</v>
      </c>
      <c r="N135" s="5" t="s">
        <v>33</v>
      </c>
      <c r="O135" s="5">
        <v>0</v>
      </c>
      <c r="P135" s="5" t="s">
        <v>36</v>
      </c>
      <c r="Q135" s="5">
        <v>0</v>
      </c>
      <c r="R135" s="5">
        <v>3</v>
      </c>
    </row>
    <row r="136" spans="1:18">
      <c r="A136" s="4">
        <v>46085</v>
      </c>
      <c r="B136" s="178">
        <v>128805</v>
      </c>
      <c r="C136" s="4">
        <v>46085</v>
      </c>
      <c r="D136" s="5">
        <v>100338</v>
      </c>
      <c r="E136" s="5" t="s">
        <v>16</v>
      </c>
      <c r="F136" s="5" t="s">
        <v>34</v>
      </c>
      <c r="G136" t="s">
        <v>401</v>
      </c>
      <c r="H136" s="5" t="s">
        <v>56</v>
      </c>
      <c r="I136" s="5" t="s">
        <v>28</v>
      </c>
      <c r="J136" s="5">
        <v>13</v>
      </c>
      <c r="K136" s="5" t="s">
        <v>10</v>
      </c>
      <c r="L136" s="5">
        <v>0</v>
      </c>
      <c r="M136" s="5" t="s">
        <v>33</v>
      </c>
      <c r="N136" s="5" t="s">
        <v>33</v>
      </c>
      <c r="O136" s="5">
        <v>0</v>
      </c>
      <c r="P136" s="5" t="s">
        <v>36</v>
      </c>
      <c r="Q136" s="5">
        <v>0</v>
      </c>
      <c r="R136" s="5">
        <v>3</v>
      </c>
    </row>
    <row r="137" spans="1:18">
      <c r="A137" s="4">
        <v>46085</v>
      </c>
      <c r="B137" s="178">
        <v>128804</v>
      </c>
      <c r="C137" s="4">
        <v>46085</v>
      </c>
      <c r="D137" s="5">
        <v>100337</v>
      </c>
      <c r="E137" s="5" t="s">
        <v>18</v>
      </c>
      <c r="F137" s="5" t="s">
        <v>34</v>
      </c>
      <c r="G137" t="s">
        <v>339</v>
      </c>
      <c r="H137" s="5" t="s">
        <v>35</v>
      </c>
      <c r="I137" s="5" t="s">
        <v>35</v>
      </c>
      <c r="J137" s="5">
        <v>20</v>
      </c>
      <c r="K137" s="5" t="s">
        <v>10</v>
      </c>
      <c r="L137" s="5">
        <v>0</v>
      </c>
      <c r="M137" s="5" t="s">
        <v>33</v>
      </c>
      <c r="N137" s="5" t="s">
        <v>33</v>
      </c>
      <c r="O137" s="5">
        <v>0</v>
      </c>
      <c r="P137" s="5" t="s">
        <v>36</v>
      </c>
      <c r="Q137" s="5">
        <v>0</v>
      </c>
      <c r="R137" s="5">
        <v>1</v>
      </c>
    </row>
    <row r="138" spans="1:18">
      <c r="A138" s="4">
        <v>46084</v>
      </c>
      <c r="B138" s="178">
        <v>128624</v>
      </c>
      <c r="C138" s="4">
        <v>46084</v>
      </c>
      <c r="D138" s="5">
        <v>100297</v>
      </c>
      <c r="E138" s="5" t="s">
        <v>9</v>
      </c>
      <c r="F138" s="5" t="s">
        <v>34</v>
      </c>
      <c r="G138" t="s">
        <v>402</v>
      </c>
      <c r="H138" s="5" t="s">
        <v>46</v>
      </c>
      <c r="I138" s="5" t="s">
        <v>40</v>
      </c>
      <c r="J138" s="5">
        <f>406+270</f>
        <v>676</v>
      </c>
      <c r="K138" s="5" t="s">
        <v>10</v>
      </c>
      <c r="L138" s="5">
        <v>0</v>
      </c>
      <c r="M138" s="5" t="s">
        <v>33</v>
      </c>
      <c r="N138" s="5" t="s">
        <v>33</v>
      </c>
      <c r="O138" s="5">
        <v>0</v>
      </c>
      <c r="P138" s="5" t="s">
        <v>8</v>
      </c>
      <c r="Q138" s="5">
        <v>10</v>
      </c>
      <c r="R138" s="5">
        <v>3</v>
      </c>
    </row>
    <row r="139" spans="1:18">
      <c r="A139" s="4">
        <v>46085</v>
      </c>
      <c r="B139" s="178">
        <v>128548</v>
      </c>
      <c r="C139" s="4">
        <v>46085</v>
      </c>
      <c r="D139" s="5">
        <v>100306</v>
      </c>
      <c r="E139" s="5" t="s">
        <v>16</v>
      </c>
      <c r="F139" s="5" t="s">
        <v>34</v>
      </c>
      <c r="G139" s="168" t="s">
        <v>403</v>
      </c>
      <c r="H139" s="5" t="s">
        <v>56</v>
      </c>
      <c r="I139" s="5" t="s">
        <v>28</v>
      </c>
      <c r="J139" s="5"/>
      <c r="K139" s="5" t="s">
        <v>10</v>
      </c>
      <c r="L139" s="5">
        <v>0</v>
      </c>
      <c r="M139" s="5" t="s">
        <v>33</v>
      </c>
      <c r="N139" s="5" t="s">
        <v>33</v>
      </c>
      <c r="O139" s="5">
        <v>0</v>
      </c>
      <c r="P139" s="5" t="s">
        <v>36</v>
      </c>
      <c r="Q139" s="5">
        <v>0</v>
      </c>
      <c r="R139" s="5">
        <v>3</v>
      </c>
    </row>
    <row r="140" spans="1:18">
      <c r="A140" s="4">
        <v>46083</v>
      </c>
      <c r="B140" s="178">
        <v>128673</v>
      </c>
      <c r="C140" s="4">
        <v>46084</v>
      </c>
      <c r="D140" s="5">
        <v>100254</v>
      </c>
      <c r="E140" s="5" t="s">
        <v>18</v>
      </c>
      <c r="F140" s="5" t="s">
        <v>34</v>
      </c>
      <c r="G140" s="168" t="s">
        <v>404</v>
      </c>
      <c r="H140" s="5" t="s">
        <v>59</v>
      </c>
      <c r="I140" s="5" t="s">
        <v>37</v>
      </c>
      <c r="J140" s="5">
        <v>1</v>
      </c>
      <c r="K140" s="5" t="s">
        <v>10</v>
      </c>
      <c r="L140" s="5"/>
      <c r="M140" s="5"/>
      <c r="N140" s="5"/>
      <c r="O140" s="5">
        <v>1</v>
      </c>
      <c r="P140" s="5" t="s">
        <v>36</v>
      </c>
      <c r="Q140" s="5">
        <v>0</v>
      </c>
      <c r="R140" s="5">
        <v>3</v>
      </c>
    </row>
    <row r="141" spans="1:18">
      <c r="A141" s="4">
        <v>46084</v>
      </c>
      <c r="B141" s="178">
        <v>128742</v>
      </c>
      <c r="C141" s="4">
        <v>46084</v>
      </c>
      <c r="D141" s="5">
        <v>100295</v>
      </c>
      <c r="E141" s="5" t="s">
        <v>18</v>
      </c>
      <c r="F141" s="5" t="s">
        <v>38</v>
      </c>
      <c r="G141" s="168" t="s">
        <v>405</v>
      </c>
      <c r="H141" s="5" t="s">
        <v>57</v>
      </c>
      <c r="I141" s="5" t="s">
        <v>37</v>
      </c>
      <c r="J141" s="5">
        <v>21</v>
      </c>
      <c r="K141" s="5" t="s">
        <v>10</v>
      </c>
      <c r="L141" s="5"/>
      <c r="M141" s="5"/>
      <c r="N141" s="5"/>
      <c r="O141" s="5">
        <v>0</v>
      </c>
      <c r="P141" s="5" t="s">
        <v>14</v>
      </c>
      <c r="Q141" s="5">
        <v>10</v>
      </c>
      <c r="R141" s="5">
        <v>3</v>
      </c>
    </row>
    <row r="142" spans="1:18">
      <c r="A142" s="4">
        <v>46084</v>
      </c>
      <c r="B142" s="178">
        <v>128741</v>
      </c>
      <c r="C142" s="4">
        <v>46084</v>
      </c>
      <c r="D142" s="5">
        <v>100296</v>
      </c>
      <c r="E142" s="5" t="s">
        <v>18</v>
      </c>
      <c r="F142" s="5" t="s">
        <v>38</v>
      </c>
      <c r="G142" s="168" t="s">
        <v>405</v>
      </c>
      <c r="H142" s="5" t="s">
        <v>57</v>
      </c>
      <c r="I142" s="5" t="s">
        <v>37</v>
      </c>
      <c r="J142" s="5">
        <v>21</v>
      </c>
      <c r="K142" s="5" t="s">
        <v>10</v>
      </c>
      <c r="L142" s="5"/>
      <c r="M142" s="5"/>
      <c r="N142" s="5"/>
      <c r="O142" s="5">
        <v>0</v>
      </c>
      <c r="P142" s="5" t="s">
        <v>14</v>
      </c>
      <c r="Q142" s="5">
        <v>10</v>
      </c>
      <c r="R142" s="5">
        <v>3</v>
      </c>
    </row>
    <row r="143" spans="1:18">
      <c r="A143" s="4">
        <v>46078</v>
      </c>
      <c r="B143" s="178">
        <v>128438</v>
      </c>
      <c r="C143" s="4">
        <v>46084</v>
      </c>
      <c r="D143" s="5">
        <v>100287</v>
      </c>
      <c r="E143" s="5" t="s">
        <v>16</v>
      </c>
      <c r="F143" s="5" t="s">
        <v>38</v>
      </c>
      <c r="G143" s="136" t="s">
        <v>406</v>
      </c>
      <c r="H143" s="5" t="s">
        <v>67</v>
      </c>
      <c r="I143" s="5" t="s">
        <v>43</v>
      </c>
      <c r="J143" s="5">
        <v>220</v>
      </c>
      <c r="K143" s="5" t="s">
        <v>10</v>
      </c>
      <c r="L143" s="5">
        <v>0</v>
      </c>
      <c r="M143" s="5" t="s">
        <v>33</v>
      </c>
      <c r="N143" s="5" t="s">
        <v>33</v>
      </c>
      <c r="O143" s="5">
        <v>4</v>
      </c>
      <c r="P143" s="5" t="s">
        <v>14</v>
      </c>
      <c r="Q143" s="5">
        <v>3</v>
      </c>
      <c r="R143" s="5">
        <v>3</v>
      </c>
    </row>
    <row r="144" spans="1:18">
      <c r="A144" s="4">
        <v>46084</v>
      </c>
      <c r="B144" s="178">
        <v>128605</v>
      </c>
      <c r="C144" s="4">
        <v>46084</v>
      </c>
      <c r="D144" s="5">
        <v>100281</v>
      </c>
      <c r="E144" s="5" t="s">
        <v>16</v>
      </c>
      <c r="F144" s="5" t="s">
        <v>34</v>
      </c>
      <c r="G144" s="136" t="s">
        <v>407</v>
      </c>
      <c r="H144" s="5" t="s">
        <v>57</v>
      </c>
      <c r="I144" s="5" t="s">
        <v>28</v>
      </c>
      <c r="J144" s="5">
        <v>1491</v>
      </c>
      <c r="K144" s="5" t="s">
        <v>11</v>
      </c>
      <c r="L144" s="5">
        <v>1</v>
      </c>
      <c r="M144" s="5" t="s">
        <v>29</v>
      </c>
      <c r="N144" s="5" t="s">
        <v>29</v>
      </c>
      <c r="O144" s="5">
        <v>0</v>
      </c>
      <c r="P144" s="5" t="s">
        <v>14</v>
      </c>
      <c r="Q144" s="5">
        <v>5</v>
      </c>
      <c r="R144" s="5">
        <v>3</v>
      </c>
    </row>
    <row r="145" spans="1:18" s="174" customFormat="1">
      <c r="A145" s="4"/>
      <c r="B145" s="178"/>
      <c r="C145" s="4"/>
      <c r="D145" s="5"/>
      <c r="E145" s="5"/>
      <c r="F145" s="5"/>
      <c r="G145" s="136"/>
      <c r="H145" s="5"/>
      <c r="I145" s="5"/>
      <c r="J145" s="5"/>
      <c r="K145" s="5"/>
      <c r="L145" s="5"/>
      <c r="M145" s="5"/>
      <c r="N145" s="5"/>
      <c r="O145" s="5"/>
      <c r="P145" s="5"/>
      <c r="Q145" s="5"/>
      <c r="R145" s="5"/>
    </row>
    <row r="146" spans="1:18" s="174" customFormat="1">
      <c r="A146" s="4"/>
      <c r="B146" s="178"/>
      <c r="C146" s="4"/>
      <c r="D146" s="5"/>
      <c r="E146" s="5"/>
      <c r="F146" s="5"/>
      <c r="G146" s="136"/>
      <c r="H146" s="5"/>
      <c r="I146" s="5"/>
      <c r="J146" s="5"/>
      <c r="K146" s="5"/>
      <c r="L146" s="5"/>
      <c r="M146" s="5"/>
      <c r="N146" s="5"/>
      <c r="O146" s="5"/>
      <c r="P146" s="5"/>
      <c r="Q146" s="5"/>
      <c r="R146" s="5"/>
    </row>
    <row r="147" spans="1:18" s="174" customFormat="1">
      <c r="A147" s="4"/>
      <c r="B147" s="178"/>
      <c r="C147" s="4"/>
      <c r="D147" s="5"/>
      <c r="E147" s="5"/>
      <c r="F147" s="5"/>
      <c r="G147" s="136"/>
      <c r="H147" s="5"/>
      <c r="I147" s="5"/>
      <c r="J147" s="5"/>
      <c r="K147" s="5"/>
      <c r="L147" s="5"/>
      <c r="M147" s="5"/>
      <c r="N147" s="5"/>
      <c r="O147" s="5"/>
      <c r="P147" s="5"/>
      <c r="Q147" s="5"/>
      <c r="R147" s="5"/>
    </row>
    <row r="148" spans="1:18" s="174" customFormat="1">
      <c r="A148" s="4"/>
      <c r="B148" s="178"/>
      <c r="C148" s="4"/>
      <c r="D148" s="5"/>
      <c r="E148" s="5"/>
      <c r="F148" s="5"/>
      <c r="G148" s="136"/>
      <c r="H148" s="5"/>
      <c r="I148" s="5"/>
      <c r="J148" s="5"/>
      <c r="K148" s="5"/>
      <c r="L148" s="5"/>
      <c r="M148" s="5"/>
      <c r="N148" s="5"/>
      <c r="O148" s="5"/>
      <c r="P148" s="5"/>
      <c r="Q148" s="5"/>
      <c r="R148" s="5"/>
    </row>
    <row r="149" spans="1:18" s="174" customFormat="1">
      <c r="A149" s="4"/>
      <c r="B149" s="178"/>
      <c r="C149" s="4"/>
      <c r="D149" s="5"/>
      <c r="E149" s="5"/>
      <c r="F149" s="5"/>
      <c r="G149" s="136"/>
      <c r="H149" s="5"/>
      <c r="I149" s="5"/>
      <c r="J149" s="5"/>
      <c r="K149" s="5"/>
      <c r="L149" s="5"/>
      <c r="M149" s="5"/>
      <c r="N149" s="5"/>
      <c r="O149" s="5"/>
      <c r="P149" s="5"/>
      <c r="Q149" s="5"/>
      <c r="R149" s="5"/>
    </row>
    <row r="150" spans="1:18" s="174" customFormat="1">
      <c r="A150" s="4"/>
      <c r="B150" s="178"/>
      <c r="C150" s="4"/>
      <c r="D150" s="5"/>
      <c r="E150" s="5"/>
      <c r="F150" s="5"/>
      <c r="G150" s="136"/>
      <c r="H150" s="5"/>
      <c r="I150" s="5"/>
      <c r="J150"/>
      <c r="K150" s="5"/>
      <c r="L150" s="5"/>
      <c r="M150" s="5"/>
      <c r="N150" s="5"/>
      <c r="O150" s="5"/>
      <c r="P150" s="5"/>
      <c r="Q150" s="5"/>
      <c r="R150" s="5"/>
    </row>
    <row r="151" spans="1:18" s="174" customFormat="1">
      <c r="A151" s="4"/>
      <c r="B151" s="178"/>
      <c r="C151" s="4"/>
      <c r="D151" s="5"/>
      <c r="E151" s="5"/>
      <c r="F151" s="5"/>
      <c r="G151" s="136"/>
      <c r="H151" s="5"/>
      <c r="I151" s="5"/>
      <c r="J151"/>
      <c r="K151" s="5"/>
      <c r="L151" s="5"/>
      <c r="M151" s="5"/>
      <c r="N151" s="5"/>
      <c r="O151" s="5"/>
      <c r="P151" s="5"/>
      <c r="Q151" s="5"/>
      <c r="R151" s="5"/>
    </row>
    <row r="152" spans="1:18" s="174" customFormat="1">
      <c r="A152" s="4"/>
      <c r="B152" s="178"/>
      <c r="C152" s="4"/>
      <c r="D152" s="5"/>
      <c r="E152" s="5"/>
      <c r="F152" s="5"/>
      <c r="G152" s="136"/>
      <c r="H152" s="5"/>
      <c r="I152" s="5"/>
      <c r="J152"/>
      <c r="K152" s="5"/>
      <c r="L152" s="5"/>
      <c r="M152" s="5"/>
      <c r="N152" s="5"/>
      <c r="O152" s="5"/>
      <c r="P152" s="5"/>
      <c r="Q152" s="5"/>
      <c r="R152" s="5"/>
    </row>
    <row r="153" spans="1:18" s="174" customFormat="1">
      <c r="A153" s="4"/>
      <c r="B153" s="178"/>
      <c r="C153" s="4"/>
      <c r="D153" s="5"/>
      <c r="E153" s="5"/>
      <c r="F153" s="5"/>
      <c r="G153"/>
      <c r="H153" s="5"/>
      <c r="I153" s="5"/>
      <c r="J153"/>
      <c r="K153" s="5"/>
      <c r="L153" s="5"/>
      <c r="M153" s="5"/>
      <c r="N153" s="5"/>
      <c r="O153" s="5"/>
      <c r="P153" s="5"/>
      <c r="Q153" s="5"/>
      <c r="R153" s="5"/>
    </row>
    <row r="154" spans="1:18" s="174" customFormat="1">
      <c r="A154" s="4"/>
      <c r="B154" s="5"/>
      <c r="C154" s="4"/>
      <c r="D154" s="5"/>
      <c r="E154" s="5"/>
      <c r="F154" s="5"/>
      <c r="G154"/>
      <c r="H154" s="5"/>
      <c r="I154" s="5"/>
      <c r="J154"/>
      <c r="K154" s="5"/>
      <c r="L154" s="5"/>
      <c r="M154" s="5"/>
      <c r="N154" s="5"/>
      <c r="O154" s="5"/>
      <c r="P154" s="5"/>
      <c r="Q154" s="5"/>
      <c r="R154" s="5"/>
    </row>
    <row r="155" spans="1:18" s="174" customFormat="1">
      <c r="A155" s="4"/>
      <c r="B155" s="5"/>
      <c r="C155" s="4"/>
      <c r="D155" s="5"/>
      <c r="E155" s="5"/>
      <c r="F155" s="5"/>
      <c r="G155"/>
      <c r="H155" s="5"/>
      <c r="I155" s="5"/>
      <c r="J155"/>
      <c r="K155" s="5"/>
      <c r="L155" s="5"/>
      <c r="M155" s="5"/>
      <c r="N155" s="5"/>
      <c r="O155" s="5"/>
      <c r="P155" s="5"/>
      <c r="Q155" s="5"/>
      <c r="R155" s="5"/>
    </row>
    <row r="156" spans="1:18" s="174" customFormat="1">
      <c r="A156" s="4"/>
      <c r="B156" s="5"/>
      <c r="C156" s="4"/>
      <c r="D156" s="5"/>
      <c r="E156" s="5"/>
      <c r="F156" s="5"/>
      <c r="G156"/>
      <c r="H156" s="5"/>
      <c r="I156" s="5"/>
      <c r="J156" s="5"/>
      <c r="K156" s="5"/>
      <c r="L156" s="5"/>
      <c r="M156" s="5"/>
      <c r="N156" s="5"/>
      <c r="O156" s="5"/>
      <c r="P156" s="5"/>
      <c r="Q156" s="5"/>
      <c r="R156" s="5"/>
    </row>
    <row r="157" spans="1:18" s="174" customFormat="1">
      <c r="A157" s="4"/>
      <c r="B157" s="5"/>
      <c r="C157" s="4"/>
      <c r="D157" s="5"/>
      <c r="E157" s="5"/>
      <c r="F157" s="5"/>
      <c r="G157"/>
      <c r="H157" s="5"/>
      <c r="I157" s="5"/>
      <c r="J157" s="5"/>
      <c r="K157" s="5"/>
      <c r="L157" s="5"/>
      <c r="M157" s="5"/>
      <c r="N157" s="5"/>
      <c r="O157" s="5"/>
      <c r="P157" s="5"/>
      <c r="Q157" s="5"/>
      <c r="R157" s="5"/>
    </row>
    <row r="158" spans="1:18" s="174" customFormat="1">
      <c r="A158" s="4"/>
      <c r="B158" s="5"/>
      <c r="C158" s="4"/>
      <c r="D158" s="5"/>
      <c r="E158" s="5"/>
      <c r="F158" s="5"/>
      <c r="G158" s="136"/>
      <c r="H158" s="5"/>
      <c r="I158" s="5"/>
      <c r="J158" s="5"/>
      <c r="K158" s="5"/>
      <c r="L158" s="5"/>
      <c r="M158" s="5"/>
      <c r="N158" s="5"/>
      <c r="O158" s="5"/>
      <c r="P158" s="5"/>
      <c r="Q158" s="5"/>
      <c r="R158" s="5"/>
    </row>
    <row r="159" spans="1:18" s="174" customFormat="1">
      <c r="A159" s="4"/>
      <c r="B159" s="5"/>
      <c r="C159" s="4"/>
      <c r="D159" s="5"/>
      <c r="E159" s="5"/>
      <c r="F159" s="5"/>
      <c r="G159" s="136"/>
      <c r="H159" s="5"/>
      <c r="I159" s="5"/>
      <c r="J159" s="5"/>
      <c r="K159" s="5"/>
      <c r="L159" s="5"/>
      <c r="M159" s="5"/>
      <c r="N159" s="5"/>
      <c r="O159" s="5"/>
      <c r="P159" s="5"/>
      <c r="Q159" s="5"/>
      <c r="R159" s="5"/>
    </row>
    <row r="160" spans="1:18" s="174" customFormat="1">
      <c r="A160" s="4"/>
      <c r="B160" s="5"/>
      <c r="C160" s="4"/>
      <c r="D160" s="5"/>
      <c r="E160" s="5"/>
      <c r="F160" s="5"/>
      <c r="G160" s="136"/>
      <c r="H160" s="5"/>
      <c r="I160" s="5"/>
      <c r="J160" s="5"/>
      <c r="K160" s="5"/>
      <c r="L160" s="5"/>
      <c r="M160" s="5"/>
      <c r="N160" s="5"/>
      <c r="O160" s="5"/>
      <c r="P160" s="5"/>
      <c r="Q160" s="5"/>
      <c r="R160" s="5"/>
    </row>
    <row r="161" spans="1:18" s="174" customFormat="1">
      <c r="A161" s="4"/>
      <c r="B161" s="5"/>
      <c r="C161" s="4"/>
      <c r="D161" s="5"/>
      <c r="E161" s="5"/>
      <c r="F161" s="5"/>
      <c r="G161" s="136"/>
      <c r="H161" s="5"/>
      <c r="I161" s="5"/>
      <c r="J161" s="5"/>
      <c r="K161" s="5"/>
      <c r="L161" s="5"/>
      <c r="M161" s="5"/>
      <c r="N161" s="5"/>
      <c r="O161" s="5"/>
      <c r="P161" s="5"/>
      <c r="Q161" s="5"/>
      <c r="R161" s="5"/>
    </row>
    <row r="162" spans="1:18" s="174" customFormat="1">
      <c r="A162" s="4"/>
      <c r="B162" s="5"/>
      <c r="C162" s="4"/>
      <c r="D162" s="5"/>
      <c r="E162" s="5"/>
      <c r="F162" s="5"/>
      <c r="G162" s="136"/>
      <c r="H162" s="5"/>
      <c r="I162" s="5"/>
      <c r="J162" s="5"/>
      <c r="K162" s="5"/>
      <c r="L162" s="5"/>
      <c r="M162" s="5"/>
      <c r="N162" s="5"/>
      <c r="O162" s="5"/>
      <c r="P162" s="5"/>
      <c r="Q162" s="5"/>
      <c r="R162" s="5"/>
    </row>
    <row r="163" spans="1:18" s="174" customFormat="1">
      <c r="A163" s="4"/>
      <c r="B163" s="5"/>
      <c r="C163" s="4"/>
      <c r="D163" s="5"/>
      <c r="E163" s="5"/>
      <c r="F163" s="5"/>
      <c r="G163" s="136"/>
      <c r="H163" s="5"/>
      <c r="I163" s="5"/>
      <c r="J163" s="5"/>
      <c r="K163" s="5"/>
      <c r="L163" s="5"/>
      <c r="M163" s="5"/>
      <c r="N163" s="5"/>
      <c r="O163" s="5"/>
      <c r="P163" s="5"/>
      <c r="Q163" s="5"/>
      <c r="R163" s="5"/>
    </row>
    <row r="164" spans="1:18" s="174" customFormat="1">
      <c r="A164" s="4"/>
      <c r="B164" s="5"/>
      <c r="C164" s="4"/>
      <c r="D164" s="5"/>
      <c r="E164" s="5"/>
      <c r="F164" s="5"/>
      <c r="G164" s="136"/>
      <c r="H164" s="5"/>
      <c r="I164" s="5"/>
      <c r="J164" s="5"/>
      <c r="K164" s="5"/>
      <c r="L164" s="5"/>
      <c r="M164" s="5"/>
      <c r="N164" s="5"/>
      <c r="O164" s="5"/>
      <c r="P164" s="5"/>
      <c r="Q164" s="5"/>
      <c r="R164" s="5"/>
    </row>
    <row r="165" spans="1:18" s="174" customFormat="1">
      <c r="A165" s="4"/>
      <c r="B165" s="5"/>
      <c r="C165" s="4"/>
      <c r="D165" s="5"/>
      <c r="E165" s="5"/>
      <c r="F165" s="5"/>
      <c r="G165" s="136"/>
      <c r="H165" s="5"/>
      <c r="I165" s="5"/>
      <c r="J165" s="5"/>
      <c r="K165" s="5"/>
      <c r="L165" s="5"/>
      <c r="M165" s="5"/>
      <c r="N165" s="5"/>
      <c r="O165" s="5"/>
      <c r="P165" s="5"/>
      <c r="Q165" s="5"/>
      <c r="R165" s="5"/>
    </row>
    <row r="166" spans="1:18" s="174" customFormat="1">
      <c r="A166" s="4"/>
      <c r="B166" s="5"/>
      <c r="C166" s="4"/>
      <c r="D166" s="5"/>
      <c r="E166" s="5"/>
      <c r="F166" s="5"/>
      <c r="G166" s="136"/>
      <c r="H166" s="5"/>
      <c r="I166" s="5"/>
      <c r="J166" s="5"/>
      <c r="K166" s="5"/>
      <c r="L166" s="5"/>
      <c r="M166" s="5"/>
      <c r="N166" s="5"/>
      <c r="O166" s="5"/>
      <c r="P166" s="5"/>
      <c r="Q166" s="5"/>
      <c r="R166" s="5"/>
    </row>
    <row r="167" spans="1:18" s="174" customFormat="1">
      <c r="A167" s="4"/>
      <c r="B167" s="5"/>
      <c r="C167" s="4"/>
      <c r="D167" s="5"/>
      <c r="E167" s="5"/>
      <c r="F167" s="5"/>
      <c r="G167" s="136"/>
      <c r="H167" s="5"/>
      <c r="I167" s="5"/>
      <c r="J167" s="5"/>
      <c r="K167" s="5"/>
      <c r="L167" s="5"/>
      <c r="M167" s="5"/>
      <c r="N167" s="5"/>
      <c r="O167" s="5"/>
      <c r="P167" s="5"/>
      <c r="Q167" s="5"/>
      <c r="R167" s="5"/>
    </row>
    <row r="168" spans="1:18" s="174" customFormat="1">
      <c r="A168" s="4"/>
      <c r="B168" s="5"/>
      <c r="C168" s="4"/>
      <c r="D168" s="5"/>
      <c r="E168" s="5"/>
      <c r="F168" s="5"/>
      <c r="G168" s="136"/>
      <c r="H168" s="5"/>
      <c r="I168" s="5"/>
      <c r="J168" s="5"/>
      <c r="K168" s="5"/>
      <c r="L168" s="5"/>
      <c r="M168" s="5"/>
      <c r="N168" s="5"/>
      <c r="O168" s="5"/>
      <c r="P168" s="5"/>
      <c r="Q168" s="5"/>
      <c r="R168" s="5"/>
    </row>
    <row r="169" spans="1:18" s="174" customFormat="1">
      <c r="A169" s="4"/>
      <c r="B169" s="5"/>
      <c r="C169" s="4"/>
      <c r="D169" s="5"/>
      <c r="E169" s="5"/>
      <c r="F169" s="5"/>
      <c r="G169" s="136"/>
      <c r="H169" s="5"/>
      <c r="I169" s="5"/>
      <c r="J169" s="5"/>
      <c r="K169" s="5"/>
      <c r="L169" s="5"/>
      <c r="M169" s="5"/>
      <c r="N169" s="5"/>
      <c r="O169" s="5"/>
      <c r="P169" s="5"/>
      <c r="Q169" s="5"/>
      <c r="R169" s="5"/>
    </row>
    <row r="170" spans="1:18" s="174" customFormat="1">
      <c r="A170" s="4"/>
      <c r="B170" s="5"/>
      <c r="C170" s="4"/>
      <c r="D170" s="5"/>
      <c r="E170" s="5"/>
      <c r="F170" s="5"/>
      <c r="G170" s="5"/>
      <c r="H170" s="5"/>
      <c r="I170" s="5"/>
      <c r="J170" s="5"/>
      <c r="K170" s="5"/>
      <c r="L170" s="5"/>
      <c r="M170" s="5"/>
      <c r="N170" s="5"/>
      <c r="O170" s="5"/>
      <c r="P170" s="5"/>
      <c r="Q170" s="5"/>
      <c r="R170" s="5"/>
    </row>
    <row r="171" spans="1:18" s="174" customFormat="1">
      <c r="A171" s="4"/>
      <c r="B171" s="5"/>
      <c r="C171" s="4"/>
      <c r="D171" s="5"/>
      <c r="E171" s="5"/>
      <c r="F171" s="5"/>
      <c r="G171" s="5"/>
      <c r="H171" s="5"/>
      <c r="I171" s="5"/>
      <c r="J171" s="5"/>
      <c r="K171" s="5"/>
      <c r="L171" s="5"/>
      <c r="M171" s="5"/>
      <c r="N171" s="5"/>
      <c r="O171" s="5"/>
      <c r="P171" s="5"/>
      <c r="Q171" s="5"/>
      <c r="R171" s="5"/>
    </row>
    <row r="172" spans="1:18" s="174" customFormat="1">
      <c r="A172" s="4"/>
      <c r="B172" s="5"/>
      <c r="C172" s="4"/>
      <c r="D172" s="5"/>
      <c r="E172" s="5"/>
      <c r="F172" s="5"/>
      <c r="G172" s="5"/>
      <c r="H172" s="5"/>
      <c r="I172" s="5"/>
      <c r="J172" s="5"/>
      <c r="K172" s="5"/>
      <c r="L172" s="5"/>
      <c r="M172" s="5"/>
      <c r="N172" s="5"/>
      <c r="O172" s="5"/>
      <c r="P172" s="5"/>
      <c r="Q172" s="5"/>
      <c r="R172" s="5"/>
    </row>
    <row r="173" spans="1:18" s="174" customFormat="1">
      <c r="A173" s="4"/>
      <c r="B173" s="5"/>
      <c r="C173" s="4"/>
      <c r="D173" s="5"/>
      <c r="E173" s="5"/>
      <c r="F173" s="5"/>
      <c r="G173" s="5"/>
      <c r="H173" s="5"/>
      <c r="I173" s="5"/>
      <c r="J173" s="5"/>
      <c r="K173" s="5"/>
      <c r="L173" s="5"/>
      <c r="M173" s="5"/>
      <c r="N173" s="5"/>
      <c r="O173" s="5"/>
      <c r="P173" s="5"/>
      <c r="Q173" s="5"/>
      <c r="R173" s="5"/>
    </row>
    <row r="174" spans="1:18" s="174" customFormat="1">
      <c r="A174" s="4"/>
      <c r="B174" s="5"/>
      <c r="C174" s="4"/>
      <c r="D174" s="5"/>
      <c r="E174" s="5"/>
      <c r="F174" s="5"/>
      <c r="G174" s="5"/>
      <c r="H174" s="5"/>
      <c r="I174" s="5"/>
      <c r="J174" s="5"/>
      <c r="K174" s="5"/>
      <c r="L174" s="5"/>
      <c r="M174" s="5"/>
      <c r="N174" s="5"/>
      <c r="O174" s="5"/>
      <c r="P174" s="5"/>
      <c r="Q174" s="5"/>
      <c r="R174" s="5"/>
    </row>
    <row r="175" spans="1:18" s="174" customFormat="1">
      <c r="A175" s="4"/>
      <c r="B175" s="5"/>
      <c r="C175" s="4"/>
      <c r="D175" s="5"/>
      <c r="E175" s="5"/>
      <c r="F175" s="5"/>
      <c r="G175" s="5"/>
      <c r="H175" s="5"/>
      <c r="I175" s="5"/>
      <c r="J175" s="5"/>
      <c r="K175" s="5"/>
      <c r="L175" s="5"/>
      <c r="M175" s="5"/>
      <c r="N175" s="5"/>
      <c r="O175" s="5"/>
      <c r="P175" s="5"/>
      <c r="Q175" s="5"/>
      <c r="R175" s="5"/>
    </row>
    <row r="176" spans="1:18" s="174" customFormat="1">
      <c r="A176" s="4"/>
      <c r="B176" s="5"/>
      <c r="C176" s="4"/>
      <c r="D176" s="5"/>
      <c r="E176" s="5"/>
      <c r="F176" s="5"/>
      <c r="G176"/>
      <c r="H176" s="5"/>
      <c r="I176" s="5"/>
      <c r="J176" s="5"/>
      <c r="K176" s="5"/>
      <c r="L176" s="5"/>
      <c r="M176" s="5"/>
      <c r="N176" s="5"/>
      <c r="O176" s="5"/>
      <c r="P176" s="5"/>
      <c r="Q176" s="5"/>
      <c r="R176" s="5"/>
    </row>
    <row r="177" spans="1:18" s="174" customFormat="1">
      <c r="A177" s="4"/>
      <c r="B177" s="5"/>
      <c r="C177" s="4"/>
      <c r="D177" s="5"/>
      <c r="E177" s="5"/>
      <c r="F177" s="5"/>
      <c r="G177" s="136"/>
      <c r="H177" s="5"/>
      <c r="I177" s="5"/>
      <c r="J177" s="5"/>
      <c r="K177" s="5"/>
      <c r="L177" s="5"/>
      <c r="M177" s="5"/>
      <c r="N177" s="5"/>
      <c r="O177" s="5"/>
      <c r="P177" s="5"/>
      <c r="Q177" s="5"/>
      <c r="R177" s="5"/>
    </row>
    <row r="178" spans="1:18" s="174" customFormat="1">
      <c r="A178" s="4"/>
      <c r="B178" s="5"/>
      <c r="C178" s="4"/>
      <c r="D178" s="5"/>
      <c r="E178" s="5"/>
      <c r="F178" s="5"/>
      <c r="G178" s="136"/>
      <c r="H178" s="5"/>
      <c r="I178" s="5"/>
      <c r="J178" s="5"/>
      <c r="K178" s="5"/>
      <c r="L178" s="5"/>
      <c r="M178" s="5"/>
      <c r="N178" s="5"/>
      <c r="O178" s="5"/>
      <c r="P178" s="5"/>
      <c r="Q178" s="5"/>
      <c r="R178" s="5"/>
    </row>
    <row r="179" spans="1:18" s="174" customFormat="1">
      <c r="A179" s="4"/>
      <c r="B179" s="5"/>
      <c r="C179" s="4"/>
      <c r="D179" s="5"/>
      <c r="E179" s="5"/>
      <c r="F179" s="5"/>
      <c r="G179" s="136"/>
      <c r="H179" s="5"/>
      <c r="I179" s="5"/>
      <c r="J179" s="5"/>
      <c r="K179" s="5"/>
      <c r="L179" s="5"/>
      <c r="M179" s="5"/>
      <c r="N179" s="5"/>
      <c r="O179" s="5"/>
      <c r="P179" s="5"/>
      <c r="Q179" s="5"/>
      <c r="R179" s="5"/>
    </row>
    <row r="180" spans="1:18" s="174" customFormat="1">
      <c r="A180" s="4"/>
      <c r="B180" s="5"/>
      <c r="C180" s="4"/>
      <c r="D180" s="5"/>
      <c r="E180" s="5"/>
      <c r="F180" s="5"/>
      <c r="G180"/>
      <c r="H180" s="5"/>
      <c r="I180" s="5"/>
      <c r="J180" s="5"/>
      <c r="K180" s="5"/>
      <c r="L180" s="5"/>
      <c r="M180" s="5"/>
      <c r="N180" s="5"/>
      <c r="O180" s="5"/>
      <c r="P180" s="5"/>
      <c r="Q180" s="5"/>
      <c r="R180" s="5"/>
    </row>
    <row r="181" spans="1:18" s="174" customFormat="1">
      <c r="A181" s="4"/>
      <c r="B181" s="5"/>
      <c r="C181" s="4"/>
      <c r="D181" s="5"/>
      <c r="E181" s="5"/>
      <c r="F181" s="5"/>
      <c r="G181"/>
      <c r="H181" s="5"/>
      <c r="I181" s="5"/>
      <c r="J181" s="5"/>
      <c r="K181" s="5"/>
      <c r="L181" s="5"/>
      <c r="M181" s="5"/>
      <c r="N181" s="5"/>
      <c r="O181" s="5"/>
      <c r="P181" s="5"/>
      <c r="Q181" s="5"/>
      <c r="R181" s="5"/>
    </row>
    <row r="182" spans="1:18" s="174" customFormat="1">
      <c r="A182" s="4"/>
      <c r="B182" s="5"/>
      <c r="C182" s="4"/>
      <c r="D182" s="5"/>
      <c r="E182" s="5"/>
      <c r="F182" s="5"/>
      <c r="G182"/>
      <c r="H182" s="5"/>
      <c r="I182" s="5"/>
      <c r="J182" s="5"/>
      <c r="K182" s="5"/>
      <c r="L182" s="5"/>
      <c r="M182" s="5"/>
      <c r="N182" s="5"/>
      <c r="O182" s="5"/>
      <c r="P182" s="5"/>
      <c r="Q182" s="5"/>
      <c r="R182" s="5"/>
    </row>
    <row r="183" spans="1:18" s="174" customFormat="1">
      <c r="A183" s="4"/>
      <c r="B183" s="5"/>
      <c r="C183" s="4"/>
      <c r="D183" s="5"/>
      <c r="E183" s="5"/>
      <c r="F183" s="5"/>
      <c r="G183"/>
      <c r="H183" s="5"/>
      <c r="I183" s="5"/>
      <c r="J183" s="5"/>
      <c r="K183" s="5"/>
      <c r="L183" s="5"/>
      <c r="M183" s="5"/>
      <c r="N183" s="5"/>
      <c r="O183" s="5"/>
      <c r="P183" s="5"/>
      <c r="Q183" s="5"/>
      <c r="R183" s="5"/>
    </row>
    <row r="184" spans="1:18" s="174" customFormat="1">
      <c r="A184" s="4"/>
      <c r="B184" s="5"/>
      <c r="C184" s="4"/>
      <c r="D184" s="5"/>
      <c r="E184" s="5"/>
      <c r="F184" s="5"/>
      <c r="G184"/>
      <c r="H184" s="5"/>
      <c r="I184" s="5"/>
      <c r="J184" s="5"/>
      <c r="K184" s="5"/>
      <c r="L184" s="5"/>
      <c r="M184" s="5"/>
      <c r="N184" s="5"/>
      <c r="O184" s="5"/>
      <c r="P184" s="5"/>
      <c r="Q184" s="5"/>
      <c r="R184" s="5"/>
    </row>
    <row r="185" spans="1:18" s="174" customFormat="1">
      <c r="A185" s="4"/>
      <c r="B185" s="5"/>
      <c r="C185" s="4"/>
      <c r="D185" s="5"/>
      <c r="E185" s="5"/>
      <c r="F185" s="5"/>
      <c r="G185"/>
      <c r="H185" s="5"/>
      <c r="I185" s="5"/>
      <c r="J185" s="5"/>
      <c r="K185" s="5"/>
      <c r="L185" s="5"/>
      <c r="M185" s="5"/>
      <c r="N185" s="5"/>
      <c r="O185" s="5"/>
      <c r="P185" s="5"/>
      <c r="Q185" s="5"/>
      <c r="R185" s="5"/>
    </row>
    <row r="186" spans="1:18" s="174" customFormat="1">
      <c r="A186" s="4"/>
      <c r="B186" s="5"/>
      <c r="C186" s="4"/>
      <c r="D186" s="5"/>
      <c r="E186" s="5"/>
      <c r="F186" s="5"/>
      <c r="G186"/>
      <c r="H186" s="5"/>
      <c r="I186" s="5"/>
      <c r="J186" s="5"/>
      <c r="K186" s="5"/>
      <c r="L186" s="5"/>
      <c r="M186" s="5"/>
      <c r="N186" s="5"/>
      <c r="O186" s="5"/>
      <c r="P186" s="5"/>
      <c r="Q186" s="5"/>
      <c r="R186" s="5"/>
    </row>
    <row r="187" spans="1:18" s="174" customFormat="1">
      <c r="A187" s="4"/>
      <c r="B187" s="5"/>
      <c r="C187" s="4"/>
      <c r="D187" s="5"/>
      <c r="E187" s="5"/>
      <c r="F187" s="5"/>
      <c r="G187"/>
      <c r="H187" s="5"/>
      <c r="I187" s="5"/>
      <c r="J187" s="5"/>
      <c r="K187" s="5"/>
      <c r="L187" s="5"/>
      <c r="M187" s="5"/>
      <c r="N187" s="5"/>
      <c r="O187" s="5"/>
      <c r="P187" s="5"/>
      <c r="Q187" s="5"/>
      <c r="R187" s="5"/>
    </row>
    <row r="188" spans="1:18" s="174" customFormat="1">
      <c r="A188" s="4"/>
      <c r="B188" s="5"/>
      <c r="C188" s="4"/>
      <c r="D188" s="5"/>
      <c r="E188" s="5"/>
      <c r="F188" s="5"/>
      <c r="G188"/>
      <c r="H188" s="5"/>
      <c r="I188" s="5"/>
      <c r="J188" s="5"/>
      <c r="K188" s="5"/>
      <c r="L188" s="5"/>
      <c r="M188" s="5"/>
      <c r="N188" s="5"/>
      <c r="O188" s="5"/>
      <c r="P188" s="5"/>
      <c r="Q188" s="5"/>
      <c r="R188" s="5"/>
    </row>
    <row r="189" spans="1:18" s="174" customFormat="1">
      <c r="A189" s="4"/>
      <c r="B189" s="5"/>
      <c r="C189" s="4"/>
      <c r="D189" s="5"/>
      <c r="E189" s="5"/>
      <c r="F189" s="5"/>
      <c r="G189"/>
      <c r="H189" s="5"/>
      <c r="I189" s="5"/>
      <c r="J189" s="5"/>
      <c r="K189" s="5"/>
      <c r="L189" s="5"/>
      <c r="M189" s="5"/>
      <c r="N189" s="5"/>
      <c r="O189" s="5"/>
      <c r="P189" s="5"/>
      <c r="Q189" s="5"/>
      <c r="R189" s="5"/>
    </row>
    <row r="190" spans="1:18" s="174" customFormat="1">
      <c r="A190" s="4"/>
      <c r="B190" s="5"/>
      <c r="C190" s="4"/>
      <c r="D190" s="5"/>
      <c r="E190" s="5"/>
      <c r="F190" s="5"/>
      <c r="G190"/>
      <c r="H190" s="5"/>
      <c r="I190" s="5"/>
      <c r="J190" s="5"/>
      <c r="K190" s="5"/>
      <c r="L190" s="5"/>
      <c r="M190" s="5"/>
      <c r="N190" s="5"/>
      <c r="O190" s="5"/>
      <c r="P190" s="5"/>
      <c r="Q190" s="5"/>
      <c r="R190" s="5"/>
    </row>
    <row r="191" spans="1:18" s="174" customFormat="1">
      <c r="A191" s="4"/>
      <c r="B191" s="5"/>
      <c r="C191" s="4"/>
      <c r="D191" s="5"/>
      <c r="E191" s="5"/>
      <c r="F191" s="5"/>
      <c r="G191"/>
      <c r="H191" s="5"/>
      <c r="I191" s="5"/>
      <c r="J191" s="5"/>
      <c r="K191" s="5"/>
      <c r="L191" s="5"/>
      <c r="M191" s="5"/>
      <c r="N191" s="5"/>
      <c r="O191" s="5"/>
      <c r="P191" s="5"/>
      <c r="Q191" s="5"/>
      <c r="R191" s="5"/>
    </row>
    <row r="192" spans="1:18" s="174" customFormat="1">
      <c r="A192" s="4"/>
      <c r="B192" s="5"/>
      <c r="C192" s="4"/>
      <c r="D192" s="5"/>
      <c r="E192" s="5"/>
      <c r="F192" s="5"/>
      <c r="G192"/>
      <c r="H192" s="5"/>
      <c r="I192" s="5"/>
      <c r="J192" s="5"/>
      <c r="K192" s="5"/>
      <c r="L192" s="5"/>
      <c r="M192" s="5"/>
      <c r="N192" s="5"/>
      <c r="O192" s="5"/>
      <c r="P192" s="5"/>
      <c r="Q192" s="5"/>
      <c r="R192" s="5"/>
    </row>
    <row r="193" spans="1:18" s="174" customFormat="1">
      <c r="A193" s="4"/>
      <c r="B193" s="5"/>
      <c r="C193" s="4"/>
      <c r="D193" s="5"/>
      <c r="E193" s="5"/>
      <c r="F193" s="5"/>
      <c r="G193"/>
      <c r="H193" s="5"/>
      <c r="I193" s="5"/>
      <c r="J193" s="5"/>
      <c r="K193" s="5"/>
      <c r="L193" s="5"/>
      <c r="M193" s="5"/>
      <c r="N193" s="5"/>
      <c r="O193" s="5"/>
      <c r="P193" s="5"/>
      <c r="Q193" s="5"/>
      <c r="R193" s="5"/>
    </row>
    <row r="194" spans="1:18" s="174" customFormat="1">
      <c r="A194" s="4"/>
      <c r="B194" s="5"/>
      <c r="C194" s="4"/>
      <c r="D194" s="5"/>
      <c r="E194" s="5"/>
      <c r="F194" s="5"/>
      <c r="G194"/>
      <c r="H194" s="5"/>
      <c r="I194" s="5"/>
      <c r="J194" s="5"/>
      <c r="K194" s="5"/>
      <c r="L194" s="5"/>
      <c r="M194" s="5"/>
      <c r="N194" s="5"/>
      <c r="O194" s="5"/>
      <c r="P194" s="5"/>
      <c r="Q194" s="5"/>
      <c r="R194" s="5"/>
    </row>
    <row r="195" spans="1:18" s="174" customFormat="1">
      <c r="A195" s="4"/>
      <c r="B195" s="5"/>
      <c r="C195" s="4"/>
      <c r="D195" s="5"/>
      <c r="E195" s="5"/>
      <c r="F195" s="5"/>
      <c r="G195"/>
      <c r="H195" s="5"/>
      <c r="I195" s="5"/>
      <c r="J195" s="5"/>
      <c r="K195" s="5"/>
      <c r="L195" s="5"/>
      <c r="M195" s="5"/>
      <c r="N195" s="5"/>
      <c r="O195" s="5"/>
      <c r="P195" s="5"/>
      <c r="Q195" s="5"/>
      <c r="R195" s="5"/>
    </row>
    <row r="196" spans="1:18" s="174" customFormat="1">
      <c r="A196" s="4"/>
      <c r="B196" s="5"/>
      <c r="C196" s="4"/>
      <c r="D196" s="5"/>
      <c r="E196" s="5"/>
      <c r="F196" s="5"/>
      <c r="G196"/>
      <c r="H196" s="5"/>
      <c r="I196" s="5"/>
      <c r="J196" s="5"/>
      <c r="K196" s="5"/>
      <c r="L196" s="5"/>
      <c r="M196" s="5"/>
      <c r="N196" s="5"/>
      <c r="O196" s="5"/>
      <c r="P196" s="5"/>
      <c r="Q196" s="5"/>
      <c r="R196" s="5"/>
    </row>
    <row r="197" spans="1:18" s="174" customFormat="1">
      <c r="A197" s="4"/>
      <c r="B197" s="5"/>
      <c r="C197" s="4"/>
      <c r="D197" s="5"/>
      <c r="E197" s="5"/>
      <c r="F197" s="5"/>
      <c r="G197"/>
      <c r="H197" s="5"/>
      <c r="I197" s="5"/>
      <c r="J197" s="5"/>
      <c r="K197" s="5"/>
      <c r="L197" s="5"/>
      <c r="M197" s="5"/>
      <c r="N197" s="5"/>
      <c r="O197" s="5"/>
      <c r="P197" s="5"/>
      <c r="Q197" s="5"/>
      <c r="R197" s="5"/>
    </row>
    <row r="198" spans="1:18" s="174" customFormat="1">
      <c r="A198" s="4"/>
      <c r="B198" s="5"/>
      <c r="C198" s="4"/>
      <c r="D198" s="171"/>
      <c r="E198"/>
      <c r="F198" s="5"/>
      <c r="G198"/>
      <c r="H198" s="5"/>
      <c r="I198" s="5"/>
      <c r="J198"/>
      <c r="K198" s="5"/>
      <c r="L198" s="5"/>
      <c r="M198" s="5"/>
      <c r="N198" s="5"/>
      <c r="O198" s="5"/>
      <c r="P198" s="5"/>
      <c r="Q198" s="5"/>
      <c r="R198" s="5"/>
    </row>
    <row r="199" spans="1:18" s="174" customFormat="1">
      <c r="A199" s="4"/>
      <c r="B199" s="5"/>
      <c r="C199" s="4"/>
      <c r="D199" s="171"/>
      <c r="E199"/>
      <c r="F199" s="5"/>
      <c r="G199"/>
      <c r="H199" s="5"/>
      <c r="I199" s="5"/>
      <c r="J199"/>
      <c r="K199" s="5"/>
      <c r="L199" s="5"/>
      <c r="M199" s="5"/>
      <c r="N199" s="5"/>
      <c r="O199" s="5"/>
      <c r="P199" s="5"/>
      <c r="Q199" s="5"/>
      <c r="R199" s="5"/>
    </row>
    <row r="200" spans="1:18" s="174" customFormat="1">
      <c r="A200" s="4"/>
      <c r="B200" s="5"/>
      <c r="C200" s="4"/>
      <c r="D200" s="171"/>
      <c r="E200"/>
      <c r="F200" s="5"/>
      <c r="G200"/>
      <c r="H200" s="5"/>
      <c r="I200" s="5"/>
      <c r="J200"/>
      <c r="K200" s="5"/>
      <c r="L200" s="5"/>
      <c r="M200" s="5"/>
      <c r="N200" s="5"/>
      <c r="O200" s="5"/>
      <c r="P200" s="5"/>
      <c r="Q200" s="5"/>
      <c r="R200" s="5"/>
    </row>
    <row r="201" spans="1:18" s="174" customFormat="1">
      <c r="A201" s="4"/>
      <c r="B201" s="5"/>
      <c r="C201" s="4"/>
      <c r="D201" s="5"/>
      <c r="E201" s="5"/>
      <c r="F201" s="5"/>
      <c r="G201"/>
      <c r="H201" s="5"/>
      <c r="I201" s="5"/>
      <c r="J201" s="5"/>
      <c r="K201" s="5"/>
      <c r="L201" s="5"/>
      <c r="M201" s="5"/>
      <c r="N201" s="5"/>
      <c r="O201" s="5"/>
      <c r="P201" s="5"/>
      <c r="Q201" s="5"/>
      <c r="R201" s="5"/>
    </row>
    <row r="202" spans="1:18" s="174" customFormat="1">
      <c r="A202" s="4"/>
      <c r="B202" s="5"/>
      <c r="C202" s="4"/>
      <c r="D202" s="5"/>
      <c r="E202" s="5"/>
      <c r="F202" s="5"/>
      <c r="G202"/>
      <c r="H202" s="5"/>
      <c r="I202" s="5"/>
      <c r="J202" s="5"/>
      <c r="K202" s="5"/>
      <c r="L202" s="5"/>
      <c r="M202" s="5"/>
      <c r="N202" s="5"/>
      <c r="O202" s="5"/>
      <c r="P202" s="5"/>
      <c r="Q202" s="5"/>
      <c r="R202" s="5"/>
    </row>
    <row r="203" spans="1:18" s="174" customFormat="1">
      <c r="A203" s="4"/>
      <c r="B203" s="5"/>
      <c r="C203" s="4"/>
      <c r="D203" s="5"/>
      <c r="E203" s="5"/>
      <c r="F203" s="5"/>
      <c r="G203" s="136"/>
      <c r="H203" s="5"/>
      <c r="I203" s="5"/>
      <c r="J203" s="5"/>
      <c r="K203" s="5"/>
      <c r="L203" s="5"/>
      <c r="M203" s="5"/>
      <c r="N203" s="5"/>
      <c r="O203" s="5"/>
      <c r="P203" s="5"/>
      <c r="Q203" s="5"/>
      <c r="R203" s="5"/>
    </row>
    <row r="204" spans="1:18" s="174" customFormat="1">
      <c r="A204" s="4"/>
      <c r="B204" s="5"/>
      <c r="C204" s="4"/>
      <c r="D204" s="5"/>
      <c r="E204" s="5"/>
      <c r="F204" s="5"/>
      <c r="G204" s="136"/>
      <c r="H204" s="5"/>
      <c r="I204" s="5"/>
      <c r="J204" s="5"/>
      <c r="K204" s="5"/>
      <c r="L204" s="5"/>
      <c r="M204" s="5"/>
      <c r="N204" s="5"/>
      <c r="O204" s="5"/>
      <c r="P204" s="5"/>
      <c r="Q204" s="5"/>
      <c r="R204" s="5"/>
    </row>
    <row r="205" spans="1:18" s="174" customFormat="1">
      <c r="A205" s="4"/>
      <c r="B205" s="5"/>
      <c r="C205" s="4"/>
      <c r="D205" s="5"/>
      <c r="E205" s="5"/>
      <c r="F205" s="5"/>
      <c r="G205" s="136"/>
      <c r="H205" s="5"/>
      <c r="I205" s="5"/>
      <c r="J205" s="5"/>
      <c r="K205" s="5"/>
      <c r="L205" s="5"/>
      <c r="M205" s="5"/>
      <c r="N205" s="5"/>
      <c r="O205" s="5"/>
      <c r="P205" s="5"/>
      <c r="Q205" s="5"/>
      <c r="R205" s="5"/>
    </row>
    <row r="206" spans="1:18" s="174" customFormat="1">
      <c r="A206" s="4"/>
      <c r="B206" s="5"/>
      <c r="C206" s="4"/>
      <c r="D206" s="5"/>
      <c r="E206" s="5"/>
      <c r="F206" s="5"/>
      <c r="G206"/>
      <c r="H206" s="5"/>
      <c r="I206" s="5"/>
      <c r="J206" s="5"/>
      <c r="K206" s="5"/>
      <c r="L206" s="5"/>
      <c r="M206" s="5"/>
      <c r="N206" s="5"/>
      <c r="O206" s="5"/>
      <c r="P206" s="5"/>
      <c r="Q206" s="5"/>
      <c r="R206" s="5"/>
    </row>
    <row r="207" spans="1:18" s="174" customFormat="1">
      <c r="A207" s="4"/>
      <c r="B207" s="5"/>
      <c r="C207" s="4"/>
      <c r="D207" s="5"/>
      <c r="E207" s="5"/>
      <c r="F207" s="5"/>
      <c r="G207"/>
      <c r="H207" s="5"/>
      <c r="I207" s="5"/>
      <c r="J207" s="5"/>
      <c r="K207" s="5"/>
      <c r="L207" s="5"/>
      <c r="M207" s="5"/>
      <c r="N207" s="5"/>
      <c r="O207" s="5"/>
      <c r="P207" s="5"/>
      <c r="Q207" s="5"/>
      <c r="R207" s="5"/>
    </row>
    <row r="208" spans="1:18" s="174" customFormat="1">
      <c r="A208" s="4"/>
      <c r="B208" s="5"/>
      <c r="C208" s="4"/>
      <c r="D208" s="5"/>
      <c r="E208" s="5"/>
      <c r="F208" s="5"/>
      <c r="G208" s="136"/>
      <c r="H208" s="5"/>
      <c r="I208" s="5"/>
      <c r="J208" s="5"/>
      <c r="K208" s="5"/>
      <c r="L208" s="5"/>
      <c r="M208" s="5"/>
      <c r="N208" s="5"/>
      <c r="O208" s="5"/>
      <c r="P208" s="5"/>
      <c r="Q208" s="5"/>
      <c r="R208" s="5"/>
    </row>
    <row r="209" spans="1:18" s="174" customFormat="1">
      <c r="A209" s="4"/>
      <c r="B209" s="5"/>
      <c r="C209" s="4"/>
      <c r="D209" s="5"/>
      <c r="E209" s="5"/>
      <c r="F209" s="5"/>
      <c r="G209" s="136"/>
      <c r="H209" s="5"/>
      <c r="I209" s="5"/>
      <c r="J209" s="5"/>
      <c r="K209" s="5"/>
      <c r="L209" s="5"/>
      <c r="M209" s="5"/>
      <c r="N209" s="5"/>
      <c r="O209" s="5"/>
      <c r="P209" s="5"/>
      <c r="Q209" s="5"/>
      <c r="R209" s="5"/>
    </row>
    <row r="210" spans="1:18" s="174" customFormat="1">
      <c r="A210" s="4"/>
      <c r="B210" s="5"/>
      <c r="C210" s="4"/>
      <c r="D210" s="5"/>
      <c r="E210" s="5"/>
      <c r="F210" s="5"/>
      <c r="G210" s="136"/>
      <c r="H210" s="5"/>
      <c r="I210" s="5"/>
      <c r="J210" s="5"/>
      <c r="K210" s="5"/>
      <c r="L210" s="5"/>
      <c r="M210" s="5"/>
      <c r="N210" s="5"/>
      <c r="O210" s="5"/>
      <c r="P210" s="5"/>
      <c r="Q210" s="5"/>
      <c r="R210" s="5"/>
    </row>
    <row r="211" spans="1:18" s="174" customFormat="1">
      <c r="A211" s="4"/>
      <c r="B211" s="5"/>
      <c r="C211" s="4"/>
      <c r="D211" s="5"/>
      <c r="E211" s="5"/>
      <c r="F211" s="5"/>
      <c r="G211" s="136"/>
      <c r="H211" s="5"/>
      <c r="I211" s="5"/>
      <c r="J211" s="5"/>
      <c r="K211" s="5"/>
      <c r="L211" s="5"/>
      <c r="M211" s="5"/>
      <c r="N211" s="5"/>
      <c r="O211" s="5"/>
      <c r="P211" s="5"/>
      <c r="Q211" s="5"/>
      <c r="R211" s="5"/>
    </row>
    <row r="212" spans="1:18" s="174" customFormat="1">
      <c r="A212" s="4"/>
      <c r="B212" s="5"/>
      <c r="C212" s="4"/>
      <c r="D212" s="5"/>
      <c r="E212" s="5"/>
      <c r="F212" s="5"/>
      <c r="G212" s="136"/>
      <c r="H212" s="5"/>
      <c r="I212" s="5"/>
      <c r="J212" s="5"/>
      <c r="K212" s="5"/>
      <c r="L212" s="5"/>
      <c r="M212" s="5"/>
      <c r="N212" s="5"/>
      <c r="O212" s="5"/>
      <c r="P212" s="5"/>
      <c r="Q212" s="5"/>
      <c r="R212" s="5"/>
    </row>
    <row r="213" spans="1:18" s="174" customFormat="1">
      <c r="A213" s="4"/>
      <c r="B213" s="5"/>
      <c r="C213" s="4"/>
      <c r="D213" s="5"/>
      <c r="E213" s="5"/>
      <c r="F213" s="5"/>
      <c r="G213" s="136"/>
      <c r="H213" s="5"/>
      <c r="I213" s="5"/>
      <c r="J213" s="5"/>
      <c r="K213" s="5"/>
      <c r="L213" s="5"/>
      <c r="M213" s="5"/>
      <c r="N213" s="5"/>
      <c r="O213" s="5"/>
      <c r="P213" s="5"/>
      <c r="Q213" s="5"/>
      <c r="R213" s="5"/>
    </row>
    <row r="214" spans="1:18" s="174" customFormat="1">
      <c r="A214" s="4"/>
      <c r="B214" s="5"/>
      <c r="C214" s="4"/>
      <c r="D214" s="5"/>
      <c r="E214" s="5"/>
      <c r="F214" s="5"/>
      <c r="G214" s="136"/>
      <c r="H214" s="5"/>
      <c r="I214" s="5"/>
      <c r="J214" s="5"/>
      <c r="K214" s="5"/>
      <c r="L214" s="5"/>
      <c r="M214" s="5"/>
      <c r="N214" s="5"/>
      <c r="O214" s="5"/>
      <c r="P214" s="5"/>
      <c r="Q214" s="5"/>
      <c r="R214" s="5"/>
    </row>
    <row r="215" spans="1:18" s="174" customFormat="1">
      <c r="A215" s="4"/>
      <c r="B215" s="5"/>
      <c r="C215" s="4"/>
      <c r="D215" s="5"/>
      <c r="E215" s="5"/>
      <c r="F215" s="5"/>
      <c r="G215" s="136"/>
      <c r="H215" s="5"/>
      <c r="I215" s="5"/>
      <c r="J215" s="5"/>
      <c r="K215" s="5"/>
      <c r="L215" s="5"/>
      <c r="M215" s="5"/>
      <c r="N215" s="5"/>
      <c r="O215" s="5"/>
      <c r="P215" s="5"/>
      <c r="Q215" s="5"/>
      <c r="R215" s="5"/>
    </row>
    <row r="216" spans="1:18" s="174" customFormat="1">
      <c r="A216" s="4"/>
      <c r="B216" s="5"/>
      <c r="C216" s="4"/>
      <c r="D216" s="5"/>
      <c r="E216" s="5"/>
      <c r="F216" s="5"/>
      <c r="G216"/>
      <c r="H216" s="5"/>
      <c r="I216" s="5"/>
      <c r="J216" s="5"/>
      <c r="K216" s="5"/>
      <c r="L216" s="5"/>
      <c r="M216" s="5"/>
      <c r="N216" s="5"/>
      <c r="O216" s="5"/>
      <c r="P216" s="5"/>
      <c r="Q216" s="5"/>
      <c r="R216" s="5"/>
    </row>
    <row r="217" spans="1:18" s="174" customFormat="1">
      <c r="A217" s="4"/>
      <c r="B217" s="5"/>
      <c r="C217" s="4"/>
      <c r="D217" s="5"/>
      <c r="E217" s="5"/>
      <c r="F217" s="5"/>
      <c r="G217"/>
      <c r="H217" s="5"/>
      <c r="I217" s="5"/>
      <c r="J217" s="5"/>
      <c r="K217" s="5"/>
      <c r="L217" s="5"/>
      <c r="M217" s="5"/>
      <c r="N217" s="5"/>
      <c r="O217" s="5"/>
      <c r="P217" s="5"/>
      <c r="Q217" s="5"/>
      <c r="R217" s="5"/>
    </row>
    <row r="218" spans="1:18" s="174" customFormat="1">
      <c r="A218" s="4"/>
      <c r="B218" s="5"/>
      <c r="C218" s="4"/>
      <c r="D218" s="5"/>
      <c r="E218" s="5"/>
      <c r="F218" s="5"/>
      <c r="G218" s="136"/>
      <c r="H218" s="5"/>
      <c r="I218" s="5"/>
      <c r="J218" s="5"/>
      <c r="K218" s="5"/>
      <c r="L218" s="5"/>
      <c r="M218" s="5"/>
      <c r="N218" s="5"/>
      <c r="O218" s="5"/>
      <c r="P218" s="5"/>
      <c r="Q218" s="5"/>
      <c r="R218" s="5"/>
    </row>
    <row r="219" spans="1:18" s="174" customFormat="1">
      <c r="A219" s="4"/>
      <c r="B219" s="5"/>
      <c r="C219" s="4"/>
      <c r="D219" s="5"/>
      <c r="E219" s="5"/>
      <c r="F219" s="5"/>
      <c r="G219" s="136"/>
      <c r="H219" s="5"/>
      <c r="I219" s="5"/>
      <c r="J219" s="5"/>
      <c r="K219" s="5"/>
      <c r="L219" s="5"/>
      <c r="M219" s="5"/>
      <c r="N219" s="5"/>
      <c r="O219" s="5"/>
      <c r="P219" s="5"/>
      <c r="Q219" s="5"/>
      <c r="R219" s="5"/>
    </row>
    <row r="220" spans="1:18" s="174" customFormat="1">
      <c r="A220" s="4"/>
      <c r="B220" s="5"/>
      <c r="C220" s="4"/>
      <c r="D220" s="5"/>
      <c r="E220" s="5"/>
      <c r="F220" s="5"/>
      <c r="G220" s="136"/>
      <c r="H220" s="5"/>
      <c r="I220" s="5"/>
      <c r="J220" s="5"/>
      <c r="K220" s="5"/>
      <c r="L220" s="5"/>
      <c r="M220" s="5"/>
      <c r="N220" s="5"/>
      <c r="O220" s="5"/>
      <c r="P220" s="5"/>
      <c r="Q220" s="5"/>
      <c r="R220" s="5"/>
    </row>
    <row r="221" spans="1:18" s="174" customFormat="1">
      <c r="A221" s="4"/>
      <c r="B221" s="5"/>
      <c r="C221" s="4"/>
      <c r="D221" s="5"/>
      <c r="E221" s="5"/>
      <c r="F221" s="5"/>
      <c r="G221" s="136"/>
      <c r="H221" s="5"/>
      <c r="I221" s="5"/>
      <c r="J221" s="5"/>
      <c r="K221" s="5"/>
      <c r="L221" s="5"/>
      <c r="M221" s="5"/>
      <c r="N221" s="5"/>
      <c r="O221" s="5"/>
      <c r="P221" s="5"/>
      <c r="Q221" s="5"/>
      <c r="R221" s="5"/>
    </row>
    <row r="222" spans="1:18" s="174" customFormat="1">
      <c r="A222" s="4"/>
      <c r="B222" s="5"/>
      <c r="C222" s="4"/>
      <c r="D222" s="5"/>
      <c r="E222" s="5"/>
      <c r="F222" s="5"/>
      <c r="G222"/>
      <c r="H222" s="5"/>
      <c r="I222" s="5"/>
      <c r="J222" s="5"/>
      <c r="K222" s="5"/>
      <c r="L222" s="5"/>
      <c r="M222" s="5"/>
      <c r="N222" s="5"/>
      <c r="O222" s="5"/>
      <c r="P222" s="5"/>
      <c r="Q222" s="5"/>
      <c r="R222" s="5"/>
    </row>
    <row r="223" spans="1:18" s="174" customFormat="1">
      <c r="A223" s="4"/>
      <c r="B223" s="5"/>
      <c r="C223" s="4"/>
      <c r="D223" s="5"/>
      <c r="E223" s="5"/>
      <c r="F223" s="5"/>
      <c r="G223"/>
      <c r="H223" s="5"/>
      <c r="I223" s="5"/>
      <c r="J223" s="5"/>
      <c r="K223" s="5"/>
      <c r="L223" s="5"/>
      <c r="M223" s="5"/>
      <c r="N223" s="5"/>
      <c r="O223" s="5"/>
      <c r="P223" s="5"/>
      <c r="Q223" s="5"/>
      <c r="R223" s="5"/>
    </row>
    <row r="224" spans="1:18" s="174" customFormat="1">
      <c r="A224" s="4"/>
      <c r="B224" s="5"/>
      <c r="C224" s="4"/>
      <c r="D224" s="5"/>
      <c r="E224" s="5"/>
      <c r="F224" s="5"/>
      <c r="G224"/>
      <c r="H224" s="5"/>
      <c r="I224" s="5"/>
      <c r="J224" s="5"/>
      <c r="K224" s="5"/>
      <c r="L224" s="5"/>
      <c r="M224" s="5"/>
      <c r="N224" s="5"/>
      <c r="O224" s="5"/>
      <c r="P224" s="5"/>
      <c r="Q224" s="5"/>
      <c r="R224" s="5"/>
    </row>
    <row r="225" spans="1:18" s="174" customFormat="1">
      <c r="A225" s="4"/>
      <c r="B225" s="5"/>
      <c r="C225" s="4"/>
      <c r="D225" s="5"/>
      <c r="E225" s="5"/>
      <c r="F225" s="5"/>
      <c r="G225"/>
      <c r="H225" s="5"/>
      <c r="I225" s="5"/>
      <c r="J225" s="5"/>
      <c r="K225" s="5"/>
      <c r="L225" s="5"/>
      <c r="M225" s="5"/>
      <c r="N225" s="5"/>
      <c r="O225" s="5"/>
      <c r="P225" s="5"/>
      <c r="Q225" s="5"/>
      <c r="R225" s="5"/>
    </row>
    <row r="226" spans="1:18" s="174" customFormat="1">
      <c r="A226" s="4"/>
      <c r="B226" s="5"/>
      <c r="C226" s="4"/>
      <c r="D226" s="5"/>
      <c r="E226" s="5"/>
      <c r="F226" s="5"/>
      <c r="G226"/>
      <c r="H226" s="5"/>
      <c r="I226" s="5"/>
      <c r="J226" s="5"/>
      <c r="K226" s="5"/>
      <c r="L226" s="5"/>
      <c r="M226" s="5"/>
      <c r="N226" s="5"/>
      <c r="O226" s="5"/>
      <c r="P226" s="5"/>
      <c r="Q226" s="5"/>
      <c r="R226" s="5"/>
    </row>
    <row r="227" spans="1:18" s="174" customFormat="1">
      <c r="A227" s="4"/>
      <c r="B227" s="5"/>
      <c r="C227" s="4"/>
      <c r="D227" s="5"/>
      <c r="E227" s="5"/>
      <c r="F227" s="5"/>
      <c r="G227"/>
      <c r="H227" s="5"/>
      <c r="I227" s="5"/>
      <c r="J227" s="5"/>
      <c r="K227" s="5"/>
      <c r="L227" s="5"/>
      <c r="M227" s="5"/>
      <c r="N227" s="5"/>
      <c r="O227" s="5"/>
      <c r="P227" s="5"/>
      <c r="Q227" s="5"/>
      <c r="R227" s="5"/>
    </row>
    <row r="228" spans="1:18" s="174" customFormat="1">
      <c r="A228" s="4"/>
      <c r="B228" s="5"/>
      <c r="C228" s="4"/>
      <c r="D228" s="5"/>
      <c r="E228" s="5"/>
      <c r="F228" s="5"/>
      <c r="G228" s="136"/>
      <c r="H228" s="5"/>
      <c r="I228" s="5"/>
      <c r="J228" s="5"/>
      <c r="K228" s="5"/>
      <c r="L228" s="5"/>
      <c r="M228" s="5"/>
      <c r="N228" s="5"/>
      <c r="O228" s="5"/>
      <c r="P228" s="5"/>
      <c r="Q228" s="5"/>
      <c r="R228" s="5"/>
    </row>
    <row r="229" spans="1:18" s="174" customFormat="1">
      <c r="A229" s="4"/>
      <c r="B229" s="5"/>
      <c r="C229" s="4"/>
      <c r="D229" s="5"/>
      <c r="E229" s="5"/>
      <c r="F229" s="5"/>
      <c r="G229" s="136"/>
      <c r="H229" s="5"/>
      <c r="I229" s="5"/>
      <c r="J229" s="5"/>
      <c r="K229" s="5"/>
      <c r="L229" s="5"/>
      <c r="M229" s="5"/>
      <c r="N229" s="5"/>
      <c r="O229" s="5"/>
      <c r="P229" s="5"/>
      <c r="Q229" s="5"/>
      <c r="R229" s="5"/>
    </row>
    <row r="230" spans="1:18" s="174" customFormat="1">
      <c r="A230" s="4"/>
      <c r="B230" s="5"/>
      <c r="C230" s="4"/>
      <c r="D230" s="5"/>
      <c r="E230" s="5"/>
      <c r="F230" s="5"/>
      <c r="G230" s="136"/>
      <c r="H230" s="5"/>
      <c r="I230" s="5"/>
      <c r="J230" s="5"/>
      <c r="K230" s="5"/>
      <c r="L230" s="5"/>
      <c r="M230" s="5"/>
      <c r="N230" s="5"/>
      <c r="O230" s="5"/>
      <c r="P230" s="5"/>
      <c r="Q230" s="5"/>
      <c r="R230" s="5"/>
    </row>
    <row r="231" spans="1:18" s="174" customFormat="1">
      <c r="A231" s="4"/>
      <c r="B231" s="5"/>
      <c r="C231" s="4"/>
      <c r="D231" s="5"/>
      <c r="E231" s="5"/>
      <c r="F231" s="5"/>
      <c r="G231" s="136"/>
      <c r="H231" s="5"/>
      <c r="I231" s="5"/>
      <c r="J231" s="5"/>
      <c r="K231" s="5"/>
      <c r="L231" s="5"/>
      <c r="M231" s="5"/>
      <c r="N231" s="5"/>
      <c r="O231" s="5"/>
      <c r="P231" s="5"/>
      <c r="Q231" s="5"/>
      <c r="R231" s="5"/>
    </row>
    <row r="232" spans="1:18" s="174" customFormat="1">
      <c r="A232" s="4"/>
      <c r="B232" s="5"/>
      <c r="C232" s="4"/>
      <c r="D232" s="5"/>
      <c r="E232" s="5"/>
      <c r="F232" s="5"/>
      <c r="G232" s="136"/>
      <c r="H232" s="5"/>
      <c r="I232" s="5"/>
      <c r="J232" s="5"/>
      <c r="K232" s="5"/>
      <c r="L232" s="5"/>
      <c r="M232" s="5"/>
      <c r="N232" s="5"/>
      <c r="O232" s="5"/>
      <c r="P232" s="5"/>
      <c r="Q232" s="5"/>
      <c r="R232" s="5"/>
    </row>
    <row r="233" spans="1:18" s="174" customFormat="1">
      <c r="A233" s="4"/>
      <c r="B233" s="5"/>
      <c r="C233" s="4"/>
      <c r="D233" s="5"/>
      <c r="E233" s="5"/>
      <c r="F233" s="5"/>
      <c r="G233" s="136"/>
      <c r="H233" s="5"/>
      <c r="I233" s="5"/>
      <c r="J233" s="5"/>
      <c r="K233" s="5"/>
      <c r="L233" s="5"/>
      <c r="M233" s="5"/>
      <c r="N233" s="5"/>
      <c r="O233" s="5"/>
      <c r="P233" s="5"/>
      <c r="Q233" s="5"/>
      <c r="R233" s="5"/>
    </row>
    <row r="234" spans="1:18" s="174" customFormat="1">
      <c r="A234" s="4"/>
      <c r="B234" s="5"/>
      <c r="C234" s="4"/>
      <c r="D234" s="5"/>
      <c r="E234" s="5"/>
      <c r="F234" s="5"/>
      <c r="G234" s="136"/>
      <c r="H234" s="5"/>
      <c r="I234" s="5"/>
      <c r="J234" s="5"/>
      <c r="K234" s="5"/>
      <c r="L234" s="5"/>
      <c r="M234" s="5"/>
      <c r="N234" s="5"/>
      <c r="O234" s="5"/>
      <c r="P234" s="5"/>
      <c r="Q234" s="5"/>
      <c r="R234" s="5"/>
    </row>
    <row r="235" spans="1:18" s="174" customFormat="1">
      <c r="A235" s="4"/>
      <c r="B235" s="4"/>
      <c r="C235" s="4"/>
      <c r="D235" s="5"/>
      <c r="E235" s="5"/>
      <c r="F235" s="5"/>
      <c r="G235" s="136"/>
      <c r="H235" s="5"/>
      <c r="I235" s="5"/>
      <c r="J235" s="5"/>
      <c r="K235" s="5"/>
      <c r="L235" s="5"/>
      <c r="M235" s="5"/>
      <c r="N235" s="5"/>
      <c r="O235" s="5"/>
      <c r="P235" s="5"/>
      <c r="Q235" s="5"/>
      <c r="R235" s="5"/>
    </row>
    <row r="236" spans="1:18" s="174" customFormat="1">
      <c r="A236" s="4"/>
      <c r="B236" s="5"/>
      <c r="C236" s="4"/>
      <c r="D236" s="5"/>
      <c r="E236" s="5"/>
      <c r="F236" s="5"/>
      <c r="G236" s="136"/>
      <c r="H236" s="5"/>
      <c r="I236" s="5"/>
      <c r="J236" s="5"/>
      <c r="K236" s="5"/>
      <c r="L236" s="5"/>
      <c r="M236" s="5"/>
      <c r="N236" s="5"/>
      <c r="O236" s="5"/>
      <c r="P236" s="5"/>
      <c r="Q236" s="5"/>
      <c r="R236" s="5"/>
    </row>
    <row r="237" spans="1:18" s="174" customFormat="1">
      <c r="A237" s="4"/>
      <c r="B237" s="5"/>
      <c r="C237" s="4"/>
      <c r="D237" s="5"/>
      <c r="E237" s="5"/>
      <c r="F237" s="5"/>
      <c r="G237" s="136"/>
      <c r="H237" s="5"/>
      <c r="I237" s="5"/>
      <c r="J237" s="5"/>
      <c r="K237" s="5"/>
      <c r="L237" s="5"/>
      <c r="M237" s="5"/>
      <c r="N237" s="5"/>
      <c r="O237" s="5"/>
      <c r="P237" s="5"/>
      <c r="Q237" s="5"/>
      <c r="R237" s="5"/>
    </row>
    <row r="238" spans="1:18" s="174" customFormat="1">
      <c r="A238" s="4"/>
      <c r="B238" s="5"/>
      <c r="C238" s="4"/>
      <c r="D238" s="5"/>
      <c r="E238" s="5"/>
      <c r="F238" s="5"/>
      <c r="G238" s="136"/>
      <c r="H238" s="5"/>
      <c r="I238" s="5"/>
      <c r="J238" s="5"/>
      <c r="K238" s="5"/>
      <c r="L238" s="5"/>
      <c r="M238" s="5"/>
      <c r="N238" s="5"/>
      <c r="O238" s="5"/>
      <c r="P238" s="5"/>
      <c r="Q238" s="5"/>
      <c r="R238" s="5"/>
    </row>
    <row r="239" spans="1:18" s="174" customFormat="1">
      <c r="A239" s="4"/>
      <c r="B239" s="5"/>
      <c r="C239" s="4"/>
      <c r="D239" s="5"/>
      <c r="E239" s="5"/>
      <c r="F239" s="5"/>
      <c r="G239" s="136"/>
      <c r="H239" s="5"/>
      <c r="I239" s="5"/>
      <c r="J239" s="5"/>
      <c r="K239" s="5"/>
      <c r="L239" s="5"/>
      <c r="M239" s="5"/>
      <c r="N239" s="5"/>
      <c r="O239" s="5"/>
      <c r="P239" s="5"/>
      <c r="Q239" s="5"/>
      <c r="R239" s="5"/>
    </row>
    <row r="240" spans="1:18" s="174" customFormat="1">
      <c r="A240" s="4"/>
      <c r="B240" s="5"/>
      <c r="C240" s="4"/>
      <c r="D240" s="5"/>
      <c r="E240" s="5"/>
      <c r="F240" s="5"/>
      <c r="G240" s="136"/>
      <c r="H240" s="5"/>
      <c r="I240" s="5"/>
      <c r="J240" s="5"/>
      <c r="K240" s="5"/>
      <c r="L240" s="5"/>
      <c r="M240" s="5"/>
      <c r="N240" s="5"/>
      <c r="O240" s="5"/>
      <c r="P240" s="5"/>
      <c r="Q240" s="5"/>
      <c r="R240" s="5"/>
    </row>
    <row r="241" spans="1:46" s="174" customFormat="1">
      <c r="A241" s="4"/>
      <c r="B241" s="5"/>
      <c r="C241" s="4"/>
      <c r="D241" s="5"/>
      <c r="E241" s="5"/>
      <c r="F241" s="5"/>
      <c r="G241"/>
      <c r="H241" s="5"/>
      <c r="I241" s="5"/>
      <c r="J241" s="5"/>
      <c r="K241" s="5"/>
      <c r="L241" s="5"/>
      <c r="M241" s="5"/>
      <c r="N241" s="5"/>
      <c r="O241" s="5"/>
      <c r="P241" s="5"/>
      <c r="Q241" s="5"/>
      <c r="R241" s="5"/>
    </row>
    <row r="242" spans="1:46" s="174" customFormat="1">
      <c r="A242" s="4"/>
      <c r="B242" s="5"/>
      <c r="C242" s="4"/>
      <c r="D242" s="5"/>
      <c r="E242" s="5"/>
      <c r="F242" s="5"/>
      <c r="G242"/>
      <c r="H242" s="5"/>
      <c r="I242" s="5"/>
      <c r="J242" s="5"/>
      <c r="K242" s="5"/>
      <c r="L242" s="5"/>
      <c r="M242" s="5"/>
      <c r="N242" s="5"/>
      <c r="O242" s="5"/>
      <c r="P242" s="5"/>
      <c r="Q242" s="5"/>
      <c r="R242" s="5"/>
    </row>
    <row r="243" spans="1:46" s="174" customFormat="1">
      <c r="A243" s="4"/>
      <c r="B243" s="5"/>
      <c r="C243" s="4"/>
      <c r="D243" s="5"/>
      <c r="E243" s="5"/>
      <c r="F243" s="5"/>
      <c r="G243"/>
      <c r="H243" s="5"/>
      <c r="I243" s="5"/>
      <c r="J243" s="5"/>
      <c r="K243" s="5"/>
      <c r="L243" s="5"/>
      <c r="M243" s="5"/>
      <c r="N243" s="5"/>
      <c r="O243" s="5"/>
      <c r="P243" s="5"/>
      <c r="Q243" s="5"/>
      <c r="R243" s="5"/>
    </row>
    <row r="244" spans="1:46" s="174" customFormat="1">
      <c r="A244" s="4"/>
      <c r="B244" s="5"/>
      <c r="C244" s="4"/>
      <c r="D244" s="5"/>
      <c r="E244" s="5"/>
      <c r="F244" s="5"/>
      <c r="G244"/>
      <c r="H244" s="5"/>
      <c r="I244" s="5"/>
      <c r="J244" s="5"/>
      <c r="K244" s="5"/>
      <c r="L244" s="5"/>
      <c r="M244" s="5"/>
      <c r="N244" s="5"/>
      <c r="O244" s="5"/>
      <c r="P244" s="5"/>
      <c r="Q244" s="5"/>
      <c r="R244" s="5"/>
    </row>
    <row r="245" spans="1:46" s="174" customFormat="1">
      <c r="A245" s="4"/>
      <c r="B245" s="5"/>
      <c r="C245" s="4"/>
      <c r="D245" s="5"/>
      <c r="E245" s="5"/>
      <c r="F245" s="5"/>
      <c r="G245"/>
      <c r="H245" s="5"/>
      <c r="I245" s="5"/>
      <c r="J245" s="5"/>
      <c r="K245" s="5"/>
      <c r="L245" s="5"/>
      <c r="M245" s="5"/>
      <c r="N245" s="5"/>
      <c r="O245" s="5"/>
      <c r="P245" s="5"/>
      <c r="Q245" s="5"/>
      <c r="R245" s="5"/>
    </row>
    <row r="246" spans="1:46" s="174" customFormat="1">
      <c r="A246" s="4"/>
      <c r="B246" s="5"/>
      <c r="C246" s="4"/>
      <c r="D246" s="5"/>
      <c r="E246" s="5"/>
      <c r="F246" s="5"/>
      <c r="G246"/>
      <c r="H246" s="5"/>
      <c r="I246" s="5"/>
      <c r="J246" s="5"/>
      <c r="K246" s="5"/>
      <c r="L246" s="5"/>
      <c r="M246" s="5"/>
      <c r="N246" s="5"/>
      <c r="O246" s="5"/>
      <c r="P246" s="5"/>
      <c r="Q246" s="5"/>
      <c r="R246" s="5"/>
    </row>
    <row r="247" spans="1:46" s="174" customFormat="1">
      <c r="A247" s="4"/>
      <c r="B247" s="5"/>
      <c r="C247" s="4"/>
      <c r="D247" s="5"/>
      <c r="E247" s="5"/>
      <c r="F247" s="5"/>
      <c r="G247"/>
      <c r="H247" s="5"/>
      <c r="I247" s="5"/>
      <c r="J247" s="5"/>
      <c r="K247" s="5"/>
      <c r="L247" s="5"/>
      <c r="M247" s="5"/>
      <c r="N247" s="5"/>
      <c r="O247" s="5"/>
      <c r="P247" s="5"/>
      <c r="Q247" s="5"/>
      <c r="R247" s="5"/>
    </row>
    <row r="248" spans="1:46">
      <c r="A248" s="95"/>
      <c r="B248" s="175"/>
      <c r="C248" s="176"/>
      <c r="D248" s="175"/>
      <c r="E248" s="95"/>
      <c r="F248" s="95"/>
      <c r="G248" s="95"/>
      <c r="H248" s="95"/>
      <c r="I248" s="95"/>
      <c r="J248" s="95"/>
      <c r="K248" s="95"/>
      <c r="L248" s="175"/>
      <c r="M248" s="95"/>
      <c r="N248" s="95"/>
      <c r="O248" s="175"/>
      <c r="P248" s="95"/>
      <c r="Q248" s="175"/>
      <c r="R248" s="17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row>
    <row r="249" spans="1:46">
      <c r="A249" s="4"/>
      <c r="B249" s="5"/>
      <c r="C249" s="4"/>
      <c r="D249" s="5"/>
      <c r="E249" s="5"/>
      <c r="F249" s="5"/>
      <c r="H249" s="5"/>
      <c r="I249" s="5"/>
      <c r="J249" s="5"/>
      <c r="K249" s="5"/>
      <c r="L249" s="5"/>
      <c r="M249" s="5"/>
      <c r="N249" s="5"/>
      <c r="O249" s="5"/>
      <c r="P249" s="5"/>
      <c r="Q249" s="5"/>
      <c r="R249" s="5"/>
    </row>
    <row r="250" spans="1:46">
      <c r="A250" s="4"/>
      <c r="B250" s="5"/>
      <c r="C250" s="4"/>
      <c r="D250" s="5"/>
      <c r="E250" s="5"/>
      <c r="F250" s="5"/>
      <c r="G250" s="136"/>
      <c r="H250" s="5"/>
      <c r="I250" s="5"/>
      <c r="J250" s="5"/>
      <c r="K250" s="5"/>
      <c r="L250" s="5"/>
      <c r="M250" s="5"/>
      <c r="N250" s="5"/>
      <c r="O250" s="5"/>
      <c r="P250" s="5"/>
      <c r="Q250" s="5"/>
      <c r="R250" s="5"/>
    </row>
    <row r="251" spans="1:46">
      <c r="A251" s="4"/>
      <c r="B251" s="5"/>
      <c r="C251" s="4"/>
      <c r="D251" s="5"/>
      <c r="E251" s="5"/>
      <c r="F251" s="5"/>
      <c r="G251" s="136"/>
      <c r="H251" s="5"/>
      <c r="I251" s="5"/>
      <c r="J251" s="5"/>
      <c r="K251" s="5"/>
      <c r="L251" s="5"/>
      <c r="M251" s="5"/>
      <c r="N251" s="5"/>
      <c r="O251" s="5"/>
      <c r="P251" s="5"/>
      <c r="Q251" s="5"/>
      <c r="R251" s="5"/>
    </row>
    <row r="252" spans="1:46">
      <c r="A252" s="4"/>
      <c r="B252" s="5"/>
      <c r="C252" s="4"/>
      <c r="D252" s="5"/>
      <c r="E252" s="5"/>
      <c r="F252" s="5"/>
      <c r="G252" s="136"/>
      <c r="H252" s="5"/>
      <c r="I252" s="5"/>
      <c r="J252" s="5"/>
      <c r="K252" s="5"/>
      <c r="L252" s="5"/>
      <c r="M252" s="5"/>
      <c r="N252" s="5"/>
      <c r="O252" s="5"/>
      <c r="P252" s="5"/>
      <c r="Q252" s="5"/>
      <c r="R252" s="5"/>
    </row>
    <row r="253" spans="1:46">
      <c r="A253" s="4"/>
      <c r="B253" s="5"/>
      <c r="C253" s="4"/>
      <c r="D253" s="5"/>
      <c r="E253" s="5"/>
      <c r="F253" s="5"/>
      <c r="G253" s="136"/>
      <c r="H253" s="5"/>
      <c r="I253" s="5"/>
      <c r="J253" s="5"/>
      <c r="K253" s="5"/>
      <c r="L253" s="5"/>
      <c r="M253" s="5"/>
      <c r="N253" s="5"/>
      <c r="O253" s="5"/>
      <c r="P253" s="5"/>
      <c r="Q253" s="5"/>
      <c r="R253" s="5"/>
    </row>
    <row r="254" spans="1:46">
      <c r="A254" s="4"/>
      <c r="B254" s="5"/>
      <c r="C254" s="4"/>
      <c r="D254" s="5"/>
      <c r="E254" s="5"/>
      <c r="F254" s="5"/>
      <c r="G254" s="136"/>
      <c r="H254" s="5"/>
      <c r="I254" s="5"/>
      <c r="J254" s="5"/>
      <c r="K254" s="5"/>
      <c r="L254" s="5"/>
      <c r="M254" s="5"/>
      <c r="N254" s="5"/>
      <c r="O254" s="5"/>
      <c r="P254" s="5"/>
      <c r="Q254" s="5"/>
      <c r="R254" s="5"/>
    </row>
    <row r="255" spans="1:46">
      <c r="A255" s="4"/>
      <c r="B255" s="5"/>
      <c r="C255" s="4"/>
      <c r="D255" s="5"/>
      <c r="E255" s="5"/>
      <c r="F255" s="5"/>
      <c r="G255" s="136"/>
      <c r="H255" s="5"/>
      <c r="I255" s="5"/>
      <c r="J255" s="5"/>
      <c r="K255" s="5"/>
      <c r="L255" s="5"/>
      <c r="M255" s="5"/>
      <c r="N255" s="5"/>
      <c r="O255" s="5"/>
      <c r="P255" s="5"/>
      <c r="Q255" s="5"/>
      <c r="R255" s="5"/>
    </row>
    <row r="256" spans="1:46">
      <c r="A256" s="4"/>
      <c r="B256" s="5"/>
      <c r="C256" s="4"/>
      <c r="D256" s="5"/>
      <c r="E256" s="5"/>
      <c r="F256" s="5"/>
      <c r="G256" s="136"/>
      <c r="H256" s="5"/>
      <c r="I256" s="5"/>
      <c r="J256" s="5"/>
      <c r="K256" s="5"/>
      <c r="L256" s="5"/>
      <c r="M256" s="5"/>
      <c r="N256" s="5"/>
      <c r="O256" s="5"/>
      <c r="P256" s="5"/>
      <c r="Q256" s="5"/>
      <c r="R256" s="5"/>
    </row>
    <row r="257" spans="1:18">
      <c r="A257" s="4"/>
      <c r="B257" s="5"/>
      <c r="C257" s="4"/>
      <c r="D257" s="5"/>
      <c r="E257" s="5"/>
      <c r="F257" s="5"/>
      <c r="G257" s="136"/>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171"/>
      <c r="F261" s="5"/>
      <c r="G261" s="136"/>
      <c r="H261" s="5"/>
      <c r="I261" s="5"/>
      <c r="J261" s="5"/>
      <c r="K261" s="5"/>
      <c r="L261" s="5"/>
      <c r="M261" s="5"/>
      <c r="N261" s="5"/>
      <c r="O261" s="5"/>
      <c r="P261" s="5"/>
      <c r="Q261" s="5"/>
      <c r="R261" s="5"/>
    </row>
  </sheetData>
  <autoFilter ref="A39:R261" xr:uid="{CC24CF74-001C-48A4-8915-3DD65F22A8CD}"/>
  <mergeCells count="5">
    <mergeCell ref="AO3:AT3"/>
    <mergeCell ref="U1:X1"/>
    <mergeCell ref="U3:Y3"/>
    <mergeCell ref="AA3:AF3"/>
    <mergeCell ref="AH3:AM3"/>
  </mergeCells>
  <dataValidations count="4">
    <dataValidation showInputMessage="1" showErrorMessage="1" sqref="F33:F35 K33 P249:R261 P40:R247" xr:uid="{1483AD3F-F76F-48D6-98C7-0F5A90F4DB18}"/>
    <dataValidation type="custom" showInputMessage="1" showErrorMessage="1" sqref="K34:K35" xr:uid="{C88F457B-D7E9-4556-9F16-76D63561AF7E}">
      <formula1>_xlfn.DAYS(H328,F328)</formula1>
    </dataValidation>
    <dataValidation type="custom" allowBlank="1" showInputMessage="1" showErrorMessage="1" sqref="AE38 O38" xr:uid="{D6A8163C-5DB0-45CD-BADC-B18EB9A84206}">
      <formula1>_xlfn.DAYS(L331,J331)</formula1>
    </dataValidation>
    <dataValidation type="custom" showInputMessage="1" showErrorMessage="1" sqref="AF38 P38" xr:uid="{8C29F221-E219-495D-B23B-6A4C55E267AE}">
      <formula1>_xlfn.DAYS(M330,K330)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9B4D83C6-848E-42D7-91D0-BE4AF2C46DBC}">
          <x14:formula1>
            <xm:f>Cadastros!$F$12:$F$25</xm:f>
          </x14:formula1>
          <xm:sqref>G38 K24 AM38 F249:F261 F111:F247 F40</xm:sqref>
        </x14:dataValidation>
        <x14:dataValidation type="list" allowBlank="1" showInputMessage="1" showErrorMessage="1" xr:uid="{820B1646-8DCF-4EFD-9B4A-B09DC0B87C92}">
          <x14:formula1>
            <xm:f>Cadastros!$Q$12:$Q$17</xm:f>
          </x14:formula1>
          <xm:sqref>K38 AA38 K28 K249:K261 K201:K247 K158:K197 K111:K152</xm:sqref>
        </x14:dataValidation>
        <x14:dataValidation type="list" allowBlank="1" showInputMessage="1" showErrorMessage="1" xr:uid="{5CA031BB-A3A2-4C43-A559-7C0FF40F2648}">
          <x14:formula1>
            <xm:f>Cadastros!$N$12:$N$16</xm:f>
          </x14:formula1>
          <xm:sqref>I38 Y38 K26</xm:sqref>
        </x14:dataValidation>
        <x14:dataValidation type="list" errorStyle="information" allowBlank="1" showInputMessage="1" showErrorMessage="1" xr:uid="{1F76D4E9-CECC-4113-8913-B48DCF22BDCA}">
          <x14:formula1>
            <xm:f>Cadastros!$I$12:$I$21</xm:f>
          </x14:formula1>
          <xm:sqref>H38 K25</xm:sqref>
        </x14:dataValidation>
        <x14:dataValidation type="list" allowBlank="1" showInputMessage="1" showErrorMessage="1" xr:uid="{6457EDB6-05B6-45C8-9D6D-159CB7304CD6}">
          <x14:formula1>
            <xm:f>Cadastros!$S$12:$S$13</xm:f>
          </x14:formula1>
          <xm:sqref>M38:N38 AC38:AD38 K30:K31 F30:F31 M249:N261 M40:N247</xm:sqref>
        </x14:dataValidation>
        <x14:dataValidation type="list" showInputMessage="1" showErrorMessage="1" xr:uid="{A463E2F6-A18C-402E-B168-CACF2B705CD2}">
          <x14:formula1>
            <xm:f>Cadastros!$C$12:$C$16</xm:f>
          </x14:formula1>
          <xm:sqref>K22 AK38 E111:E197 E38 E249:E260 E201:E247</xm:sqref>
        </x14:dataValidation>
        <x14:dataValidation type="list" errorStyle="information" allowBlank="1" showInputMessage="1" showErrorMessage="1" xr:uid="{4361594B-5BDC-4C82-AF1C-B343AE39EB86}">
          <x14:formula1>
            <xm:f>Cadastros!$I$12:$I$36</xm:f>
          </x14:formula1>
          <xm:sqref>H249:H261 H176:H247 H111:H169 H40</xm:sqref>
        </x14:dataValidation>
        <x14:dataValidation type="list" allowBlank="1" showInputMessage="1" showErrorMessage="1" xr:uid="{4561A8FF-CD59-4813-B07C-4E15D695499D}">
          <x14:formula1>
            <xm:f>Cadastros!$N$12:$N$19</xm:f>
          </x14:formula1>
          <xm:sqref>F26 I249:I261 I40:I247</xm:sqref>
        </x14:dataValidation>
        <x14:dataValidation type="list" allowBlank="1" showInputMessage="1" showErrorMessage="1" xr:uid="{0F8E2471-591C-4FCB-8667-300713381ADD}">
          <x14:formula1>
            <xm:f>Cadastros!$C$12:$C$16</xm:f>
          </x14:formula1>
          <xm:sqref>E261 E198:E200 F22 E40:E110</xm:sqref>
        </x14:dataValidation>
        <x14:dataValidation type="list" allowBlank="1" showInputMessage="1" showErrorMessage="1" xr:uid="{D3FD2E17-F2ED-4B31-82F7-25E475CA3807}">
          <x14:formula1>
            <xm:f>Cadastros!$Q$12:$Q$15</xm:f>
          </x14:formula1>
          <xm:sqref>F28 K40:K110</xm:sqref>
        </x14:dataValidation>
        <x14:dataValidation type="list" allowBlank="1" showInputMessage="1" showErrorMessage="1" xr:uid="{B21E60C3-C91E-4652-AB7B-3000F6414973}">
          <x14:formula1>
            <xm:f>Cadastros!$I$12:$I$36</xm:f>
          </x14:formula1>
          <xm:sqref>F25 H41:H110</xm:sqref>
        </x14:dataValidation>
        <x14:dataValidation type="list" allowBlank="1" showInputMessage="1" showErrorMessage="1" xr:uid="{FC818E20-72C4-424D-A088-D3BD054CCDEE}">
          <x14:formula1>
            <xm:f>Cadastros!$F$12:$F$15</xm:f>
          </x14:formula1>
          <xm:sqref>F23 F41:F110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DA72-D029-4611-A96B-1244F2575BB9}">
  <sheetPr codeName="Planilha7"/>
  <dimension ref="A1:AT239"/>
  <sheetViews>
    <sheetView zoomScaleNormal="100" workbookViewId="0">
      <pane ySplit="1" topLeftCell="A29" activePane="bottomLeft" state="frozen"/>
      <selection pane="bottomLeft" activeCell="A41" sqref="A41:R41"/>
    </sheetView>
  </sheetViews>
  <sheetFormatPr defaultRowHeight="15"/>
  <cols>
    <col min="1" max="1" width="13" customWidth="1"/>
    <col min="2" max="2" width="13.140625" bestFit="1" customWidth="1"/>
    <col min="3" max="3" width="14" bestFit="1" customWidth="1"/>
    <col min="5" max="5" width="26.28515625" bestFit="1" customWidth="1"/>
    <col min="6" max="6" width="64.28515625" customWidth="1"/>
    <col min="7" max="7" width="72.28515625" customWidth="1"/>
    <col min="8" max="8" width="19" bestFit="1" customWidth="1"/>
    <col min="9" max="9" width="15.85546875" customWidth="1"/>
    <col min="10" max="10" width="9.28515625" customWidth="1"/>
    <col min="11" max="11" width="11.28515625" customWidth="1"/>
    <col min="12" max="12" width="10.28515625" customWidth="1"/>
    <col min="13" max="13" width="20.28515625" customWidth="1"/>
    <col min="14" max="17" width="11.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COUNTA(B$40:B391)</f>
        <v>101</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COUNTIFS(H$39:H509,U5,K$39:K509,V4)</f>
        <v>2</v>
      </c>
      <c r="W5" s="147">
        <f>COUNTIFS(H$39:H509,U5,K$39:K509,W4)</f>
        <v>1</v>
      </c>
      <c r="X5" s="147">
        <f>COUNTIFS(H$39:H509,U5,K$39:K509,X4)</f>
        <v>0</v>
      </c>
      <c r="Y5" s="148">
        <f t="shared" ref="Y5:Y10" si="0">SUM(V5:X5)</f>
        <v>3</v>
      </c>
      <c r="Z5" s="13"/>
      <c r="AA5" s="88" t="str">
        <f>U5</f>
        <v>Bárbara Leite</v>
      </c>
      <c r="AB5" s="33">
        <f>SUMIFS(J$40:J430,H$40:H430,AA5,E$40:E430,"SAL")</f>
        <v>0</v>
      </c>
      <c r="AC5" s="34">
        <f>SUMIFS(J$40:J504,H$40:H504,AA5,E$40:E504,"SAM")</f>
        <v>400</v>
      </c>
      <c r="AD5" s="34">
        <f>SUMIFS(J$40:J504,H$40:H504,AA5,E$40:E504,"NE")</f>
        <v>0</v>
      </c>
      <c r="AE5" s="34">
        <f>SUMIFS(J$40:J504,H$40:H504,AA5,E$40:E504,"SAIL")</f>
        <v>5365</v>
      </c>
      <c r="AF5" s="35">
        <f t="shared" ref="AF5:AF9" si="1">SUBTOTAL(9,AB5:AE5)</f>
        <v>5765</v>
      </c>
      <c r="AH5" s="88" t="str">
        <f>U5</f>
        <v>Bárbara Leite</v>
      </c>
      <c r="AI5" s="33">
        <f>COUNTIFS(H$40:H504,AH5,E$40:E504,"SAL")</f>
        <v>0</v>
      </c>
      <c r="AJ5" s="34">
        <f t="shared" ref="AJ5:AJ29" si="2">COUNTIFS(H$40:H$504,AH5,E$40:E$504,"SAM")</f>
        <v>2</v>
      </c>
      <c r="AK5" s="34">
        <f>COUNTIFS(H$40:H504,AH5,E$40:E$504,"NE")</f>
        <v>0</v>
      </c>
      <c r="AL5" s="34">
        <f>COUNTIFS(H$40:H504,AH5,E$40:E504,"SAIL")</f>
        <v>1</v>
      </c>
      <c r="AM5" s="35">
        <f t="shared" ref="AM5:AM29" si="3">SUBTOTAL(9,AI5:AL5)</f>
        <v>3</v>
      </c>
      <c r="AO5" s="88" t="str">
        <f>U5</f>
        <v>Bárbara Leite</v>
      </c>
      <c r="AP5" s="33">
        <f t="shared" ref="AP5:AP29" si="4">SUMIFS(Q$40:Q$429,H$40:H$429,AO5,E$40:E$429,"SAL")</f>
        <v>0</v>
      </c>
      <c r="AQ5" s="34">
        <f t="shared" ref="AQ5:AQ29" si="5">SUMIFS(Q$40:Q$429,H$40:H$429,AO5,E$40:E$429,"SAM")</f>
        <v>23</v>
      </c>
      <c r="AR5" s="34">
        <f t="shared" ref="AR5:AR29" si="6">SUMIFS(Q$40:Q$429,H$40:H$429,AO5,E$40:E$429,"NE")</f>
        <v>0</v>
      </c>
      <c r="AS5" s="34">
        <f t="shared" ref="AS5:AS29" si="7">SUMIFS(Q$40:Q$429,H$40:H$429,AO5,E$40:E$429,"SAIL")</f>
        <v>40</v>
      </c>
      <c r="AT5" s="35">
        <f t="shared" ref="AT5:AT29" si="8">SUBTOTAL(9,AP5:AS5)</f>
        <v>63</v>
      </c>
    </row>
    <row r="6" spans="21:46" ht="15.75" thickBot="1">
      <c r="U6" s="87" t="str">
        <f>Cadastros!I13</f>
        <v>Bárbara Teixeira</v>
      </c>
      <c r="V6" s="85">
        <f>COUNTIFS(H$39:H509,U6,K$39:K509,V4)</f>
        <v>0</v>
      </c>
      <c r="W6" s="18">
        <f>COUNTIFS(H$39:H509,U6,K$39:K509,W4)</f>
        <v>0</v>
      </c>
      <c r="X6" s="18">
        <f>COUNTIFS(H$39:H509,U6,K$39:K509,X4)</f>
        <v>0</v>
      </c>
      <c r="Y6" s="19">
        <f t="shared" si="0"/>
        <v>0</v>
      </c>
      <c r="Z6" s="13"/>
      <c r="AA6" s="22" t="str">
        <f>U6</f>
        <v>Bárbara Teixeira</v>
      </c>
      <c r="AB6" s="30">
        <f>SUMIFS(J$40:J431,H$40:H431,AA6,E$40:E431,"SAL")</f>
        <v>0</v>
      </c>
      <c r="AC6" s="29">
        <f>SUMIFS(J$40:J505,H$40:H505,AA6,E$40:E505,"SAM")</f>
        <v>0</v>
      </c>
      <c r="AD6" s="29">
        <f>SUMIFS(J$40:J505,H$40:H505,AA6,E$40:E505,"NE")</f>
        <v>0</v>
      </c>
      <c r="AE6" s="29">
        <f>SUMIFS(J$40:J505,H$40:H505,AA6,E$40:E505,"SAIL")</f>
        <v>0</v>
      </c>
      <c r="AF6" s="31">
        <f t="shared" si="1"/>
        <v>0</v>
      </c>
      <c r="AH6" s="22" t="str">
        <f>U6</f>
        <v>Bárbara Teixeira</v>
      </c>
      <c r="AI6" s="30">
        <f>COUNTIFS(H$40:H505,AH6,E$40:E505,"SAL")</f>
        <v>0</v>
      </c>
      <c r="AJ6" s="29">
        <f t="shared" si="2"/>
        <v>0</v>
      </c>
      <c r="AK6" s="29">
        <f t="shared" ref="AK6:AK29" si="9">COUNTIFS(H$40:H$504,AH6,E$40:E$504,"NE")</f>
        <v>0</v>
      </c>
      <c r="AL6" s="29">
        <f>COUNTIFS(H$40:H505,AH6,E$40:E505,"SAIL")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COUNTIFS(H$39:H509,U7,K$39:K509,V4)</f>
        <v>0</v>
      </c>
      <c r="W7" s="14">
        <f>COUNTIFS(H$39:H509,U7,K$39:K509,W4)</f>
        <v>0</v>
      </c>
      <c r="X7" s="14">
        <f>COUNTIFS(H$39:H509,U7,K$39:K509,X4)</f>
        <v>0</v>
      </c>
      <c r="Y7" s="15">
        <f t="shared" si="0"/>
        <v>0</v>
      </c>
      <c r="Z7" s="13"/>
      <c r="AA7" s="21" t="str">
        <f t="shared" ref="AA7:AA11" si="10">U7</f>
        <v>Bruna Ferro</v>
      </c>
      <c r="AB7" s="37">
        <f>SUMIFS(J$40:J432,H$40:H432,AA7,E$40:E432,"SAL")</f>
        <v>0</v>
      </c>
      <c r="AC7" s="38">
        <f>SUMIFS(J$40:J506,H$40:H506,AA7,E$40:E506,"SAM")</f>
        <v>0</v>
      </c>
      <c r="AD7" s="38">
        <f>SUMIFS(J$40:J506,H$40:H506,AA7,E$40:E506,"NE")</f>
        <v>0</v>
      </c>
      <c r="AE7" s="38">
        <f>SUMIFS(J$40:J506,H$40:H506,AA7,E$40:E506,"SAIL")</f>
        <v>0</v>
      </c>
      <c r="AF7" s="39">
        <f t="shared" si="1"/>
        <v>0</v>
      </c>
      <c r="AH7" s="21" t="str">
        <f t="shared" ref="AH7:AH11" si="11">U7</f>
        <v>Bruna Ferro</v>
      </c>
      <c r="AI7" s="37">
        <f>COUNTIFS(H$40:H506,AH7,E$40:E506,"SAL")</f>
        <v>0</v>
      </c>
      <c r="AJ7" s="38">
        <f t="shared" si="2"/>
        <v>0</v>
      </c>
      <c r="AK7" s="38">
        <f t="shared" si="9"/>
        <v>0</v>
      </c>
      <c r="AL7" s="38">
        <f>COUNTIFS(H$40:H506,AH7,E$40:E506,"SAIL")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COUNTIFS(H$39:H509,U8,K$39:K509,V4)</f>
        <v>7</v>
      </c>
      <c r="W8" s="18">
        <f>COUNTIFS(H$39:H509,U8,K$39:K509,W4)</f>
        <v>0</v>
      </c>
      <c r="X8" s="18">
        <f>COUNTIFS(H$39:H509,U8,K$39:K509,X4)</f>
        <v>0</v>
      </c>
      <c r="Y8" s="19">
        <f t="shared" si="0"/>
        <v>7</v>
      </c>
      <c r="Z8" s="13"/>
      <c r="AA8" s="22" t="str">
        <f t="shared" si="10"/>
        <v>Carolina Esmeraldino</v>
      </c>
      <c r="AB8" s="30">
        <f>SUMIFS(J$40:J433,H$40:H433,AA8,E$40:E433,"SAL")</f>
        <v>0</v>
      </c>
      <c r="AC8" s="29">
        <f>SUMIFS(J$40:J507,H$40:H507,AA8,E$40:E507,"SAM")</f>
        <v>416</v>
      </c>
      <c r="AD8" s="29">
        <f>SUMIFS(J$40:J507,H$40:H507,AA8,E$40:E507,"NE")</f>
        <v>20</v>
      </c>
      <c r="AE8" s="29">
        <f>SUMIFS(J$40:J507,H$40:H507,AA8,E$40:E507,"SAIL")</f>
        <v>0</v>
      </c>
      <c r="AF8" s="31">
        <f t="shared" si="1"/>
        <v>436</v>
      </c>
      <c r="AH8" s="22" t="str">
        <f t="shared" si="11"/>
        <v>Carolina Esmeraldino</v>
      </c>
      <c r="AI8" s="30">
        <f>COUNTIFS(H$40:H507,AH8,E$40:E507,"SAL")</f>
        <v>0</v>
      </c>
      <c r="AJ8" s="29">
        <f t="shared" si="2"/>
        <v>6</v>
      </c>
      <c r="AK8" s="29">
        <f t="shared" si="9"/>
        <v>1</v>
      </c>
      <c r="AL8" s="29">
        <f>COUNTIFS(H$40:H507,AH8,E$40:E507,"SAIL")</f>
        <v>0</v>
      </c>
      <c r="AM8" s="31">
        <f t="shared" si="3"/>
        <v>7</v>
      </c>
      <c r="AO8" s="22" t="str">
        <f>U8</f>
        <v>Carolina Esmeraldino</v>
      </c>
      <c r="AP8" s="30">
        <f t="shared" si="4"/>
        <v>0</v>
      </c>
      <c r="AQ8" s="29">
        <f t="shared" si="5"/>
        <v>48</v>
      </c>
      <c r="AR8" s="29">
        <f t="shared" si="6"/>
        <v>2</v>
      </c>
      <c r="AS8" s="29">
        <f t="shared" si="7"/>
        <v>0</v>
      </c>
      <c r="AT8" s="31">
        <f t="shared" si="8"/>
        <v>50</v>
      </c>
    </row>
    <row r="9" spans="21:46" ht="15.75" thickBot="1">
      <c r="U9" s="87" t="str">
        <f>Cadastros!I16</f>
        <v>Claudia Savois</v>
      </c>
      <c r="V9" s="86">
        <f>COUNTIFS(H$39:H509,U9,K$39:K509,V4)</f>
        <v>0</v>
      </c>
      <c r="W9" s="14">
        <f>COUNTIFS(H$39:H509,U9,K$39:K509,W4)</f>
        <v>0</v>
      </c>
      <c r="X9" s="14">
        <f>COUNTIFS(H$39:H509,U9,K$39:K509,X4)</f>
        <v>0</v>
      </c>
      <c r="Y9" s="15">
        <f t="shared" si="0"/>
        <v>0</v>
      </c>
      <c r="Z9" s="13"/>
      <c r="AA9" s="21" t="str">
        <f t="shared" si="10"/>
        <v>Claudia Savois</v>
      </c>
      <c r="AB9" s="37">
        <f>SUMIFS(J$40:J434,H$40:H434,AA9,E$40:E434,"SAL")</f>
        <v>0</v>
      </c>
      <c r="AC9" s="38">
        <f>SUMIFS(J$40:J508,H$40:H508,AA9,E$40:E508,"SAM")</f>
        <v>0</v>
      </c>
      <c r="AD9" s="38">
        <f>SUMIFS(J$40:J508,H$40:H508,AA9,E$40:E508,"NE")</f>
        <v>0</v>
      </c>
      <c r="AE9" s="38">
        <f>SUMIFS(J$40:J508,H$40:H508,AA9,E$40:E508,"SAIL")</f>
        <v>0</v>
      </c>
      <c r="AF9" s="39">
        <f t="shared" si="1"/>
        <v>0</v>
      </c>
      <c r="AH9" s="21" t="str">
        <f t="shared" si="11"/>
        <v>Claudia Savois</v>
      </c>
      <c r="AI9" s="37">
        <f>COUNTIFS(H$40:H508,AH9,E$40:E508,"SAL")</f>
        <v>0</v>
      </c>
      <c r="AJ9" s="38">
        <f t="shared" si="2"/>
        <v>0</v>
      </c>
      <c r="AK9" s="38">
        <f t="shared" si="9"/>
        <v>0</v>
      </c>
      <c r="AL9" s="38">
        <f>COUNTIFS(H$40:H508,AH9,E$40:E508,"SAIL")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COUNTIFS(H$39:H510,U10,K$39:K510,V4)</f>
        <v>0</v>
      </c>
      <c r="W10" s="14">
        <f>COUNTIFS(H$39:H510,U10,K$39:K510,W4)</f>
        <v>0</v>
      </c>
      <c r="X10" s="14">
        <f>COUNTIFS(H$39:H510,U10,K$39:K510,X4)</f>
        <v>0</v>
      </c>
      <c r="Y10" s="15">
        <f t="shared" si="0"/>
        <v>0</v>
      </c>
      <c r="Z10" s="13"/>
      <c r="AA10" s="22" t="str">
        <f t="shared" si="10"/>
        <v>Daniela Stupp</v>
      </c>
      <c r="AB10" s="30">
        <f>SUMIFS(J$40:J435,H$40:H435,AA10,E$40:E435,"SAL")</f>
        <v>0</v>
      </c>
      <c r="AC10" s="29">
        <f>SUMIFS(J$40:J509,H$40:H509,AA10,E$40:E509,"SAM")</f>
        <v>0</v>
      </c>
      <c r="AD10" s="29">
        <f>SUMIFS(J$40:J509,H$40:H509,AA10,E$40:E509,"NE")</f>
        <v>0</v>
      </c>
      <c r="AE10" s="29">
        <f>SUMIFS(J$40:J509,H$40:H509,AA10,E$40:E509,"SAIL")</f>
        <v>0</v>
      </c>
      <c r="AF10" s="31">
        <f>SUBTOTAL(9,AB10:AE10)</f>
        <v>0</v>
      </c>
      <c r="AH10" s="22" t="str">
        <f t="shared" si="11"/>
        <v>Daniela Stupp</v>
      </c>
      <c r="AI10" s="30">
        <f>COUNTIFS(H$40:H509,AH10,E$40:E509,"SAL")</f>
        <v>0</v>
      </c>
      <c r="AJ10" s="29">
        <f t="shared" si="2"/>
        <v>0</v>
      </c>
      <c r="AK10" s="29">
        <f t="shared" si="9"/>
        <v>0</v>
      </c>
      <c r="AL10" s="29">
        <f>COUNTIFS(H$40:H509,AH10,E$40:E509,"SAIL")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COUNTIFS(H$39:H509,U11,K$39:K509,V4)</f>
        <v>2</v>
      </c>
      <c r="W11" s="18">
        <f>COUNTIFS(H$39:H509,U11,K$39:K509,W4)</f>
        <v>0</v>
      </c>
      <c r="X11" s="18">
        <f>COUNTIFS(H$39:H509,U11,K$39:K509,X4)</f>
        <v>0</v>
      </c>
      <c r="Y11" s="19">
        <f>SUM(V11:X11)</f>
        <v>2</v>
      </c>
      <c r="Z11" s="13"/>
      <c r="AA11" s="21" t="str">
        <f t="shared" si="10"/>
        <v>Gabriely</v>
      </c>
      <c r="AB11" s="37">
        <f>SUMIFS(J$40:J436,H$40:H436,AA11,E$40:E436,"SAL")</f>
        <v>1615</v>
      </c>
      <c r="AC11" s="38">
        <f>SUMIFS(J$40:J510,H$40:H510,AA11,E$40:E510,"SAM")</f>
        <v>135</v>
      </c>
      <c r="AD11" s="38">
        <f>SUMIFS(J$40:J510,H$40:H510,AA11,E$40:E510,"NE")</f>
        <v>0</v>
      </c>
      <c r="AE11" s="38">
        <f>SUMIFS(J$40:J510,H$40:H510,AA11,E$40:E510,"SAIL")</f>
        <v>0</v>
      </c>
      <c r="AF11" s="39">
        <f>SUBTOTAL(9,AB11:AE11)</f>
        <v>1750</v>
      </c>
      <c r="AH11" s="21" t="str">
        <f t="shared" si="11"/>
        <v>Gabriely</v>
      </c>
      <c r="AI11" s="37">
        <f>COUNTIFS(H$40:H510,AH11,E$40:E510,"SAL")</f>
        <v>1</v>
      </c>
      <c r="AJ11" s="38">
        <f t="shared" si="2"/>
        <v>1</v>
      </c>
      <c r="AK11" s="38">
        <f t="shared" si="9"/>
        <v>0</v>
      </c>
      <c r="AL11" s="38">
        <f>COUNTIFS(H$40:H510,AH11,E$40:E510,"SAIL")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COUNTIFS(H$39:H510,U12,K$39:K510,V4)</f>
        <v>0</v>
      </c>
      <c r="W12" s="14">
        <f>COUNTIFS(H$39:H510,U12,K$39:K510,W4)</f>
        <v>0</v>
      </c>
      <c r="X12" s="14">
        <f>COUNTIFS(H$39:H510,U12,K$39:K510,X4)</f>
        <v>1</v>
      </c>
      <c r="Y12" s="15">
        <f t="shared" ref="Y12:Y29" si="13">SUM(V12:X12)</f>
        <v>1</v>
      </c>
      <c r="AA12" s="22" t="str">
        <f>U12</f>
        <v>Fabio Sasso</v>
      </c>
      <c r="AB12" s="30">
        <f>SUMIFS(J$40:J437,H$40:H437,AA12,E$40:E437,"SAL")</f>
        <v>0</v>
      </c>
      <c r="AC12" s="29">
        <f>SUMIFS(J$40:J511,H$40:H511,AA12,E$40:E511,"SAM")</f>
        <v>0</v>
      </c>
      <c r="AD12" s="29">
        <f>SUMIFS(J$40:J511,H$40:H511,AA12,E$40:E511,"NE")</f>
        <v>0</v>
      </c>
      <c r="AE12" s="29">
        <f>SUMIFS(J$40:J511,H$40:H511,AA12,E$40:E511,"SAIL")</f>
        <v>8987</v>
      </c>
      <c r="AF12" s="31">
        <f>SUBTOTAL(9,AB12:AE12)</f>
        <v>8987</v>
      </c>
      <c r="AH12" s="22" t="str">
        <f>U12</f>
        <v>Fabio Sasso</v>
      </c>
      <c r="AI12" s="30">
        <f>COUNTIFS(H$40:H511,AH12,E$40:E511,"SAL")</f>
        <v>0</v>
      </c>
      <c r="AJ12" s="29">
        <f t="shared" si="2"/>
        <v>0</v>
      </c>
      <c r="AK12" s="29">
        <f t="shared" si="9"/>
        <v>0</v>
      </c>
      <c r="AL12" s="29">
        <f>COUNTIFS(H$40:H511,AH12,E$40:E511,"SAIL")</f>
        <v>1</v>
      </c>
      <c r="AM12" s="31">
        <f t="shared" si="3"/>
        <v>1</v>
      </c>
      <c r="AO12" s="22" t="str">
        <f t="shared" si="12"/>
        <v>Fabio Sasso</v>
      </c>
      <c r="AP12" s="30">
        <f t="shared" si="4"/>
        <v>0</v>
      </c>
      <c r="AQ12" s="29">
        <f t="shared" si="5"/>
        <v>0</v>
      </c>
      <c r="AR12" s="29">
        <f t="shared" si="6"/>
        <v>0</v>
      </c>
      <c r="AS12" s="29">
        <f t="shared" si="7"/>
        <v>80</v>
      </c>
      <c r="AT12" s="31">
        <f t="shared" si="8"/>
        <v>80</v>
      </c>
    </row>
    <row r="13" spans="21:46" ht="15.75" thickBot="1">
      <c r="U13" s="87" t="str">
        <f>Cadastros!I20</f>
        <v>Felipi Ferreira</v>
      </c>
      <c r="V13" s="85">
        <f>COUNTIFS(H$39:H511,U13,K$39:K511,V$4)</f>
        <v>1</v>
      </c>
      <c r="W13" s="18">
        <f>COUNTIFS(H$39:H511,U13,K$39:K511,W$4)</f>
        <v>0</v>
      </c>
      <c r="X13" s="18">
        <f>COUNTIFS(H$39:H511,U13,K$39:K511,X$4)</f>
        <v>0</v>
      </c>
      <c r="Y13" s="19">
        <f t="shared" si="13"/>
        <v>1</v>
      </c>
      <c r="AA13" s="21" t="str">
        <f t="shared" ref="AA13:AA29" si="14">U13</f>
        <v>Felipi Ferreira</v>
      </c>
      <c r="AB13" s="37">
        <f>SUMIFS(J$40:J438,H$40:H438,AA13,E$40:E438,"SAL")</f>
        <v>256</v>
      </c>
      <c r="AC13" s="38">
        <f>SUMIFS(J$40:J512,H$40:H512,AA13,E$40:E512,"SAM")</f>
        <v>0</v>
      </c>
      <c r="AD13" s="38">
        <f>SUMIFS(J$40:J512,H$40:H512,AA13,E$40:E512,"NE")</f>
        <v>0</v>
      </c>
      <c r="AE13" s="38">
        <f>SUMIFS(J$40:J512,H$40:H512,AA13,E$40:E512,"SAIL")</f>
        <v>7185</v>
      </c>
      <c r="AF13" s="39">
        <f t="shared" ref="AF13:AF29" si="15">SUBTOTAL(9,AB13:AE13)</f>
        <v>7441</v>
      </c>
      <c r="AH13" s="21" t="str">
        <f t="shared" ref="AH13:AH29" si="16">U13</f>
        <v>Felipi Ferreira</v>
      </c>
      <c r="AI13" s="37">
        <f>COUNTIFS(H$40:H512,AH13,E$40:E512,"SAL")</f>
        <v>1</v>
      </c>
      <c r="AJ13" s="38">
        <f t="shared" si="2"/>
        <v>0</v>
      </c>
      <c r="AK13" s="38">
        <f t="shared" si="9"/>
        <v>0</v>
      </c>
      <c r="AL13" s="38">
        <f>COUNTIFS(H$40:H512,AH13,E$40:E512,"SAIL")</f>
        <v>1</v>
      </c>
      <c r="AM13" s="39">
        <f t="shared" si="3"/>
        <v>2</v>
      </c>
      <c r="AO13" s="21" t="str">
        <f t="shared" si="12"/>
        <v>Felipi Ferreira</v>
      </c>
      <c r="AP13" s="37">
        <f t="shared" si="4"/>
        <v>8</v>
      </c>
      <c r="AQ13" s="139">
        <f t="shared" si="5"/>
        <v>0</v>
      </c>
      <c r="AR13" s="139">
        <f t="shared" si="6"/>
        <v>0</v>
      </c>
      <c r="AS13" s="38">
        <f t="shared" si="7"/>
        <v>160</v>
      </c>
      <c r="AT13" s="39">
        <f t="shared" si="8"/>
        <v>168</v>
      </c>
    </row>
    <row r="14" spans="21:46" ht="15.75" thickBot="1">
      <c r="U14" s="87" t="str">
        <f>Cadastros!I21</f>
        <v>Flávia Cardoso</v>
      </c>
      <c r="V14" s="86">
        <f>COUNTIFS(H$39:H512,U14,K$39:K512,V$4)</f>
        <v>1</v>
      </c>
      <c r="W14" s="14">
        <f>COUNTIFS(H$39:H512,U14,K$39:K512,W$4)</f>
        <v>0</v>
      </c>
      <c r="X14" s="14">
        <f>COUNTIFS(H$39:H512,U14,K$39:K512,X$4)</f>
        <v>0</v>
      </c>
      <c r="Y14" s="15">
        <f t="shared" si="13"/>
        <v>1</v>
      </c>
      <c r="AA14" s="22" t="str">
        <f t="shared" si="14"/>
        <v>Flávia Cardoso</v>
      </c>
      <c r="AB14" s="30">
        <f>SUMIFS(J$40:J439,H$40:H439,AA14,E$40:E439,"SAL")</f>
        <v>541</v>
      </c>
      <c r="AC14" s="29">
        <f>SUMIFS(J$40:J513,H$40:H513,AA14,E$40:E513,"SAM")</f>
        <v>0</v>
      </c>
      <c r="AD14" s="29">
        <f>SUMIFS(J$40:J513,H$40:H513,AA14,E$40:E513,"NE")</f>
        <v>0</v>
      </c>
      <c r="AE14" s="29">
        <f>SUMIFS(J$40:J513,H$40:H513,AA14,E$40:E513,"SAIL")</f>
        <v>0</v>
      </c>
      <c r="AF14" s="31">
        <f t="shared" si="15"/>
        <v>541</v>
      </c>
      <c r="AH14" s="22" t="str">
        <f t="shared" si="16"/>
        <v>Flávia Cardoso</v>
      </c>
      <c r="AI14" s="30">
        <f>COUNTIFS(H$40:H513,AH14,E$40:E513,"SAL")</f>
        <v>1</v>
      </c>
      <c r="AJ14" s="29">
        <f t="shared" si="2"/>
        <v>0</v>
      </c>
      <c r="AK14" s="29">
        <f t="shared" si="9"/>
        <v>0</v>
      </c>
      <c r="AL14" s="29">
        <f>COUNTIFS(H$40:H513,AH14,E$40:E513,"SAIL")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COUNTIFS(H$39:H513,U15,K$39:K513,V$4)</f>
        <v>0</v>
      </c>
      <c r="W15" s="18">
        <f>COUNTIFS(H$39:H513,U15,K$39:K513,W$4)</f>
        <v>0</v>
      </c>
      <c r="X15" s="18">
        <f>COUNTIFS(H$39:H513,U15,K$39:K513,X$4)</f>
        <v>0</v>
      </c>
      <c r="Y15" s="19">
        <f t="shared" si="13"/>
        <v>0</v>
      </c>
      <c r="AA15" s="21" t="str">
        <f t="shared" si="14"/>
        <v>Giovani cunha</v>
      </c>
      <c r="AB15" s="37">
        <f>SUMIFS(J$40:J440,H$40:H440,AA15,E$40:E440,"SAL")</f>
        <v>0</v>
      </c>
      <c r="AC15" s="38">
        <f>SUMIFS(J$40:J514,H$40:H514,AA15,E$40:E514,"SAM")</f>
        <v>0</v>
      </c>
      <c r="AD15" s="38">
        <f>SUMIFS(J$40:J514,H$40:H514,AA15,E$40:E514,"NE")</f>
        <v>0</v>
      </c>
      <c r="AE15" s="38">
        <f>SUMIFS(J$40:J514,H$40:H514,AA15,E$40:E514,"SAIL")</f>
        <v>0</v>
      </c>
      <c r="AF15" s="39">
        <f t="shared" si="15"/>
        <v>0</v>
      </c>
      <c r="AH15" s="21" t="str">
        <f t="shared" si="16"/>
        <v>Giovani cunha</v>
      </c>
      <c r="AI15" s="37">
        <f>COUNTIFS(H$40:H514,AH15,E$40:E514,"SAL")</f>
        <v>0</v>
      </c>
      <c r="AJ15" s="38">
        <f t="shared" si="2"/>
        <v>0</v>
      </c>
      <c r="AK15" s="38">
        <f t="shared" si="9"/>
        <v>0</v>
      </c>
      <c r="AL15" s="38">
        <f>COUNTIFS(H$40:H514,AH15,E$40:E514,"SAIL")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COUNTIFS(H$39:H514,U16,K$39:K514,V$4)</f>
        <v>15</v>
      </c>
      <c r="W16" s="14">
        <f>COUNTIFS(H$39:H514,U16,K$39:K514,W$4)</f>
        <v>0</v>
      </c>
      <c r="X16" s="14">
        <f>COUNTIFS(H$39:H514,U16,K$39:K514,X$4)</f>
        <v>0</v>
      </c>
      <c r="Y16" s="15">
        <f t="shared" si="13"/>
        <v>15</v>
      </c>
      <c r="AA16" s="22" t="str">
        <f t="shared" si="14"/>
        <v>Jennifer Rodrigues</v>
      </c>
      <c r="AB16" s="30">
        <f>SUMIFS(J$40:J441,H$40:H441,AA16,E$40:E441,"SAL")</f>
        <v>0</v>
      </c>
      <c r="AC16" s="29">
        <f>SUMIFS(J$40:J515,H$40:H515,AA16,E$40:E515,"SAM")</f>
        <v>0</v>
      </c>
      <c r="AD16" s="29">
        <f>SUMIFS(J$40:J515,H$40:H515,AA16,E$40:E515,"NE")</f>
        <v>2246</v>
      </c>
      <c r="AE16" s="29">
        <f>SUMIFS(J$40:J515,H$40:H515,AA16,E$40:E515,"SAIL")</f>
        <v>0</v>
      </c>
      <c r="AF16" s="31">
        <f t="shared" si="15"/>
        <v>2246</v>
      </c>
      <c r="AH16" s="22" t="str">
        <f t="shared" si="16"/>
        <v>Jennifer Rodrigues</v>
      </c>
      <c r="AI16" s="30">
        <f>COUNTIFS(H$40:H515,AH16,E$40:E515,"SAL")</f>
        <v>0</v>
      </c>
      <c r="AJ16" s="29">
        <f t="shared" si="2"/>
        <v>0</v>
      </c>
      <c r="AK16" s="29">
        <f t="shared" si="9"/>
        <v>15</v>
      </c>
      <c r="AL16" s="29">
        <f>COUNTIFS(H$40:H515,AH16,E$40:E515,"SAIL")</f>
        <v>0</v>
      </c>
      <c r="AM16" s="31">
        <f t="shared" si="3"/>
        <v>15</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COUNTIFS(H$39:H515,U17,K$39:K515,V$4)</f>
        <v>4</v>
      </c>
      <c r="W17" s="18">
        <f>COUNTIFS(H$39:H515,U17,K$39:K515,W$4)</f>
        <v>6</v>
      </c>
      <c r="X17" s="18">
        <f>COUNTIFS(H$39:H515,U17,K$39:K515,X$4)</f>
        <v>0</v>
      </c>
      <c r="Y17" s="19">
        <f t="shared" si="13"/>
        <v>10</v>
      </c>
      <c r="AA17" s="21" t="str">
        <f t="shared" si="14"/>
        <v>Juliana Guizoni</v>
      </c>
      <c r="AB17" s="37">
        <f>SUMIFS(J$40:J442,H$40:H442,AA17,E$40:E442,"SAL")</f>
        <v>0</v>
      </c>
      <c r="AC17" s="38">
        <f>SUMIFS(J$40:J516,H$40:H516,AA17,E$40:E516,"SAM")</f>
        <v>450</v>
      </c>
      <c r="AD17" s="38">
        <f>SUMIFS(J$40:J516,H$40:H516,AA17,E$40:E516,"NE")</f>
        <v>0</v>
      </c>
      <c r="AE17" s="38">
        <f>SUMIFS(J$40:J516,H$40:H516,AA17,E$40:E516,"SAIL")</f>
        <v>8368</v>
      </c>
      <c r="AF17" s="39">
        <f t="shared" si="15"/>
        <v>8818</v>
      </c>
      <c r="AH17" s="21" t="str">
        <f t="shared" si="16"/>
        <v>Juliana Guizoni</v>
      </c>
      <c r="AI17" s="37">
        <f>COUNTIFS(H$40:H516,AH17,E$40:E516,"SAL")</f>
        <v>0</v>
      </c>
      <c r="AJ17" s="38">
        <f t="shared" si="2"/>
        <v>2</v>
      </c>
      <c r="AK17" s="38">
        <f t="shared" si="9"/>
        <v>0</v>
      </c>
      <c r="AL17" s="38">
        <f>COUNTIFS(H$40:H516,AH17,E$40:E516,"SAIL")</f>
        <v>8</v>
      </c>
      <c r="AM17" s="39">
        <f t="shared" si="3"/>
        <v>10</v>
      </c>
      <c r="AO17" s="21" t="str">
        <f t="shared" si="12"/>
        <v>Juliana Guizoni</v>
      </c>
      <c r="AP17" s="140">
        <f t="shared" si="4"/>
        <v>0</v>
      </c>
      <c r="AQ17" s="139">
        <f t="shared" si="5"/>
        <v>20</v>
      </c>
      <c r="AR17" s="38">
        <f t="shared" si="6"/>
        <v>0</v>
      </c>
      <c r="AS17" s="38">
        <f t="shared" si="7"/>
        <v>196</v>
      </c>
      <c r="AT17" s="39">
        <f t="shared" si="8"/>
        <v>216</v>
      </c>
    </row>
    <row r="18" spans="2:46" ht="15.75" thickBot="1">
      <c r="B18" s="24" t="s">
        <v>76</v>
      </c>
      <c r="C18" s="73" t="s">
        <v>77</v>
      </c>
      <c r="D18" s="10"/>
      <c r="E18" s="74" t="s">
        <v>78</v>
      </c>
      <c r="F18" s="180"/>
      <c r="G18" s="11"/>
      <c r="K18" s="4"/>
      <c r="U18" s="87" t="str">
        <f>Cadastros!I25</f>
        <v>Vinicyos Maguns</v>
      </c>
      <c r="V18" s="86">
        <f>COUNTIFS(H$39:H516,U18,K$39:K516,V$4)</f>
        <v>11</v>
      </c>
      <c r="W18" s="14">
        <f>COUNTIFS(H$39:H516,U18,K$39:K516,W$4)</f>
        <v>0</v>
      </c>
      <c r="X18" s="14">
        <f>COUNTIFS(H$39:H516,U18,K$39:K516,X$4)</f>
        <v>0</v>
      </c>
      <c r="Y18" s="15">
        <f t="shared" si="13"/>
        <v>11</v>
      </c>
      <c r="AA18" s="22" t="str">
        <f t="shared" si="14"/>
        <v>Vinicyos Maguns</v>
      </c>
      <c r="AB18" s="30">
        <f>SUMIFS(J$40:J443,H$40:H443,AA18,E$40:E443,"SAL")</f>
        <v>0</v>
      </c>
      <c r="AC18" s="29">
        <f>SUMIFS(J$40:J517,H$40:H517,AA18,E$40:E517,"SAM")</f>
        <v>0</v>
      </c>
      <c r="AD18" s="29">
        <f>SUMIFS(J$40:J517,H$40:H517,AA18,E$40:E517,"NE")</f>
        <v>3464</v>
      </c>
      <c r="AE18" s="29">
        <f>SUMIFS(J$40:J517,H$40:H517,AA18,E$40:E517,"SAIL")</f>
        <v>0</v>
      </c>
      <c r="AF18" s="31">
        <f t="shared" si="15"/>
        <v>3464</v>
      </c>
      <c r="AH18" s="22" t="str">
        <f t="shared" si="16"/>
        <v>Vinicyos Maguns</v>
      </c>
      <c r="AI18" s="30">
        <f>COUNTIFS(H$40:H517,AH18,E$40:E517,"SAL")</f>
        <v>0</v>
      </c>
      <c r="AJ18" s="29">
        <f t="shared" si="2"/>
        <v>0</v>
      </c>
      <c r="AK18" s="29">
        <f t="shared" si="9"/>
        <v>11</v>
      </c>
      <c r="AL18" s="29">
        <f>COUNTIFS(H$40:H517,AH18,E$40:E517,"SAIL")</f>
        <v>0</v>
      </c>
      <c r="AM18" s="31">
        <f t="shared" si="3"/>
        <v>11</v>
      </c>
      <c r="AO18" s="22" t="str">
        <f t="shared" si="12"/>
        <v>Vinicyos Maguns</v>
      </c>
      <c r="AP18" s="30">
        <f t="shared" si="4"/>
        <v>0</v>
      </c>
      <c r="AQ18" s="29">
        <f t="shared" si="5"/>
        <v>0</v>
      </c>
      <c r="AR18" s="29">
        <f t="shared" si="6"/>
        <v>44</v>
      </c>
      <c r="AS18" s="29">
        <f t="shared" si="7"/>
        <v>0</v>
      </c>
      <c r="AT18" s="31">
        <f t="shared" si="8"/>
        <v>44</v>
      </c>
    </row>
    <row r="19" spans="2:46" ht="15" customHeight="1" thickBot="1">
      <c r="B19" s="23" t="e">
        <f>VLOOKUP(#REF!,B40:B343,1,0)</f>
        <v>#REF!</v>
      </c>
      <c r="C19" s="45" t="e">
        <f>VLOOKUP(F21,D40:D343,1,0)</f>
        <v>#N/A</v>
      </c>
      <c r="D19" s="10"/>
      <c r="E19" s="74" t="s">
        <v>79</v>
      </c>
      <c r="F19" s="5"/>
      <c r="G19" s="11"/>
      <c r="K19" s="5"/>
      <c r="U19" s="87" t="str">
        <f>Cadastros!I26</f>
        <v>Laís Andrade</v>
      </c>
      <c r="V19" s="85">
        <f>COUNTIFS(H$39:H517,U19,K$39:K517,V$4)</f>
        <v>1</v>
      </c>
      <c r="W19" s="18">
        <f>COUNTIFS(H$39:H517,U19,K$39:K517,W$4)</f>
        <v>0</v>
      </c>
      <c r="X19" s="18">
        <f>COUNTIFS(H$39:H517,U19,K$39:K517,X$4)</f>
        <v>0</v>
      </c>
      <c r="Y19" s="19">
        <f t="shared" si="13"/>
        <v>1</v>
      </c>
      <c r="AA19" s="21" t="str">
        <f t="shared" si="14"/>
        <v>Laís Andrade</v>
      </c>
      <c r="AB19" s="37">
        <f>SUMIFS(J$40:J444,H$40:H444,AA19,E$40:E444,"SAL")</f>
        <v>0</v>
      </c>
      <c r="AC19" s="38">
        <f>SUMIFS(J$40:J518,H$40:H518,AA19,E$40:E518,"SAM")</f>
        <v>0</v>
      </c>
      <c r="AD19" s="38">
        <f>SUMIFS(J$40:J518,H$40:H518,AA19,E$40:E518,"NE")</f>
        <v>0</v>
      </c>
      <c r="AE19" s="38">
        <f>SUMIFS(J$40:J518,H$40:H518,AA19,E$40:E518,"SAIL")</f>
        <v>0</v>
      </c>
      <c r="AF19" s="39">
        <f t="shared" si="15"/>
        <v>0</v>
      </c>
      <c r="AH19" s="21" t="str">
        <f t="shared" si="16"/>
        <v>Laís Andrade</v>
      </c>
      <c r="AI19" s="37">
        <f>COUNTIFS(H$40:H518,AH19,E$40:E518,"SAL")</f>
        <v>0</v>
      </c>
      <c r="AJ19" s="38">
        <f t="shared" si="2"/>
        <v>1</v>
      </c>
      <c r="AK19" s="38">
        <f t="shared" si="9"/>
        <v>0</v>
      </c>
      <c r="AL19" s="38">
        <f>COUNTIFS(H$40:H518,AH19,E$40:E518,"SAIL")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COUNTIFS(H$39:H518,U20,K$39:K518,V$4)</f>
        <v>0</v>
      </c>
      <c r="W20" s="14">
        <f>COUNTIFS(H$39:H518,U20,K$39:K518,W$4)</f>
        <v>0</v>
      </c>
      <c r="X20" s="14">
        <f>COUNTIFS(H$39:H518,U20,K$39:K518,X$4)</f>
        <v>0</v>
      </c>
      <c r="Y20" s="15">
        <f t="shared" si="13"/>
        <v>0</v>
      </c>
      <c r="AA20" s="22" t="str">
        <f t="shared" si="14"/>
        <v>Luciana Mercante</v>
      </c>
      <c r="AB20" s="30">
        <f>SUMIFS(J$40:J445,H$40:H445,AA20,E$40:E445,"SAL")</f>
        <v>0</v>
      </c>
      <c r="AC20" s="29">
        <f>SUMIFS(J$40:J519,H$40:H519,AA20,E$40:E519,"SAM")</f>
        <v>0</v>
      </c>
      <c r="AD20" s="29">
        <f>SUMIFS(J$40:J519,H$40:H519,AA20,E$40:E519,"NE")</f>
        <v>0</v>
      </c>
      <c r="AE20" s="29">
        <f>SUMIFS(J$40:J519,H$40:H519,AA20,E$40:E519,"SAIL")</f>
        <v>0</v>
      </c>
      <c r="AF20" s="31">
        <f t="shared" si="15"/>
        <v>0</v>
      </c>
      <c r="AH20" s="22" t="str">
        <f t="shared" si="16"/>
        <v>Luciana Mercante</v>
      </c>
      <c r="AI20" s="30">
        <f>COUNTIFS(H$40:H519,AH20,E$40:E519,"SAL")</f>
        <v>0</v>
      </c>
      <c r="AJ20" s="29">
        <f t="shared" si="2"/>
        <v>0</v>
      </c>
      <c r="AK20" s="29">
        <f t="shared" si="9"/>
        <v>0</v>
      </c>
      <c r="AL20" s="29">
        <f>COUNTIFS(H$40:H519,AH20,E$40:E519,"SAIL")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COUNTIFS(H$39:H519,U21,K$39:K519,V$4)</f>
        <v>0</v>
      </c>
      <c r="W21" s="18">
        <f>COUNTIFS(H$39:H519,U21,K$39:K519,W$4)</f>
        <v>3</v>
      </c>
      <c r="X21" s="18">
        <f>COUNTIFS(H$39:H519,U21,K$39:K519,X$4)</f>
        <v>0</v>
      </c>
      <c r="Y21" s="19">
        <f t="shared" si="13"/>
        <v>3</v>
      </c>
      <c r="AA21" s="21" t="str">
        <f t="shared" si="14"/>
        <v>Mateus Alves</v>
      </c>
      <c r="AB21" s="37">
        <f>SUMIFS(J$40:J446,H$40:H446,AA21,E$40:E446,"SAL")</f>
        <v>0</v>
      </c>
      <c r="AC21" s="38">
        <f>SUMIFS(J$40:J520,H$40:H520,AA21,E$40:E520,"SAM")</f>
        <v>2963</v>
      </c>
      <c r="AD21" s="38">
        <f>SUMIFS(J$40:J520,H$40:H520,AA21,E$40:E520,"NE")</f>
        <v>0</v>
      </c>
      <c r="AE21" s="38">
        <f>SUMIFS(J$40:J520,H$40:H520,AA21,E$40:E520,"SAIL")</f>
        <v>0</v>
      </c>
      <c r="AF21" s="39">
        <f t="shared" si="15"/>
        <v>2963</v>
      </c>
      <c r="AH21" s="21" t="str">
        <f t="shared" si="16"/>
        <v>Mateus Alves</v>
      </c>
      <c r="AI21" s="37">
        <f>COUNTIFS(H$40:H520,AH21,E$40:E520,"SAL")</f>
        <v>0</v>
      </c>
      <c r="AJ21" s="38">
        <f t="shared" si="2"/>
        <v>3</v>
      </c>
      <c r="AK21" s="38">
        <f t="shared" si="9"/>
        <v>0</v>
      </c>
      <c r="AL21" s="38">
        <f>COUNTIFS(H$40:H520,AH21,E$40:E520,"SAIL")</f>
        <v>0</v>
      </c>
      <c r="AM21" s="39">
        <f t="shared" si="3"/>
        <v>3</v>
      </c>
      <c r="AO21" s="21" t="str">
        <f t="shared" si="12"/>
        <v>Mateus Alves</v>
      </c>
      <c r="AP21" s="140">
        <f t="shared" si="4"/>
        <v>0</v>
      </c>
      <c r="AQ21" s="139">
        <f t="shared" si="5"/>
        <v>79.5</v>
      </c>
      <c r="AR21" s="38">
        <f t="shared" si="6"/>
        <v>0</v>
      </c>
      <c r="AS21" s="38">
        <f t="shared" si="7"/>
        <v>0</v>
      </c>
      <c r="AT21" s="39">
        <f t="shared" si="8"/>
        <v>79.5</v>
      </c>
    </row>
    <row r="22" spans="2:46" ht="15.75" thickBot="1">
      <c r="D22" s="10"/>
      <c r="E22" s="74" t="s">
        <v>81</v>
      </c>
      <c r="F22" s="172"/>
      <c r="G22" s="11"/>
      <c r="K22" s="5"/>
      <c r="U22" s="87" t="str">
        <f>Cadastros!I29</f>
        <v>Patricia Costa</v>
      </c>
      <c r="V22" s="86">
        <f>COUNTIFS(H$39:H520,U22,K$39:K520,V$4)</f>
        <v>0</v>
      </c>
      <c r="W22" s="14">
        <f>COUNTIFS(H$39:H520,U22,K$39:K520,W$4)</f>
        <v>0</v>
      </c>
      <c r="X22" s="14">
        <f>COUNTIFS(H$39:H520,U22,K$39:K520,X$4)</f>
        <v>0</v>
      </c>
      <c r="Y22" s="15">
        <f t="shared" si="13"/>
        <v>0</v>
      </c>
      <c r="AA22" s="22" t="str">
        <f t="shared" si="14"/>
        <v>Patricia Costa</v>
      </c>
      <c r="AB22" s="30">
        <f>SUMIFS(J$40:J447,H$40:H447,AA22,E$40:E447,"SAL")</f>
        <v>0</v>
      </c>
      <c r="AC22" s="29">
        <f>SUMIFS(J$40:J521,H$40:H521,AA22,E$40:E521,"SAM")</f>
        <v>0</v>
      </c>
      <c r="AD22" s="29">
        <f>SUMIFS(J$40:J521,H$40:H521,AA22,E$40:E521,"NE")</f>
        <v>0</v>
      </c>
      <c r="AE22" s="29">
        <f>SUMIFS(J$40:J521,H$40:H521,AA22,E$40:E521,"SAIL")</f>
        <v>0</v>
      </c>
      <c r="AF22" s="31">
        <f t="shared" si="15"/>
        <v>0</v>
      </c>
      <c r="AH22" s="22" t="str">
        <f t="shared" si="16"/>
        <v>Patricia Costa</v>
      </c>
      <c r="AI22" s="30">
        <f>COUNTIFS(H$40:H521,AH22,E$40:E521,"SAL")</f>
        <v>0</v>
      </c>
      <c r="AJ22" s="29">
        <f t="shared" si="2"/>
        <v>0</v>
      </c>
      <c r="AK22" s="29">
        <f t="shared" si="9"/>
        <v>0</v>
      </c>
      <c r="AL22" s="29">
        <f>COUNTIFS(H$40:H521,AH22,E$40:E521,"SAIL")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COUNTIFS(H$39:H521,U23,K$39:K521,V$4)</f>
        <v>4</v>
      </c>
      <c r="W23" s="18">
        <f>COUNTIFS(H$39:H521,U23,K$39:K521,W$4)</f>
        <v>0</v>
      </c>
      <c r="X23" s="18">
        <f>COUNTIFS(H$39:H521,U23,K$39:K521,X$4)</f>
        <v>0</v>
      </c>
      <c r="Y23" s="19">
        <f t="shared" si="13"/>
        <v>4</v>
      </c>
      <c r="AA23" s="21" t="str">
        <f t="shared" si="14"/>
        <v>Rafaela Ribeiro</v>
      </c>
      <c r="AB23" s="37">
        <f>SUMIFS(J$40:J448,H$40:H448,AA23,E$40:E448,"SAL")</f>
        <v>1672</v>
      </c>
      <c r="AC23" s="38">
        <f>SUMIFS(J$40:J522,H$40:H522,AA23,E$40:E522,"SAM")</f>
        <v>0</v>
      </c>
      <c r="AD23" s="38">
        <f>SUMIFS(J$40:J522,H$40:H522,AA23,E$40:E522,"NE")</f>
        <v>850</v>
      </c>
      <c r="AE23" s="38">
        <f>SUMIFS(J$40:J522,H$40:H522,AA23,E$40:E522,"SAIL")</f>
        <v>0</v>
      </c>
      <c r="AF23" s="39">
        <f t="shared" si="15"/>
        <v>2522</v>
      </c>
      <c r="AH23" s="21" t="str">
        <f t="shared" si="16"/>
        <v>Rafaela Ribeiro</v>
      </c>
      <c r="AI23" s="37">
        <f>COUNTIFS(H$40:H522,AH23,E$40:E522,"SAL")</f>
        <v>1</v>
      </c>
      <c r="AJ23" s="38">
        <f t="shared" si="2"/>
        <v>0</v>
      </c>
      <c r="AK23" s="38">
        <f t="shared" si="9"/>
        <v>3</v>
      </c>
      <c r="AL23" s="38">
        <f>COUNTIFS(H$40:H522,AH23,E$40:E522,"SAIL")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COUNTIFS(H$39:H522,U24,K$39:K522,V$4)</f>
        <v>0</v>
      </c>
      <c r="W24" s="14">
        <f>COUNTIFS(H$39:H522,U24,K$39:K522,W$4)</f>
        <v>2</v>
      </c>
      <c r="X24" s="14">
        <f>COUNTIFS(H$39:H522,U24,K$39:K522,X$4)</f>
        <v>0</v>
      </c>
      <c r="Y24" s="15">
        <f t="shared" si="13"/>
        <v>2</v>
      </c>
      <c r="AA24" s="22" t="str">
        <f t="shared" si="14"/>
        <v>Renan Maiato</v>
      </c>
      <c r="AB24" s="30">
        <f>SUMIFS(J$40:J449,H$40:H449,AA24,E$40:E449,"SAL")</f>
        <v>0</v>
      </c>
      <c r="AC24" s="29">
        <f>SUMIFS(J$40:J523,H$40:H523,AA24,E$40:E523,"SAM")</f>
        <v>1415</v>
      </c>
      <c r="AD24" s="29">
        <f>SUMIFS(J$40:J523,H$40:H523,AA24,E$40:E523,"NE")</f>
        <v>0</v>
      </c>
      <c r="AE24" s="29">
        <f>SUMIFS(J$40:J523,H$40:H523,AA24,E$40:E523,"SAIL")</f>
        <v>5250</v>
      </c>
      <c r="AF24" s="31">
        <f t="shared" si="15"/>
        <v>6665</v>
      </c>
      <c r="AH24" s="22" t="str">
        <f t="shared" si="16"/>
        <v>Renan Maiato</v>
      </c>
      <c r="AI24" s="30">
        <f>COUNTIFS(H$40:H523,AH24,E$40:E523,"SAL")</f>
        <v>0</v>
      </c>
      <c r="AJ24" s="29">
        <f t="shared" si="2"/>
        <v>1</v>
      </c>
      <c r="AK24" s="29">
        <f t="shared" si="9"/>
        <v>0</v>
      </c>
      <c r="AL24" s="29">
        <f>COUNTIFS(H$40:H523,AH24,E$40:E523,"SAIL")</f>
        <v>1</v>
      </c>
      <c r="AM24" s="31">
        <f t="shared" si="3"/>
        <v>2</v>
      </c>
      <c r="AO24" s="22" t="str">
        <f t="shared" si="12"/>
        <v>Renan Maiato</v>
      </c>
      <c r="AP24" s="30">
        <f t="shared" si="4"/>
        <v>0</v>
      </c>
      <c r="AQ24" s="29">
        <f t="shared" si="5"/>
        <v>20</v>
      </c>
      <c r="AR24" s="29">
        <f t="shared" si="6"/>
        <v>0</v>
      </c>
      <c r="AS24" s="29">
        <f t="shared" si="7"/>
        <v>26</v>
      </c>
      <c r="AT24" s="31">
        <f t="shared" si="8"/>
        <v>46</v>
      </c>
    </row>
    <row r="25" spans="2:46" ht="15.75" thickBot="1">
      <c r="D25" s="10"/>
      <c r="E25" s="74" t="s">
        <v>84</v>
      </c>
      <c r="F25" s="172"/>
      <c r="G25" s="11"/>
      <c r="K25" s="5"/>
      <c r="U25" s="87" t="str">
        <f>Cadastros!I32</f>
        <v>Sabrine Neves</v>
      </c>
      <c r="V25" s="85">
        <f>COUNTIFS(H$39:H523,U25,K$39:K523,V$4)</f>
        <v>0</v>
      </c>
      <c r="W25" s="18">
        <f>COUNTIFS(H$39:H523,U25,K$39:K523,W$4)</f>
        <v>0</v>
      </c>
      <c r="X25" s="18">
        <f>COUNTIFS(H$39:H523,U25,K$39:K523,X$4)</f>
        <v>0</v>
      </c>
      <c r="Y25" s="19">
        <f t="shared" si="13"/>
        <v>0</v>
      </c>
      <c r="AA25" s="21" t="str">
        <f t="shared" si="14"/>
        <v>Sabrine Neves</v>
      </c>
      <c r="AB25" s="37">
        <f>SUMIFS(J$40:J450,H$40:H450,AA25,E$40:E450,"SAL")</f>
        <v>0</v>
      </c>
      <c r="AC25" s="38">
        <f>SUMIFS(J$40:J524,H$40:H524,AA25,E$40:E524,"SAM")</f>
        <v>0</v>
      </c>
      <c r="AD25" s="38">
        <f>SUMIFS(J$40:J524,H$40:H524,AA25,E$40:E524,"NE")</f>
        <v>0</v>
      </c>
      <c r="AE25" s="38">
        <f>SUMIFS(J$40:J524,H$40:H524,AA25,E$40:E524,"SAIL")</f>
        <v>0</v>
      </c>
      <c r="AF25" s="39">
        <f t="shared" si="15"/>
        <v>0</v>
      </c>
      <c r="AH25" s="21" t="str">
        <f t="shared" si="16"/>
        <v>Sabrine Neves</v>
      </c>
      <c r="AI25" s="37">
        <f>COUNTIFS(H$40:H524,AH25,E$40:E524,"SAL")</f>
        <v>0</v>
      </c>
      <c r="AJ25" s="38">
        <f t="shared" si="2"/>
        <v>0</v>
      </c>
      <c r="AK25" s="38">
        <f t="shared" si="9"/>
        <v>0</v>
      </c>
      <c r="AL25" s="38">
        <f>COUNTIFS(H$40:H524,AH25,E$40:E524,"SAIL")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172"/>
      <c r="G26" s="11"/>
      <c r="K26" s="5"/>
      <c r="U26" s="87" t="str">
        <f>Cadastros!I33</f>
        <v>Victor Ferreira</v>
      </c>
      <c r="V26" s="86">
        <f>COUNTIFS(H$39:H524,U26,K$39:K524,V$4)</f>
        <v>0</v>
      </c>
      <c r="W26" s="14">
        <f>COUNTIFS(H$39:H524,U26,K$39:K524,W$4)</f>
        <v>0</v>
      </c>
      <c r="X26" s="14">
        <f>COUNTIFS(H$39:H524,U26,K$39:K524,X$4)</f>
        <v>0</v>
      </c>
      <c r="Y26" s="15">
        <f t="shared" si="13"/>
        <v>0</v>
      </c>
      <c r="AA26" s="22" t="str">
        <f t="shared" si="14"/>
        <v>Victor Ferreira</v>
      </c>
      <c r="AB26" s="30">
        <f>SUMIFS(J$40:J451,H$40:H451,AA26,E$40:E451,"SAL")</f>
        <v>0</v>
      </c>
      <c r="AC26" s="29">
        <f>SUMIFS(J$40:J525,H$40:H525,AA26,E$40:E525,"SAM")</f>
        <v>0</v>
      </c>
      <c r="AD26" s="29">
        <f>SUMIFS(J$40:J525,H$40:H525,AA26,E$40:E525,"NE")</f>
        <v>0</v>
      </c>
      <c r="AE26" s="29">
        <f>SUMIFS(J$40:J525,H$40:H525,AA26,E$40:E525,"SAIL")</f>
        <v>0</v>
      </c>
      <c r="AF26" s="31">
        <f t="shared" si="15"/>
        <v>0</v>
      </c>
      <c r="AH26" s="22" t="str">
        <f t="shared" si="16"/>
        <v>Victor Ferreira</v>
      </c>
      <c r="AI26" s="30">
        <f>COUNTIFS(H$40:H525,AH26,E$40:E525,"SAL")</f>
        <v>0</v>
      </c>
      <c r="AJ26" s="29">
        <f t="shared" si="2"/>
        <v>0</v>
      </c>
      <c r="AK26" s="29">
        <f t="shared" si="9"/>
        <v>0</v>
      </c>
      <c r="AL26" s="29">
        <f>COUNTIFS(H$40:H525,AH26,E$40:E525,"SAIL")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COUNTIFS(H$39:H525,U27,K$39:K525,V$4)</f>
        <v>22</v>
      </c>
      <c r="W27" s="18">
        <f>COUNTIFS(H$39:H525,U27,K$39:K525,W$4)</f>
        <v>0</v>
      </c>
      <c r="X27" s="18">
        <f>COUNTIFS(H$39:H525,U27,K$39:K525,X$4)</f>
        <v>0</v>
      </c>
      <c r="Y27" s="19">
        <f t="shared" si="13"/>
        <v>22</v>
      </c>
      <c r="AA27" s="21" t="str">
        <f t="shared" si="14"/>
        <v>Erick Vicente</v>
      </c>
      <c r="AB27" s="37">
        <f>SUMIFS(J$40:J452,H$40:H452,AA27,E$40:E452,"SAL")</f>
        <v>0</v>
      </c>
      <c r="AC27" s="38">
        <f>SUMIFS(J$40:J526,H$40:H526,AA27,E$40:E526,"SAM")</f>
        <v>1040</v>
      </c>
      <c r="AD27" s="38">
        <f>SUMIFS(J$40:J526,H$40:H526,AA27,E$40:E526,"NE")</f>
        <v>3141</v>
      </c>
      <c r="AE27" s="38">
        <f>SUMIFS(J$40:J526,H$40:H526,AA27,E$40:E526,"SAIL")</f>
        <v>0</v>
      </c>
      <c r="AF27" s="39">
        <f t="shared" si="15"/>
        <v>4181</v>
      </c>
      <c r="AH27" s="21" t="str">
        <f t="shared" si="16"/>
        <v>Erick Vicente</v>
      </c>
      <c r="AI27" s="37">
        <f>COUNTIFS(H$40:H526,AH27,E$40:E526,"SAL")</f>
        <v>0</v>
      </c>
      <c r="AJ27" s="38">
        <f t="shared" si="2"/>
        <v>3</v>
      </c>
      <c r="AK27" s="38">
        <f t="shared" si="9"/>
        <v>19</v>
      </c>
      <c r="AL27" s="38">
        <f>COUNTIFS(H$40:H526,AH27,E$40:E526,"SAIL")</f>
        <v>0</v>
      </c>
      <c r="AM27" s="39">
        <f t="shared" si="3"/>
        <v>22</v>
      </c>
      <c r="AO27" s="21" t="str">
        <f t="shared" si="12"/>
        <v>Erick Vicente</v>
      </c>
      <c r="AP27" s="140">
        <f t="shared" si="4"/>
        <v>0</v>
      </c>
      <c r="AQ27" s="139">
        <f t="shared" si="5"/>
        <v>30</v>
      </c>
      <c r="AR27" s="38">
        <f t="shared" si="6"/>
        <v>57</v>
      </c>
      <c r="AS27" s="38">
        <f t="shared" si="7"/>
        <v>0</v>
      </c>
      <c r="AT27" s="39">
        <f t="shared" si="8"/>
        <v>87</v>
      </c>
    </row>
    <row r="28" spans="2:46" ht="15.75" thickBot="1">
      <c r="D28" s="10"/>
      <c r="E28" s="74" t="s">
        <v>25</v>
      </c>
      <c r="F28" s="172"/>
      <c r="G28" s="11"/>
      <c r="K28" s="5"/>
      <c r="U28" s="87" t="str">
        <f>Cadastros!I35</f>
        <v>Rafaela Sampaio</v>
      </c>
      <c r="V28" s="86">
        <f>COUNTIFS(H$39:H526,U28,K$39:K526,V$4)</f>
        <v>0</v>
      </c>
      <c r="W28" s="14">
        <f>COUNTIFS(H$39:H526,U28,K$39:K526,W$4)</f>
        <v>0</v>
      </c>
      <c r="X28" s="14">
        <f>COUNTIFS(H$39:H526,U28,K$39:K526,X$4)</f>
        <v>0</v>
      </c>
      <c r="Y28" s="15">
        <f t="shared" si="13"/>
        <v>0</v>
      </c>
      <c r="AA28" s="22" t="str">
        <f t="shared" si="14"/>
        <v>Rafaela Sampaio</v>
      </c>
      <c r="AB28" s="30">
        <f>SUMIFS(J$40:J453,H$40:H453,AA28,E$40:E453,"SAL")</f>
        <v>0</v>
      </c>
      <c r="AC28" s="29">
        <f>SUMIFS(J$40:J527,H$40:H527,AA28,E$40:E527,"SAM")</f>
        <v>0</v>
      </c>
      <c r="AD28" s="29">
        <f>SUMIFS(J$40:J527,H$40:H527,AA28,E$40:E527,"NE")</f>
        <v>0</v>
      </c>
      <c r="AE28" s="29">
        <f>SUMIFS(J$40:J527,H$40:H527,AA28,E$40:E527,"SAIL")</f>
        <v>0</v>
      </c>
      <c r="AF28" s="31">
        <f t="shared" si="15"/>
        <v>0</v>
      </c>
      <c r="AH28" s="22" t="str">
        <f t="shared" si="16"/>
        <v>Rafaela Sampaio</v>
      </c>
      <c r="AI28" s="30">
        <f>COUNTIFS(H$40:H527,AH28,E$40:E527,"SAL")</f>
        <v>0</v>
      </c>
      <c r="AJ28" s="29">
        <f t="shared" si="2"/>
        <v>0</v>
      </c>
      <c r="AK28" s="29">
        <f t="shared" si="9"/>
        <v>0</v>
      </c>
      <c r="AL28" s="29">
        <f>COUNTIFS(H$40:H527,AH28,E$40:E527,"SAIL")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159"/>
      <c r="G29" s="11"/>
      <c r="K29" s="5"/>
      <c r="U29" s="87" t="str">
        <f>Cadastros!I36</f>
        <v>Laysa Gabriela</v>
      </c>
      <c r="V29" s="97">
        <f>COUNTIFS(H$39:H527,U29,K$39:K527,V$4)</f>
        <v>17</v>
      </c>
      <c r="W29" s="98">
        <f>COUNTIFS(H$39:H527,U29,K$39:K527,W$4)</f>
        <v>0</v>
      </c>
      <c r="X29" s="98">
        <f>COUNTIFS(H$39:H527,U29,K$39:K527,X$4)</f>
        <v>0</v>
      </c>
      <c r="Y29" s="99">
        <f t="shared" si="13"/>
        <v>17</v>
      </c>
      <c r="AA29" s="89" t="str">
        <f t="shared" si="14"/>
        <v>Laysa Gabriela</v>
      </c>
      <c r="AB29" s="90">
        <f>SUMIFS(J$40:J454,H$40:H454,AA29,E$40:E454,"SAL")</f>
        <v>3076</v>
      </c>
      <c r="AC29" s="91">
        <f>SUMIFS(J$40:J528,H$40:H528,AA29,E$40:E528,"SAM")</f>
        <v>281</v>
      </c>
      <c r="AD29" s="91">
        <f>SUMIFS(J$40:J528,H$40:H528,AA29,E$40:E528,"NE")</f>
        <v>3622</v>
      </c>
      <c r="AE29" s="91">
        <f>SUMIFS(J$40:J528,H$40:H528,AA29,E$40:E528,"SAIL")</f>
        <v>0</v>
      </c>
      <c r="AF29" s="92">
        <f t="shared" si="15"/>
        <v>6979</v>
      </c>
      <c r="AH29" s="89" t="str">
        <f t="shared" si="16"/>
        <v>Laysa Gabriela</v>
      </c>
      <c r="AI29" s="90">
        <f>COUNTIFS(H$40:H528,AH29,E$40:E528,"SAL")</f>
        <v>3</v>
      </c>
      <c r="AJ29" s="91">
        <f t="shared" si="2"/>
        <v>1</v>
      </c>
      <c r="AK29" s="91">
        <f t="shared" si="9"/>
        <v>13</v>
      </c>
      <c r="AL29" s="91">
        <f>COUNTIFS(H$40:H528,AH29,E$40:E528,"SAIL")</f>
        <v>0</v>
      </c>
      <c r="AM29" s="92">
        <f t="shared" si="3"/>
        <v>17</v>
      </c>
      <c r="AO29" s="89" t="str">
        <f t="shared" si="12"/>
        <v>Laysa Gabriela</v>
      </c>
      <c r="AP29" s="141">
        <f t="shared" si="4"/>
        <v>30</v>
      </c>
      <c r="AQ29" s="142">
        <f t="shared" si="5"/>
        <v>11.5</v>
      </c>
      <c r="AR29" s="142">
        <f t="shared" si="6"/>
        <v>52</v>
      </c>
      <c r="AS29" s="91">
        <f t="shared" si="7"/>
        <v>0</v>
      </c>
      <c r="AT29" s="92">
        <f t="shared" si="8"/>
        <v>93.5</v>
      </c>
    </row>
    <row r="30" spans="2:46" ht="15.75" thickBot="1">
      <c r="D30" s="10"/>
      <c r="E30" s="74" t="s">
        <v>87</v>
      </c>
      <c r="F30" s="172"/>
      <c r="G30" s="11"/>
      <c r="K30" s="5"/>
      <c r="U30" s="62" t="s">
        <v>88</v>
      </c>
      <c r="V30" s="93">
        <f>SUM(V5:V29)</f>
        <v>87</v>
      </c>
      <c r="W30" s="20">
        <f>SUM(W5:W29)</f>
        <v>12</v>
      </c>
      <c r="X30" s="20">
        <f>SUM(X5:X29)</f>
        <v>1</v>
      </c>
      <c r="Y30" s="100">
        <f>SUM(Y5:Y29)</f>
        <v>100</v>
      </c>
      <c r="AA30" s="62" t="s">
        <v>88</v>
      </c>
      <c r="AB30" s="79">
        <f>SUM(AB5:AB29)</f>
        <v>7160</v>
      </c>
      <c r="AC30" s="80">
        <f>SUM(AC5:AC29)</f>
        <v>7100</v>
      </c>
      <c r="AD30" s="80">
        <f>SUM(AD5:AD29)</f>
        <v>13343</v>
      </c>
      <c r="AE30" s="81">
        <f>SUM(AE5:AE29)</f>
        <v>35155</v>
      </c>
      <c r="AF30" s="62">
        <f>SUM(AB30:AE30)</f>
        <v>62758</v>
      </c>
      <c r="AH30" s="62" t="s">
        <v>88</v>
      </c>
      <c r="AI30" s="79">
        <f>SUM(AI5:AI29)</f>
        <v>7</v>
      </c>
      <c r="AJ30" s="80">
        <f>SUM(AJ5:AJ29)</f>
        <v>20</v>
      </c>
      <c r="AK30" s="80">
        <f>SUM(AK5:AK29)</f>
        <v>62</v>
      </c>
      <c r="AL30" s="81">
        <f>SUM(AL5:AL29)</f>
        <v>12</v>
      </c>
      <c r="AM30" s="62">
        <f>SUM(AI30:AL30)</f>
        <v>101</v>
      </c>
      <c r="AO30" s="62" t="s">
        <v>88</v>
      </c>
      <c r="AP30" s="79">
        <f>SUM(AP5:AP29)</f>
        <v>68</v>
      </c>
      <c r="AQ30" s="80">
        <f>SUM(AQ5:AQ29)</f>
        <v>243.5</v>
      </c>
      <c r="AR30" s="80">
        <f>SUM(AR5:AR29)</f>
        <v>167</v>
      </c>
      <c r="AS30" s="81">
        <f>SUM(AS5:AS29)</f>
        <v>502</v>
      </c>
      <c r="AT30" s="62">
        <f>SUM(AT5:AT29)</f>
        <v>980.5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178"/>
      <c r="C40" s="4"/>
      <c r="D40" s="5"/>
      <c r="E40" s="5"/>
      <c r="F40" s="5"/>
      <c r="G40" s="136"/>
      <c r="H40" s="5"/>
      <c r="I40" s="5"/>
      <c r="J40" s="5"/>
      <c r="K40" s="5"/>
      <c r="L40" s="5"/>
      <c r="M40" s="5"/>
      <c r="N40" s="5"/>
      <c r="O40" s="5"/>
      <c r="P40" s="5"/>
      <c r="Q40" s="5"/>
      <c r="R40" s="5"/>
    </row>
    <row r="41" spans="1:18">
      <c r="A41" s="180">
        <v>46136</v>
      </c>
      <c r="B41" s="5">
        <v>130339</v>
      </c>
      <c r="C41" s="4">
        <v>46146</v>
      </c>
      <c r="D41" s="159">
        <v>101555</v>
      </c>
      <c r="E41" s="172" t="s">
        <v>16</v>
      </c>
      <c r="F41" s="172" t="s">
        <v>38</v>
      </c>
      <c r="G41" s="168" t="s">
        <v>408</v>
      </c>
      <c r="H41" s="172" t="s">
        <v>67</v>
      </c>
      <c r="I41" s="172" t="s">
        <v>45</v>
      </c>
      <c r="J41" s="5">
        <v>168</v>
      </c>
      <c r="K41" s="172" t="s">
        <v>10</v>
      </c>
      <c r="L41" s="159">
        <v>0</v>
      </c>
      <c r="M41" s="172" t="s">
        <v>33</v>
      </c>
      <c r="N41" s="172" t="s">
        <v>33</v>
      </c>
      <c r="O41" s="5">
        <v>6</v>
      </c>
      <c r="P41" s="5" t="s">
        <v>14</v>
      </c>
      <c r="Q41" s="5">
        <v>3</v>
      </c>
      <c r="R41" s="5">
        <v>3</v>
      </c>
    </row>
    <row r="42" spans="1:18">
      <c r="A42" s="180">
        <v>46142</v>
      </c>
      <c r="B42" s="5">
        <v>130511</v>
      </c>
      <c r="C42" s="4">
        <v>46142</v>
      </c>
      <c r="D42" s="159">
        <v>101542</v>
      </c>
      <c r="E42" s="172" t="s">
        <v>16</v>
      </c>
      <c r="F42" s="172" t="s">
        <v>38</v>
      </c>
      <c r="G42" s="168" t="s">
        <v>409</v>
      </c>
      <c r="H42" s="172" t="s">
        <v>67</v>
      </c>
      <c r="I42" s="172" t="s">
        <v>45</v>
      </c>
      <c r="J42" s="5">
        <v>77</v>
      </c>
      <c r="K42" s="172" t="s">
        <v>10</v>
      </c>
      <c r="L42" s="159">
        <v>0</v>
      </c>
      <c r="M42" s="172" t="s">
        <v>33</v>
      </c>
      <c r="N42" s="172" t="s">
        <v>33</v>
      </c>
      <c r="O42" s="5">
        <v>0</v>
      </c>
      <c r="P42" s="5" t="s">
        <v>14</v>
      </c>
      <c r="Q42" s="5">
        <v>3</v>
      </c>
      <c r="R42" s="5">
        <v>3</v>
      </c>
    </row>
    <row r="43" spans="1:18">
      <c r="A43" s="180">
        <v>46141</v>
      </c>
      <c r="B43" s="5">
        <v>114858</v>
      </c>
      <c r="C43" s="4">
        <v>46172</v>
      </c>
      <c r="D43" s="159">
        <v>101525</v>
      </c>
      <c r="E43" s="172" t="s">
        <v>18</v>
      </c>
      <c r="F43" s="172" t="s">
        <v>38</v>
      </c>
      <c r="G43" s="168" t="s">
        <v>410</v>
      </c>
      <c r="H43" s="172" t="s">
        <v>67</v>
      </c>
      <c r="I43" s="172" t="s">
        <v>43</v>
      </c>
      <c r="J43" s="5">
        <v>597</v>
      </c>
      <c r="K43" s="172" t="s">
        <v>10</v>
      </c>
      <c r="L43" s="159">
        <v>2</v>
      </c>
      <c r="M43" s="172" t="s">
        <v>33</v>
      </c>
      <c r="N43" s="172" t="s">
        <v>33</v>
      </c>
      <c r="O43" s="5">
        <v>22</v>
      </c>
      <c r="P43" s="5" t="s">
        <v>14</v>
      </c>
      <c r="Q43" s="5">
        <v>10</v>
      </c>
      <c r="R43" s="5">
        <v>3</v>
      </c>
    </row>
    <row r="44" spans="1:18">
      <c r="A44" s="180">
        <v>46141</v>
      </c>
      <c r="B44" s="5">
        <v>130484</v>
      </c>
      <c r="C44" s="4">
        <v>38836</v>
      </c>
      <c r="D44" s="159">
        <v>101521</v>
      </c>
      <c r="E44" s="172" t="s">
        <v>18</v>
      </c>
      <c r="F44" s="172" t="s">
        <v>34</v>
      </c>
      <c r="G44" s="168" t="s">
        <v>411</v>
      </c>
      <c r="H44" s="172" t="s">
        <v>59</v>
      </c>
      <c r="I44" s="172" t="s">
        <v>37</v>
      </c>
      <c r="J44" s="5"/>
      <c r="K44" s="172" t="s">
        <v>10</v>
      </c>
      <c r="L44" s="159"/>
      <c r="M44" s="172"/>
      <c r="N44" s="172"/>
      <c r="O44" s="5">
        <v>-7305</v>
      </c>
      <c r="P44" s="5" t="s">
        <v>36</v>
      </c>
      <c r="Q44" s="5">
        <v>0</v>
      </c>
      <c r="R44" s="5">
        <v>3</v>
      </c>
    </row>
    <row r="45" spans="1:18">
      <c r="A45" s="180">
        <v>46141</v>
      </c>
      <c r="B45" s="5">
        <v>130476</v>
      </c>
      <c r="C45" s="4">
        <v>46141</v>
      </c>
      <c r="D45" s="159">
        <v>101513</v>
      </c>
      <c r="E45" s="172" t="s">
        <v>18</v>
      </c>
      <c r="F45" s="172" t="s">
        <v>38</v>
      </c>
      <c r="G45" t="s">
        <v>412</v>
      </c>
      <c r="H45" s="172" t="s">
        <v>39</v>
      </c>
      <c r="I45" s="172" t="s">
        <v>45</v>
      </c>
      <c r="J45" s="5">
        <v>40</v>
      </c>
      <c r="K45" s="172" t="s">
        <v>10</v>
      </c>
      <c r="L45" s="159">
        <v>0</v>
      </c>
      <c r="M45" s="172" t="s">
        <v>33</v>
      </c>
      <c r="N45" s="172" t="s">
        <v>33</v>
      </c>
      <c r="O45" s="5">
        <v>0</v>
      </c>
      <c r="P45" s="5" t="s">
        <v>15</v>
      </c>
      <c r="Q45" s="5">
        <v>8</v>
      </c>
      <c r="R45" s="5">
        <v>3</v>
      </c>
    </row>
    <row r="46" spans="1:18">
      <c r="A46" s="180">
        <v>46141</v>
      </c>
      <c r="B46" s="5">
        <v>130449</v>
      </c>
      <c r="C46" s="4">
        <v>46141</v>
      </c>
      <c r="D46" s="159">
        <v>101512</v>
      </c>
      <c r="E46" s="172" t="s">
        <v>16</v>
      </c>
      <c r="F46" s="172" t="s">
        <v>34</v>
      </c>
      <c r="G46" t="s">
        <v>413</v>
      </c>
      <c r="H46" s="172" t="s">
        <v>69</v>
      </c>
      <c r="I46" s="172" t="s">
        <v>28</v>
      </c>
      <c r="J46" s="5">
        <v>130</v>
      </c>
      <c r="K46" s="172" t="s">
        <v>10</v>
      </c>
      <c r="L46" s="159">
        <v>0</v>
      </c>
      <c r="M46" s="172" t="s">
        <v>33</v>
      </c>
      <c r="N46" s="172" t="s">
        <v>33</v>
      </c>
      <c r="O46" s="5">
        <v>0</v>
      </c>
      <c r="P46" s="5" t="s">
        <v>8</v>
      </c>
      <c r="Q46" s="5">
        <v>4</v>
      </c>
      <c r="R46" s="5">
        <v>3</v>
      </c>
    </row>
    <row r="47" spans="1:18">
      <c r="A47" s="180">
        <v>46141</v>
      </c>
      <c r="B47" s="5">
        <v>129874</v>
      </c>
      <c r="C47" s="4">
        <v>46141</v>
      </c>
      <c r="D47" s="159">
        <v>101502</v>
      </c>
      <c r="E47" s="172" t="s">
        <v>16</v>
      </c>
      <c r="F47" s="172" t="s">
        <v>34</v>
      </c>
      <c r="G47" t="s">
        <v>414</v>
      </c>
      <c r="H47" s="172" t="s">
        <v>69</v>
      </c>
      <c r="I47" s="172" t="s">
        <v>28</v>
      </c>
      <c r="J47" s="5">
        <v>719</v>
      </c>
      <c r="K47" s="172" t="s">
        <v>10</v>
      </c>
      <c r="L47" s="159">
        <v>0</v>
      </c>
      <c r="M47" s="172" t="s">
        <v>33</v>
      </c>
      <c r="N47" s="172" t="s">
        <v>33</v>
      </c>
      <c r="O47" s="5">
        <v>0</v>
      </c>
      <c r="P47" s="5" t="s">
        <v>8</v>
      </c>
      <c r="Q47" s="5">
        <v>4</v>
      </c>
      <c r="R47" s="5">
        <v>3</v>
      </c>
    </row>
    <row r="48" spans="1:18">
      <c r="A48" s="180">
        <v>46141</v>
      </c>
      <c r="B48" s="5">
        <v>127844</v>
      </c>
      <c r="C48" s="4">
        <v>46141</v>
      </c>
      <c r="D48" s="159">
        <v>101501</v>
      </c>
      <c r="E48" s="172" t="s">
        <v>16</v>
      </c>
      <c r="F48" s="172" t="s">
        <v>34</v>
      </c>
      <c r="G48" t="s">
        <v>415</v>
      </c>
      <c r="H48" s="172" t="s">
        <v>56</v>
      </c>
      <c r="I48" s="172" t="s">
        <v>28</v>
      </c>
      <c r="J48" s="5">
        <v>451</v>
      </c>
      <c r="K48" s="172" t="s">
        <v>10</v>
      </c>
      <c r="L48" s="159">
        <v>0</v>
      </c>
      <c r="M48" s="172" t="s">
        <v>33</v>
      </c>
      <c r="N48" s="172" t="s">
        <v>33</v>
      </c>
      <c r="O48" s="5">
        <v>0</v>
      </c>
      <c r="P48" s="5" t="s">
        <v>36</v>
      </c>
      <c r="Q48" s="5">
        <v>0</v>
      </c>
      <c r="R48" s="5">
        <v>3</v>
      </c>
    </row>
    <row r="49" spans="1:18">
      <c r="A49" s="180">
        <v>46139</v>
      </c>
      <c r="B49" s="5">
        <v>130247</v>
      </c>
      <c r="C49" s="4">
        <v>46140</v>
      </c>
      <c r="D49" s="159">
        <v>101492</v>
      </c>
      <c r="E49" s="172" t="s">
        <v>16</v>
      </c>
      <c r="F49" s="172" t="s">
        <v>34</v>
      </c>
      <c r="G49" t="s">
        <v>416</v>
      </c>
      <c r="H49" s="172" t="s">
        <v>63</v>
      </c>
      <c r="I49" s="172" t="s">
        <v>28</v>
      </c>
      <c r="J49" s="5">
        <v>403</v>
      </c>
      <c r="K49" s="172" t="s">
        <v>10</v>
      </c>
      <c r="L49" s="159">
        <v>0</v>
      </c>
      <c r="M49" s="172" t="s">
        <v>33</v>
      </c>
      <c r="N49" s="172" t="s">
        <v>33</v>
      </c>
      <c r="O49" s="5">
        <v>1</v>
      </c>
      <c r="P49" s="5" t="s">
        <v>8</v>
      </c>
      <c r="Q49" s="5">
        <v>4</v>
      </c>
      <c r="R49" s="5">
        <v>2</v>
      </c>
    </row>
    <row r="50" spans="1:18">
      <c r="A50" s="180">
        <v>46140</v>
      </c>
      <c r="B50" s="5">
        <v>130444</v>
      </c>
      <c r="C50" s="4">
        <v>46140</v>
      </c>
      <c r="D50" s="159">
        <v>101489</v>
      </c>
      <c r="E50" s="172" t="s">
        <v>16</v>
      </c>
      <c r="F50" s="172" t="s">
        <v>34</v>
      </c>
      <c r="G50" t="s">
        <v>417</v>
      </c>
      <c r="H50" s="172" t="s">
        <v>56</v>
      </c>
      <c r="I50" s="172" t="s">
        <v>28</v>
      </c>
      <c r="J50" s="5">
        <v>62</v>
      </c>
      <c r="K50" s="172" t="s">
        <v>10</v>
      </c>
      <c r="L50" s="159">
        <v>0</v>
      </c>
      <c r="M50" s="172" t="s">
        <v>33</v>
      </c>
      <c r="N50" s="172" t="s">
        <v>33</v>
      </c>
      <c r="O50" s="5">
        <v>0</v>
      </c>
      <c r="P50" s="5" t="s">
        <v>36</v>
      </c>
      <c r="Q50" s="5">
        <v>0</v>
      </c>
      <c r="R50" s="5">
        <v>3</v>
      </c>
    </row>
    <row r="51" spans="1:18">
      <c r="A51" s="180">
        <v>46139</v>
      </c>
      <c r="B51" s="5">
        <v>130334</v>
      </c>
      <c r="C51" s="4">
        <v>46140</v>
      </c>
      <c r="D51" s="159">
        <v>101487</v>
      </c>
      <c r="E51" s="172" t="s">
        <v>16</v>
      </c>
      <c r="F51" s="172" t="s">
        <v>34</v>
      </c>
      <c r="G51" t="s">
        <v>418</v>
      </c>
      <c r="H51" s="172" t="s">
        <v>63</v>
      </c>
      <c r="I51" s="172" t="s">
        <v>28</v>
      </c>
      <c r="J51" s="5">
        <v>308</v>
      </c>
      <c r="K51" s="172" t="s">
        <v>10</v>
      </c>
      <c r="L51" s="159">
        <v>0</v>
      </c>
      <c r="M51" s="172" t="s">
        <v>33</v>
      </c>
      <c r="N51" s="172" t="s">
        <v>33</v>
      </c>
      <c r="O51" s="5">
        <v>1</v>
      </c>
      <c r="P51" s="5" t="s">
        <v>8</v>
      </c>
      <c r="Q51" s="5">
        <v>4</v>
      </c>
      <c r="R51" s="5">
        <v>2</v>
      </c>
    </row>
    <row r="52" spans="1:18">
      <c r="A52" s="180">
        <v>46136</v>
      </c>
      <c r="B52" s="5">
        <v>128428</v>
      </c>
      <c r="C52" s="4">
        <v>46136</v>
      </c>
      <c r="D52" s="159">
        <v>101424</v>
      </c>
      <c r="E52" s="172" t="s">
        <v>16</v>
      </c>
      <c r="F52" s="172" t="s">
        <v>34</v>
      </c>
      <c r="G52" t="s">
        <v>419</v>
      </c>
      <c r="H52" s="172" t="s">
        <v>58</v>
      </c>
      <c r="I52" s="172" t="s">
        <v>28</v>
      </c>
      <c r="J52" s="5">
        <v>536</v>
      </c>
      <c r="K52" s="172" t="s">
        <v>10</v>
      </c>
      <c r="L52" s="159">
        <v>3</v>
      </c>
      <c r="M52" s="172" t="s">
        <v>33</v>
      </c>
      <c r="N52" s="172" t="s">
        <v>33</v>
      </c>
      <c r="O52" s="5">
        <v>0</v>
      </c>
      <c r="P52" s="5" t="s">
        <v>8</v>
      </c>
      <c r="Q52" s="5">
        <v>4</v>
      </c>
      <c r="R52" s="5">
        <v>2</v>
      </c>
    </row>
    <row r="53" spans="1:18">
      <c r="A53" s="180">
        <v>46136</v>
      </c>
      <c r="B53" s="5">
        <v>130336</v>
      </c>
      <c r="C53" s="4">
        <v>46140</v>
      </c>
      <c r="D53" s="159">
        <v>101388</v>
      </c>
      <c r="E53" s="172" t="s">
        <v>16</v>
      </c>
      <c r="F53" s="172" t="s">
        <v>34</v>
      </c>
      <c r="G53" t="s">
        <v>420</v>
      </c>
      <c r="H53" s="172" t="s">
        <v>56</v>
      </c>
      <c r="I53" s="172" t="s">
        <v>28</v>
      </c>
      <c r="J53" s="5">
        <v>24</v>
      </c>
      <c r="K53" s="172" t="s">
        <v>10</v>
      </c>
      <c r="L53" s="159">
        <v>0</v>
      </c>
      <c r="M53" s="172" t="s">
        <v>33</v>
      </c>
      <c r="N53" s="172" t="s">
        <v>33</v>
      </c>
      <c r="O53" s="5">
        <v>2</v>
      </c>
      <c r="P53" s="5" t="s">
        <v>36</v>
      </c>
      <c r="Q53" s="5">
        <v>0</v>
      </c>
      <c r="R53" s="5">
        <v>3</v>
      </c>
    </row>
    <row r="54" spans="1:18">
      <c r="A54" s="180">
        <v>46136</v>
      </c>
      <c r="B54" s="5">
        <v>130331</v>
      </c>
      <c r="C54" s="4">
        <v>46140</v>
      </c>
      <c r="D54" s="159">
        <v>101425</v>
      </c>
      <c r="E54" s="172" t="s">
        <v>16</v>
      </c>
      <c r="F54" s="172" t="s">
        <v>34</v>
      </c>
      <c r="G54" t="s">
        <v>421</v>
      </c>
      <c r="H54" s="172" t="s">
        <v>56</v>
      </c>
      <c r="I54" s="172" t="s">
        <v>28</v>
      </c>
      <c r="J54" s="5">
        <v>13</v>
      </c>
      <c r="K54" s="172" t="s">
        <v>10</v>
      </c>
      <c r="L54" s="159">
        <v>0</v>
      </c>
      <c r="M54" s="172" t="s">
        <v>33</v>
      </c>
      <c r="N54" s="172" t="s">
        <v>33</v>
      </c>
      <c r="O54" s="5">
        <v>2</v>
      </c>
      <c r="P54" s="5" t="s">
        <v>36</v>
      </c>
      <c r="Q54" s="5">
        <v>0</v>
      </c>
      <c r="R54" s="5">
        <v>3</v>
      </c>
    </row>
    <row r="55" spans="1:18">
      <c r="A55" s="180">
        <v>46092</v>
      </c>
      <c r="B55" s="5">
        <v>128897</v>
      </c>
      <c r="C55" s="4">
        <v>46140</v>
      </c>
      <c r="D55" s="159">
        <v>101485</v>
      </c>
      <c r="E55" s="172" t="s">
        <v>16</v>
      </c>
      <c r="F55" s="172" t="s">
        <v>34</v>
      </c>
      <c r="G55" t="s">
        <v>422</v>
      </c>
      <c r="H55" s="172" t="s">
        <v>56</v>
      </c>
      <c r="I55" s="172" t="s">
        <v>28</v>
      </c>
      <c r="J55" s="5">
        <v>296</v>
      </c>
      <c r="K55" s="172" t="s">
        <v>10</v>
      </c>
      <c r="L55" s="159">
        <v>0</v>
      </c>
      <c r="M55" s="172" t="s">
        <v>33</v>
      </c>
      <c r="N55" s="172" t="s">
        <v>33</v>
      </c>
      <c r="O55" s="5">
        <v>34</v>
      </c>
      <c r="P55" s="5" t="s">
        <v>36</v>
      </c>
      <c r="Q55" s="5">
        <v>0</v>
      </c>
      <c r="R55" s="5">
        <v>3</v>
      </c>
    </row>
    <row r="56" spans="1:18">
      <c r="A56" s="180">
        <v>46139</v>
      </c>
      <c r="B56" s="5">
        <v>130421</v>
      </c>
      <c r="C56" s="4">
        <v>46139</v>
      </c>
      <c r="D56" s="159">
        <v>101468</v>
      </c>
      <c r="E56" s="172" t="s">
        <v>16</v>
      </c>
      <c r="F56" s="172" t="s">
        <v>34</v>
      </c>
      <c r="G56" t="s">
        <v>423</v>
      </c>
      <c r="H56" s="172" t="s">
        <v>56</v>
      </c>
      <c r="I56" s="172" t="s">
        <v>28</v>
      </c>
      <c r="J56" s="5">
        <v>21</v>
      </c>
      <c r="K56" s="172" t="s">
        <v>10</v>
      </c>
      <c r="L56" s="159">
        <v>0</v>
      </c>
      <c r="M56" s="172" t="s">
        <v>33</v>
      </c>
      <c r="N56" s="172" t="s">
        <v>33</v>
      </c>
      <c r="O56" s="5">
        <v>0</v>
      </c>
      <c r="P56" s="5" t="s">
        <v>36</v>
      </c>
      <c r="Q56" s="5">
        <v>0</v>
      </c>
      <c r="R56" s="5">
        <v>3</v>
      </c>
    </row>
    <row r="57" spans="1:18">
      <c r="A57" s="180">
        <v>46136</v>
      </c>
      <c r="B57" s="5">
        <v>128137</v>
      </c>
      <c r="C57" s="4">
        <v>46136</v>
      </c>
      <c r="D57" s="159">
        <v>101432</v>
      </c>
      <c r="E57" s="172" t="s">
        <v>16</v>
      </c>
      <c r="F57" s="172" t="s">
        <v>38</v>
      </c>
      <c r="G57" t="s">
        <v>424</v>
      </c>
      <c r="H57" s="172" t="s">
        <v>67</v>
      </c>
      <c r="I57" s="172" t="s">
        <v>45</v>
      </c>
      <c r="J57" s="5">
        <v>120</v>
      </c>
      <c r="K57" s="172" t="s">
        <v>10</v>
      </c>
      <c r="L57" s="159">
        <v>1</v>
      </c>
      <c r="M57" s="172" t="s">
        <v>33</v>
      </c>
      <c r="N57" s="172" t="s">
        <v>33</v>
      </c>
      <c r="O57" s="5">
        <v>0</v>
      </c>
      <c r="P57" s="5" t="s">
        <v>14</v>
      </c>
      <c r="Q57" s="5">
        <v>3</v>
      </c>
      <c r="R57" s="5">
        <v>3</v>
      </c>
    </row>
    <row r="58" spans="1:18">
      <c r="A58" s="180">
        <v>46127</v>
      </c>
      <c r="B58" s="5">
        <v>130134</v>
      </c>
      <c r="C58" s="4">
        <v>46136</v>
      </c>
      <c r="D58" s="159">
        <v>101414</v>
      </c>
      <c r="E58" s="172" t="s">
        <v>16</v>
      </c>
      <c r="F58" s="172" t="s">
        <v>38</v>
      </c>
      <c r="G58" t="s">
        <v>425</v>
      </c>
      <c r="H58" s="172" t="s">
        <v>67</v>
      </c>
      <c r="I58" s="172" t="s">
        <v>45</v>
      </c>
      <c r="J58" s="5">
        <v>218</v>
      </c>
      <c r="K58" s="172" t="s">
        <v>10</v>
      </c>
      <c r="L58" s="159">
        <v>0</v>
      </c>
      <c r="M58" s="172" t="s">
        <v>33</v>
      </c>
      <c r="N58" s="172" t="s">
        <v>33</v>
      </c>
      <c r="O58" s="5">
        <v>7</v>
      </c>
      <c r="P58" s="5" t="s">
        <v>14</v>
      </c>
      <c r="Q58" s="5">
        <v>3</v>
      </c>
      <c r="R58" s="5">
        <v>3</v>
      </c>
    </row>
    <row r="59" spans="1:18">
      <c r="A59" s="180">
        <v>46091</v>
      </c>
      <c r="B59" s="5">
        <v>128876</v>
      </c>
      <c r="C59" s="4">
        <v>46135</v>
      </c>
      <c r="D59" s="159">
        <v>101385</v>
      </c>
      <c r="E59" s="172" t="s">
        <v>18</v>
      </c>
      <c r="F59" s="172" t="s">
        <v>38</v>
      </c>
      <c r="G59" t="s">
        <v>426</v>
      </c>
      <c r="H59" s="172" t="s">
        <v>69</v>
      </c>
      <c r="I59" s="172" t="s">
        <v>40</v>
      </c>
      <c r="J59" s="5">
        <v>281</v>
      </c>
      <c r="K59" s="172" t="s">
        <v>10</v>
      </c>
      <c r="L59" s="159">
        <v>0</v>
      </c>
      <c r="M59" s="172" t="s">
        <v>33</v>
      </c>
      <c r="N59" s="172" t="s">
        <v>33</v>
      </c>
      <c r="O59" s="5">
        <v>32</v>
      </c>
      <c r="P59" s="5" t="s">
        <v>8</v>
      </c>
      <c r="Q59" s="5">
        <v>11.5</v>
      </c>
      <c r="R59" s="5">
        <v>3</v>
      </c>
    </row>
    <row r="60" spans="1:18">
      <c r="A60" s="180">
        <v>46091</v>
      </c>
      <c r="B60" s="5">
        <v>128845</v>
      </c>
      <c r="C60" s="4">
        <v>46135</v>
      </c>
      <c r="D60" s="159">
        <v>101384</v>
      </c>
      <c r="E60" s="172" t="s">
        <v>9</v>
      </c>
      <c r="F60" s="172" t="s">
        <v>34</v>
      </c>
      <c r="G60" t="s">
        <v>427</v>
      </c>
      <c r="H60" s="172" t="s">
        <v>69</v>
      </c>
      <c r="I60" s="172" t="s">
        <v>40</v>
      </c>
      <c r="J60" s="5">
        <f>71+583</f>
        <v>654</v>
      </c>
      <c r="K60" s="172" t="s">
        <v>10</v>
      </c>
      <c r="L60" s="159">
        <v>1</v>
      </c>
      <c r="M60" s="172" t="s">
        <v>33</v>
      </c>
      <c r="N60" s="172" t="s">
        <v>29</v>
      </c>
      <c r="O60" s="5">
        <v>32</v>
      </c>
      <c r="P60" s="5" t="s">
        <v>8</v>
      </c>
      <c r="Q60" s="5">
        <v>10</v>
      </c>
      <c r="R60" s="5">
        <v>3</v>
      </c>
    </row>
    <row r="61" spans="1:18">
      <c r="A61" s="180">
        <v>46134</v>
      </c>
      <c r="B61" s="5">
        <v>130288</v>
      </c>
      <c r="C61" s="4">
        <v>46135</v>
      </c>
      <c r="D61" s="159">
        <v>101374</v>
      </c>
      <c r="E61" s="172" t="s">
        <v>16</v>
      </c>
      <c r="F61" s="172" t="s">
        <v>34</v>
      </c>
      <c r="G61" t="s">
        <v>428</v>
      </c>
      <c r="H61" s="172" t="s">
        <v>69</v>
      </c>
      <c r="I61" s="172" t="s">
        <v>28</v>
      </c>
      <c r="J61" s="5">
        <v>196</v>
      </c>
      <c r="K61" s="172" t="s">
        <v>10</v>
      </c>
      <c r="L61" s="159">
        <v>0</v>
      </c>
      <c r="M61" s="172" t="s">
        <v>33</v>
      </c>
      <c r="N61" s="172" t="s">
        <v>33</v>
      </c>
      <c r="O61" s="5">
        <v>1</v>
      </c>
      <c r="P61" s="5" t="s">
        <v>8</v>
      </c>
      <c r="Q61" s="5">
        <v>4</v>
      </c>
      <c r="R61" s="5">
        <v>3</v>
      </c>
    </row>
    <row r="62" spans="1:18">
      <c r="A62" s="180">
        <v>46127</v>
      </c>
      <c r="B62" s="5">
        <v>128938</v>
      </c>
      <c r="C62" s="4">
        <v>46134</v>
      </c>
      <c r="D62" s="159">
        <v>101354</v>
      </c>
      <c r="E62" s="172" t="s">
        <v>9</v>
      </c>
      <c r="F62" s="172" t="s">
        <v>34</v>
      </c>
      <c r="G62" t="s">
        <v>429</v>
      </c>
      <c r="H62" s="172" t="s">
        <v>52</v>
      </c>
      <c r="I62" s="172" t="s">
        <v>40</v>
      </c>
      <c r="J62" s="5">
        <f>339+202</f>
        <v>541</v>
      </c>
      <c r="K62" s="172" t="s">
        <v>10</v>
      </c>
      <c r="L62" s="159">
        <v>0</v>
      </c>
      <c r="M62" s="172" t="s">
        <v>33</v>
      </c>
      <c r="N62" s="172" t="s">
        <v>33</v>
      </c>
      <c r="O62" s="5">
        <v>5</v>
      </c>
      <c r="P62" s="5" t="s">
        <v>8</v>
      </c>
      <c r="Q62" s="5">
        <v>10</v>
      </c>
      <c r="R62" s="5">
        <v>2</v>
      </c>
    </row>
    <row r="63" spans="1:18">
      <c r="A63" s="180">
        <v>46132</v>
      </c>
      <c r="B63" s="5">
        <v>130015</v>
      </c>
      <c r="C63" s="4">
        <v>46134</v>
      </c>
      <c r="D63" s="159">
        <v>101343</v>
      </c>
      <c r="E63" s="172" t="s">
        <v>16</v>
      </c>
      <c r="F63" s="172" t="s">
        <v>34</v>
      </c>
      <c r="G63" s="168" t="s">
        <v>430</v>
      </c>
      <c r="H63" s="172" t="s">
        <v>69</v>
      </c>
      <c r="I63" s="172" t="s">
        <v>28</v>
      </c>
      <c r="J63" s="5">
        <v>186</v>
      </c>
      <c r="K63" s="172" t="s">
        <v>10</v>
      </c>
      <c r="L63" s="159">
        <v>0</v>
      </c>
      <c r="M63" s="172" t="s">
        <v>33</v>
      </c>
      <c r="N63" s="172" t="s">
        <v>33</v>
      </c>
      <c r="O63" s="5">
        <v>2</v>
      </c>
      <c r="P63" s="5" t="s">
        <v>8</v>
      </c>
      <c r="Q63" s="5">
        <v>4</v>
      </c>
      <c r="R63" s="5">
        <v>3</v>
      </c>
    </row>
    <row r="64" spans="1:18">
      <c r="A64" s="180">
        <v>46132</v>
      </c>
      <c r="B64" s="5">
        <v>129540</v>
      </c>
      <c r="C64" s="4">
        <v>46134</v>
      </c>
      <c r="D64" s="159">
        <v>101342</v>
      </c>
      <c r="E64" s="172" t="s">
        <v>16</v>
      </c>
      <c r="F64" s="172" t="s">
        <v>34</v>
      </c>
      <c r="G64" s="168" t="s">
        <v>431</v>
      </c>
      <c r="H64" s="172" t="s">
        <v>56</v>
      </c>
      <c r="I64" s="172" t="s">
        <v>28</v>
      </c>
      <c r="J64" s="5">
        <v>228</v>
      </c>
      <c r="K64" s="172" t="s">
        <v>10</v>
      </c>
      <c r="L64" s="159">
        <v>0</v>
      </c>
      <c r="M64" s="172" t="s">
        <v>33</v>
      </c>
      <c r="N64" s="172" t="s">
        <v>33</v>
      </c>
      <c r="O64" s="5">
        <v>2</v>
      </c>
      <c r="P64" s="5" t="s">
        <v>36</v>
      </c>
      <c r="Q64" s="5">
        <v>0</v>
      </c>
      <c r="R64" s="5">
        <v>3</v>
      </c>
    </row>
    <row r="65" spans="1:18">
      <c r="A65" s="180">
        <v>46132</v>
      </c>
      <c r="B65" s="5">
        <v>130238</v>
      </c>
      <c r="C65" s="4">
        <v>46134</v>
      </c>
      <c r="D65" s="159">
        <v>101341</v>
      </c>
      <c r="E65" s="172" t="s">
        <v>16</v>
      </c>
      <c r="F65" s="172" t="s">
        <v>34</v>
      </c>
      <c r="G65" s="168" t="s">
        <v>428</v>
      </c>
      <c r="H65" s="172" t="s">
        <v>69</v>
      </c>
      <c r="I65" s="172" t="s">
        <v>28</v>
      </c>
      <c r="J65" s="5">
        <v>121</v>
      </c>
      <c r="K65" s="172" t="s">
        <v>10</v>
      </c>
      <c r="L65" s="159">
        <v>0</v>
      </c>
      <c r="M65" s="172" t="s">
        <v>33</v>
      </c>
      <c r="N65" s="172" t="s">
        <v>33</v>
      </c>
      <c r="O65" s="5">
        <v>2</v>
      </c>
      <c r="P65" s="5" t="s">
        <v>8</v>
      </c>
      <c r="Q65" s="5">
        <v>4</v>
      </c>
      <c r="R65" s="5">
        <v>3</v>
      </c>
    </row>
    <row r="66" spans="1:18">
      <c r="A66" s="180">
        <v>46134</v>
      </c>
      <c r="B66" s="5">
        <v>128957</v>
      </c>
      <c r="C66" s="4">
        <v>46134</v>
      </c>
      <c r="D66" s="159">
        <v>101340</v>
      </c>
      <c r="E66" s="172" t="s">
        <v>16</v>
      </c>
      <c r="F66" s="172" t="s">
        <v>34</v>
      </c>
      <c r="G66" s="168" t="s">
        <v>432</v>
      </c>
      <c r="H66" s="172" t="s">
        <v>58</v>
      </c>
      <c r="I66" s="172" t="s">
        <v>28</v>
      </c>
      <c r="J66" s="5">
        <v>507</v>
      </c>
      <c r="K66" s="172" t="s">
        <v>10</v>
      </c>
      <c r="L66" s="159">
        <v>2</v>
      </c>
      <c r="M66" s="172" t="s">
        <v>33</v>
      </c>
      <c r="N66" s="172" t="s">
        <v>33</v>
      </c>
      <c r="O66" s="5">
        <v>0</v>
      </c>
      <c r="P66" s="5" t="s">
        <v>8</v>
      </c>
      <c r="Q66" s="5">
        <v>4</v>
      </c>
      <c r="R66" s="5">
        <v>2</v>
      </c>
    </row>
    <row r="67" spans="1:18">
      <c r="A67" s="180">
        <v>46132</v>
      </c>
      <c r="B67" s="5">
        <v>128659</v>
      </c>
      <c r="C67" s="4">
        <v>46132</v>
      </c>
      <c r="D67" s="159">
        <v>101312</v>
      </c>
      <c r="E67" s="172" t="s">
        <v>16</v>
      </c>
      <c r="F67" s="172" t="s">
        <v>34</v>
      </c>
      <c r="G67" s="168" t="s">
        <v>433</v>
      </c>
      <c r="H67" s="172" t="s">
        <v>56</v>
      </c>
      <c r="I67" s="172" t="s">
        <v>28</v>
      </c>
      <c r="J67" s="5">
        <v>200</v>
      </c>
      <c r="K67" s="172" t="s">
        <v>10</v>
      </c>
      <c r="L67" s="159">
        <v>0</v>
      </c>
      <c r="M67" s="172" t="s">
        <v>33</v>
      </c>
      <c r="N67" s="172" t="s">
        <v>33</v>
      </c>
      <c r="O67" s="5">
        <v>0</v>
      </c>
      <c r="P67" s="5" t="s">
        <v>36</v>
      </c>
      <c r="Q67" s="5">
        <v>0</v>
      </c>
      <c r="R67" s="5">
        <v>3</v>
      </c>
    </row>
    <row r="68" spans="1:18">
      <c r="A68" s="180">
        <v>46132</v>
      </c>
      <c r="B68" s="5">
        <v>130237</v>
      </c>
      <c r="C68" s="4">
        <v>46132</v>
      </c>
      <c r="D68" s="159">
        <v>101321</v>
      </c>
      <c r="E68" s="172" t="s">
        <v>16</v>
      </c>
      <c r="F68" s="172" t="s">
        <v>34</v>
      </c>
      <c r="G68" s="168" t="s">
        <v>434</v>
      </c>
      <c r="H68" s="172" t="s">
        <v>63</v>
      </c>
      <c r="I68" s="172" t="s">
        <v>28</v>
      </c>
      <c r="J68" s="5">
        <v>139</v>
      </c>
      <c r="K68" s="172" t="s">
        <v>10</v>
      </c>
      <c r="L68" s="159">
        <v>0</v>
      </c>
      <c r="M68" s="172" t="s">
        <v>33</v>
      </c>
      <c r="N68" s="172" t="s">
        <v>33</v>
      </c>
      <c r="O68" s="5">
        <v>0</v>
      </c>
      <c r="P68" s="5" t="s">
        <v>8</v>
      </c>
      <c r="Q68" s="5">
        <v>4</v>
      </c>
      <c r="R68" s="5">
        <v>2</v>
      </c>
    </row>
    <row r="69" spans="1:18">
      <c r="A69" s="180">
        <v>46127</v>
      </c>
      <c r="B69" s="5">
        <v>130128</v>
      </c>
      <c r="C69" s="4">
        <v>46132</v>
      </c>
      <c r="D69" s="159">
        <v>101319</v>
      </c>
      <c r="E69" s="172" t="s">
        <v>16</v>
      </c>
      <c r="F69" s="172" t="s">
        <v>38</v>
      </c>
      <c r="G69" s="168" t="s">
        <v>435</v>
      </c>
      <c r="H69" s="172" t="s">
        <v>67</v>
      </c>
      <c r="I69" s="172" t="s">
        <v>45</v>
      </c>
      <c r="J69" s="5">
        <v>89</v>
      </c>
      <c r="K69" s="172" t="s">
        <v>10</v>
      </c>
      <c r="L69" s="159">
        <v>1</v>
      </c>
      <c r="M69" s="172" t="s">
        <v>33</v>
      </c>
      <c r="N69" s="172" t="s">
        <v>33</v>
      </c>
      <c r="O69" s="5">
        <v>3</v>
      </c>
      <c r="P69" s="5" t="s">
        <v>14</v>
      </c>
      <c r="Q69" s="5">
        <v>3</v>
      </c>
      <c r="R69" s="5">
        <v>3</v>
      </c>
    </row>
    <row r="70" spans="1:18">
      <c r="A70" s="180">
        <v>46120</v>
      </c>
      <c r="B70" s="5">
        <v>129919</v>
      </c>
      <c r="C70" s="4">
        <v>46132</v>
      </c>
      <c r="D70" s="159">
        <v>101316</v>
      </c>
      <c r="E70" s="172" t="s">
        <v>16</v>
      </c>
      <c r="F70" s="172" t="s">
        <v>38</v>
      </c>
      <c r="G70" s="168" t="s">
        <v>436</v>
      </c>
      <c r="H70" s="172" t="s">
        <v>67</v>
      </c>
      <c r="I70" s="172" t="s">
        <v>45</v>
      </c>
      <c r="J70" s="5">
        <v>150</v>
      </c>
      <c r="K70" s="172" t="s">
        <v>10</v>
      </c>
      <c r="L70" s="159">
        <v>0</v>
      </c>
      <c r="M70" s="172" t="s">
        <v>33</v>
      </c>
      <c r="N70" s="172" t="s">
        <v>33</v>
      </c>
      <c r="O70" s="5">
        <v>8</v>
      </c>
      <c r="P70" s="5" t="s">
        <v>14</v>
      </c>
      <c r="Q70" s="5">
        <v>3</v>
      </c>
      <c r="R70" s="5">
        <v>3</v>
      </c>
    </row>
    <row r="71" spans="1:18">
      <c r="A71" s="180">
        <v>46122</v>
      </c>
      <c r="B71" s="5">
        <v>129992</v>
      </c>
      <c r="C71" s="4">
        <v>46132</v>
      </c>
      <c r="D71" s="159">
        <v>101314</v>
      </c>
      <c r="E71" s="172" t="s">
        <v>16</v>
      </c>
      <c r="F71" s="172" t="s">
        <v>38</v>
      </c>
      <c r="G71" s="168" t="s">
        <v>437</v>
      </c>
      <c r="H71" s="172" t="s">
        <v>67</v>
      </c>
      <c r="I71" s="172" t="s">
        <v>45</v>
      </c>
      <c r="J71" s="5">
        <v>31</v>
      </c>
      <c r="K71" s="172" t="s">
        <v>10</v>
      </c>
      <c r="L71" s="159">
        <v>0</v>
      </c>
      <c r="M71" s="172" t="s">
        <v>33</v>
      </c>
      <c r="N71" s="172" t="s">
        <v>33</v>
      </c>
      <c r="O71" s="5">
        <v>6</v>
      </c>
      <c r="P71" s="5" t="s">
        <v>14</v>
      </c>
      <c r="Q71" s="5">
        <v>3</v>
      </c>
      <c r="R71" s="5">
        <v>3</v>
      </c>
    </row>
    <row r="72" spans="1:18">
      <c r="A72" s="180">
        <v>46123</v>
      </c>
      <c r="B72" s="5">
        <v>129630</v>
      </c>
      <c r="C72" s="4">
        <v>46132</v>
      </c>
      <c r="D72" s="159">
        <v>101311</v>
      </c>
      <c r="E72" s="172" t="s">
        <v>18</v>
      </c>
      <c r="F72" s="172" t="s">
        <v>38</v>
      </c>
      <c r="G72" s="168" t="s">
        <v>438</v>
      </c>
      <c r="H72" s="172" t="s">
        <v>57</v>
      </c>
      <c r="I72" s="172" t="s">
        <v>37</v>
      </c>
      <c r="J72" s="5">
        <v>321</v>
      </c>
      <c r="K72" s="172" t="s">
        <v>10</v>
      </c>
      <c r="L72" s="159">
        <v>1</v>
      </c>
      <c r="M72" s="172"/>
      <c r="N72" s="172"/>
      <c r="O72" s="5">
        <v>5</v>
      </c>
      <c r="P72" s="5" t="s">
        <v>14</v>
      </c>
      <c r="Q72" s="5">
        <v>10</v>
      </c>
      <c r="R72" s="5">
        <v>3</v>
      </c>
    </row>
    <row r="73" spans="1:18">
      <c r="A73" s="180">
        <v>46127</v>
      </c>
      <c r="B73" s="5">
        <v>130088</v>
      </c>
      <c r="C73" s="4">
        <v>46132</v>
      </c>
      <c r="D73" s="159">
        <v>101310</v>
      </c>
      <c r="E73" s="172" t="s">
        <v>17</v>
      </c>
      <c r="F73" s="172" t="s">
        <v>34</v>
      </c>
      <c r="G73" s="168" t="s">
        <v>439</v>
      </c>
      <c r="H73" s="172" t="s">
        <v>57</v>
      </c>
      <c r="I73" s="172" t="s">
        <v>37</v>
      </c>
      <c r="J73" s="5">
        <v>96</v>
      </c>
      <c r="K73" s="172" t="s">
        <v>10</v>
      </c>
      <c r="L73" s="159"/>
      <c r="M73" s="172"/>
      <c r="N73" s="172"/>
      <c r="O73" s="5">
        <v>3</v>
      </c>
      <c r="P73" s="5" t="s">
        <v>14</v>
      </c>
      <c r="Q73" s="5">
        <v>20</v>
      </c>
      <c r="R73" s="5">
        <v>3</v>
      </c>
    </row>
    <row r="74" spans="1:18">
      <c r="A74" s="180">
        <v>46122</v>
      </c>
      <c r="B74" s="5">
        <v>128218</v>
      </c>
      <c r="C74" s="4">
        <v>46132</v>
      </c>
      <c r="D74" s="159">
        <v>101309</v>
      </c>
      <c r="E74" s="172" t="s">
        <v>17</v>
      </c>
      <c r="F74" s="172" t="s">
        <v>34</v>
      </c>
      <c r="G74" s="168" t="s">
        <v>440</v>
      </c>
      <c r="H74" s="172" t="s">
        <v>57</v>
      </c>
      <c r="I74" s="172" t="s">
        <v>37</v>
      </c>
      <c r="J74" s="5">
        <v>5119</v>
      </c>
      <c r="K74" s="172" t="s">
        <v>11</v>
      </c>
      <c r="L74" s="159">
        <v>2</v>
      </c>
      <c r="M74" s="172" t="s">
        <v>29</v>
      </c>
      <c r="N74" s="172" t="s">
        <v>29</v>
      </c>
      <c r="O74" s="5">
        <v>6</v>
      </c>
      <c r="P74" s="5" t="s">
        <v>14</v>
      </c>
      <c r="Q74" s="5">
        <v>26</v>
      </c>
      <c r="R74" s="5">
        <v>3</v>
      </c>
    </row>
    <row r="75" spans="1:18">
      <c r="A75" s="180">
        <v>46126</v>
      </c>
      <c r="B75" s="5">
        <v>129788</v>
      </c>
      <c r="C75" s="4">
        <v>46132</v>
      </c>
      <c r="D75" s="159">
        <v>101307</v>
      </c>
      <c r="E75" s="172" t="s">
        <v>18</v>
      </c>
      <c r="F75" s="172" t="s">
        <v>38</v>
      </c>
      <c r="G75" s="168" t="s">
        <v>441</v>
      </c>
      <c r="H75" s="172" t="s">
        <v>57</v>
      </c>
      <c r="I75" s="172" t="s">
        <v>37</v>
      </c>
      <c r="J75" s="5">
        <v>129</v>
      </c>
      <c r="K75" s="172" t="s">
        <v>10</v>
      </c>
      <c r="L75" s="159">
        <v>1</v>
      </c>
      <c r="M75" s="172"/>
      <c r="N75" s="172"/>
      <c r="O75" s="5">
        <v>4</v>
      </c>
      <c r="P75" s="5" t="s">
        <v>14</v>
      </c>
      <c r="Q75" s="5">
        <v>10</v>
      </c>
      <c r="R75" s="5">
        <v>3</v>
      </c>
    </row>
    <row r="76" spans="1:18">
      <c r="A76" s="180">
        <v>46126</v>
      </c>
      <c r="B76" s="5">
        <v>130042</v>
      </c>
      <c r="C76" s="4">
        <v>46132</v>
      </c>
      <c r="D76" s="159">
        <v>101306</v>
      </c>
      <c r="E76" s="172" t="s">
        <v>17</v>
      </c>
      <c r="F76" s="172" t="s">
        <v>34</v>
      </c>
      <c r="G76" s="168" t="s">
        <v>442</v>
      </c>
      <c r="H76" s="172" t="s">
        <v>57</v>
      </c>
      <c r="I76" s="172" t="s">
        <v>37</v>
      </c>
      <c r="J76" s="5">
        <v>106</v>
      </c>
      <c r="K76" s="172" t="s">
        <v>10</v>
      </c>
      <c r="L76" s="159">
        <v>1</v>
      </c>
      <c r="M76" s="172" t="s">
        <v>33</v>
      </c>
      <c r="N76" s="172" t="s">
        <v>33</v>
      </c>
      <c r="O76" s="5">
        <v>4</v>
      </c>
      <c r="P76" s="5" t="s">
        <v>14</v>
      </c>
      <c r="Q76" s="5">
        <v>20</v>
      </c>
      <c r="R76" s="5">
        <v>3</v>
      </c>
    </row>
    <row r="77" spans="1:18">
      <c r="A77" s="180">
        <v>46126</v>
      </c>
      <c r="B77" s="5">
        <v>125948</v>
      </c>
      <c r="C77" s="4">
        <v>46132</v>
      </c>
      <c r="D77" s="159">
        <v>101305</v>
      </c>
      <c r="E77" s="172" t="s">
        <v>17</v>
      </c>
      <c r="F77" s="172" t="s">
        <v>34</v>
      </c>
      <c r="G77" s="168" t="s">
        <v>443</v>
      </c>
      <c r="H77" s="172" t="s">
        <v>57</v>
      </c>
      <c r="I77" s="172" t="s">
        <v>37</v>
      </c>
      <c r="J77" s="5">
        <v>3047</v>
      </c>
      <c r="K77" s="172" t="s">
        <v>11</v>
      </c>
      <c r="L77" s="159">
        <v>2</v>
      </c>
      <c r="M77" s="172" t="s">
        <v>29</v>
      </c>
      <c r="N77" s="172" t="s">
        <v>29</v>
      </c>
      <c r="O77" s="5">
        <v>4</v>
      </c>
      <c r="P77" s="5" t="s">
        <v>14</v>
      </c>
      <c r="Q77" s="5">
        <v>26</v>
      </c>
      <c r="R77" s="5">
        <v>3</v>
      </c>
    </row>
    <row r="78" spans="1:18">
      <c r="A78" s="180">
        <v>46036</v>
      </c>
      <c r="B78" s="5">
        <v>126497</v>
      </c>
      <c r="C78" s="4">
        <v>46129</v>
      </c>
      <c r="D78" s="159">
        <v>101300</v>
      </c>
      <c r="E78" s="172" t="s">
        <v>18</v>
      </c>
      <c r="F78" s="172" t="s">
        <v>38</v>
      </c>
      <c r="G78" t="s">
        <v>444</v>
      </c>
      <c r="H78" s="172" t="s">
        <v>46</v>
      </c>
      <c r="I78" s="172" t="s">
        <v>40</v>
      </c>
      <c r="J78" s="5">
        <v>135</v>
      </c>
      <c r="K78" s="172" t="s">
        <v>10</v>
      </c>
      <c r="L78" s="159">
        <v>1</v>
      </c>
      <c r="M78" s="172" t="s">
        <v>33</v>
      </c>
      <c r="N78" s="172" t="s">
        <v>33</v>
      </c>
      <c r="O78" s="5">
        <v>67</v>
      </c>
      <c r="P78" s="5" t="s">
        <v>8</v>
      </c>
      <c r="Q78" s="5">
        <v>11.5</v>
      </c>
      <c r="R78" s="5">
        <v>3</v>
      </c>
    </row>
    <row r="79" spans="1:18">
      <c r="A79" s="180">
        <v>46087</v>
      </c>
      <c r="B79" s="5">
        <v>128827</v>
      </c>
      <c r="C79" s="4">
        <v>46129</v>
      </c>
      <c r="D79" s="159">
        <v>101299</v>
      </c>
      <c r="E79" s="172" t="s">
        <v>9</v>
      </c>
      <c r="F79" s="172" t="s">
        <v>34</v>
      </c>
      <c r="G79" t="s">
        <v>445</v>
      </c>
      <c r="H79" s="172" t="s">
        <v>46</v>
      </c>
      <c r="I79" s="172" t="s">
        <v>40</v>
      </c>
      <c r="J79" s="5">
        <f>736+879</f>
        <v>1615</v>
      </c>
      <c r="K79" s="172" t="s">
        <v>10</v>
      </c>
      <c r="L79" s="159">
        <v>2</v>
      </c>
      <c r="M79" s="172" t="s">
        <v>33</v>
      </c>
      <c r="N79" s="172" t="s">
        <v>29</v>
      </c>
      <c r="O79" s="5">
        <v>30</v>
      </c>
      <c r="P79" s="5" t="s">
        <v>8</v>
      </c>
      <c r="Q79" s="5">
        <v>10</v>
      </c>
      <c r="R79" s="5">
        <v>3</v>
      </c>
    </row>
    <row r="80" spans="1:18">
      <c r="A80" s="180">
        <v>46129</v>
      </c>
      <c r="B80" s="5">
        <v>129902</v>
      </c>
      <c r="C80" s="4">
        <v>46129</v>
      </c>
      <c r="D80" s="159">
        <v>101294</v>
      </c>
      <c r="E80" s="172" t="s">
        <v>18</v>
      </c>
      <c r="F80" s="172" t="s">
        <v>38</v>
      </c>
      <c r="G80" t="s">
        <v>446</v>
      </c>
      <c r="H80" s="172" t="s">
        <v>27</v>
      </c>
      <c r="I80" s="172" t="s">
        <v>40</v>
      </c>
      <c r="J80" s="5">
        <f>351+32</f>
        <v>383</v>
      </c>
      <c r="K80" s="172" t="s">
        <v>10</v>
      </c>
      <c r="L80" s="159">
        <v>1</v>
      </c>
      <c r="M80" s="172" t="s">
        <v>33</v>
      </c>
      <c r="N80" s="172" t="s">
        <v>33</v>
      </c>
      <c r="O80" s="5">
        <v>0</v>
      </c>
      <c r="P80" s="5" t="s">
        <v>8</v>
      </c>
      <c r="Q80" s="5">
        <v>11.5</v>
      </c>
      <c r="R80" s="5">
        <v>3</v>
      </c>
    </row>
    <row r="81" spans="1:18">
      <c r="A81" s="180">
        <v>46125</v>
      </c>
      <c r="B81" s="5">
        <v>126447</v>
      </c>
      <c r="C81" s="4">
        <v>46129</v>
      </c>
      <c r="D81" s="159">
        <v>101293</v>
      </c>
      <c r="E81" s="172" t="s">
        <v>17</v>
      </c>
      <c r="F81" s="172" t="s">
        <v>34</v>
      </c>
      <c r="G81" t="s">
        <v>447</v>
      </c>
      <c r="H81" s="172" t="s">
        <v>50</v>
      </c>
      <c r="I81" s="172" t="s">
        <v>40</v>
      </c>
      <c r="J81" s="5">
        <f>4643+2542</f>
        <v>7185</v>
      </c>
      <c r="K81" s="172" t="s">
        <v>13</v>
      </c>
      <c r="L81" s="159">
        <v>4</v>
      </c>
      <c r="M81" s="172" t="s">
        <v>29</v>
      </c>
      <c r="N81" s="172" t="s">
        <v>29</v>
      </c>
      <c r="O81" s="5">
        <v>4</v>
      </c>
      <c r="P81" s="5" t="s">
        <v>14</v>
      </c>
      <c r="Q81" s="5">
        <v>160</v>
      </c>
      <c r="R81" s="5">
        <v>2</v>
      </c>
    </row>
    <row r="82" spans="1:18">
      <c r="A82" s="180">
        <v>46129</v>
      </c>
      <c r="B82" s="5">
        <v>130173</v>
      </c>
      <c r="C82" s="4">
        <v>46129</v>
      </c>
      <c r="D82" s="159">
        <v>101292</v>
      </c>
      <c r="E82" s="172" t="s">
        <v>16</v>
      </c>
      <c r="F82" s="172" t="s">
        <v>34</v>
      </c>
      <c r="G82" s="168" t="s">
        <v>448</v>
      </c>
      <c r="H82" s="172" t="s">
        <v>69</v>
      </c>
      <c r="I82" s="172" t="s">
        <v>28</v>
      </c>
      <c r="J82" s="5">
        <v>216</v>
      </c>
      <c r="K82" s="172" t="s">
        <v>10</v>
      </c>
      <c r="L82" s="159">
        <v>0</v>
      </c>
      <c r="M82" s="172" t="s">
        <v>33</v>
      </c>
      <c r="N82" s="172" t="s">
        <v>33</v>
      </c>
      <c r="O82" s="5">
        <v>0</v>
      </c>
      <c r="P82" s="5" t="s">
        <v>8</v>
      </c>
      <c r="Q82" s="5">
        <v>4</v>
      </c>
      <c r="R82" s="5">
        <v>3</v>
      </c>
    </row>
    <row r="83" spans="1:18">
      <c r="A83" s="180">
        <v>46056</v>
      </c>
      <c r="B83" s="5">
        <v>127448</v>
      </c>
      <c r="C83" s="4">
        <v>46129</v>
      </c>
      <c r="D83" s="159">
        <v>101291</v>
      </c>
      <c r="E83" s="172" t="s">
        <v>17</v>
      </c>
      <c r="F83" s="172" t="s">
        <v>34</v>
      </c>
      <c r="G83" s="168" t="s">
        <v>449</v>
      </c>
      <c r="H83" s="172" t="s">
        <v>47</v>
      </c>
      <c r="I83" s="172" t="s">
        <v>35</v>
      </c>
      <c r="J83" s="5">
        <f>962+8025</f>
        <v>8987</v>
      </c>
      <c r="K83" s="172" t="s">
        <v>12</v>
      </c>
      <c r="L83" s="159">
        <v>3</v>
      </c>
      <c r="M83" s="172" t="s">
        <v>29</v>
      </c>
      <c r="N83" s="172" t="s">
        <v>33</v>
      </c>
      <c r="O83" s="5">
        <v>53</v>
      </c>
      <c r="P83" s="5" t="s">
        <v>14</v>
      </c>
      <c r="Q83" s="5">
        <v>80</v>
      </c>
      <c r="R83" s="5">
        <v>2</v>
      </c>
    </row>
    <row r="84" spans="1:18">
      <c r="A84" s="180">
        <v>46128</v>
      </c>
      <c r="B84" s="5">
        <v>130098</v>
      </c>
      <c r="C84" s="4">
        <v>46129</v>
      </c>
      <c r="D84" s="159">
        <v>101286</v>
      </c>
      <c r="E84" s="172" t="s">
        <v>16</v>
      </c>
      <c r="F84" s="172" t="s">
        <v>34</v>
      </c>
      <c r="G84" s="168" t="s">
        <v>450</v>
      </c>
      <c r="H84" s="172" t="s">
        <v>69</v>
      </c>
      <c r="I84" s="172" t="s">
        <v>28</v>
      </c>
      <c r="J84" s="5">
        <v>254</v>
      </c>
      <c r="K84" s="172" t="s">
        <v>10</v>
      </c>
      <c r="L84" s="159">
        <v>0</v>
      </c>
      <c r="M84" s="172" t="s">
        <v>33</v>
      </c>
      <c r="N84" s="172" t="s">
        <v>33</v>
      </c>
      <c r="O84" s="5">
        <v>1</v>
      </c>
      <c r="P84" s="5" t="s">
        <v>8</v>
      </c>
      <c r="Q84" s="5">
        <v>4</v>
      </c>
      <c r="R84" s="5">
        <v>3</v>
      </c>
    </row>
    <row r="85" spans="1:18">
      <c r="A85" s="180">
        <v>46127</v>
      </c>
      <c r="B85" s="5">
        <v>130095</v>
      </c>
      <c r="C85" s="4">
        <v>46129</v>
      </c>
      <c r="D85" s="159">
        <v>101285</v>
      </c>
      <c r="E85" s="172" t="s">
        <v>16</v>
      </c>
      <c r="F85" s="172" t="s">
        <v>34</v>
      </c>
      <c r="G85" s="168" t="s">
        <v>451</v>
      </c>
      <c r="H85" s="172" t="s">
        <v>56</v>
      </c>
      <c r="I85" s="172" t="s">
        <v>28</v>
      </c>
      <c r="J85" s="5">
        <v>69</v>
      </c>
      <c r="K85" s="172" t="s">
        <v>10</v>
      </c>
      <c r="L85" s="159">
        <v>0</v>
      </c>
      <c r="M85" s="172" t="s">
        <v>33</v>
      </c>
      <c r="N85" s="172" t="s">
        <v>33</v>
      </c>
      <c r="O85" s="5">
        <v>2</v>
      </c>
      <c r="P85" s="5" t="s">
        <v>36</v>
      </c>
      <c r="Q85" s="5">
        <v>0</v>
      </c>
      <c r="R85" s="5">
        <v>3</v>
      </c>
    </row>
    <row r="86" spans="1:18">
      <c r="A86" s="180">
        <v>46112</v>
      </c>
      <c r="B86" s="5">
        <v>128584</v>
      </c>
      <c r="C86" s="4">
        <v>46128</v>
      </c>
      <c r="D86" s="159">
        <v>101262</v>
      </c>
      <c r="E86" s="172" t="s">
        <v>16</v>
      </c>
      <c r="F86" s="172" t="s">
        <v>34</v>
      </c>
      <c r="G86" s="168" t="s">
        <v>452</v>
      </c>
      <c r="H86" s="172" t="s">
        <v>56</v>
      </c>
      <c r="I86" s="172" t="s">
        <v>28</v>
      </c>
      <c r="J86" s="5">
        <v>132</v>
      </c>
      <c r="K86" s="172" t="s">
        <v>10</v>
      </c>
      <c r="L86" s="159">
        <v>0</v>
      </c>
      <c r="M86" s="172" t="s">
        <v>33</v>
      </c>
      <c r="N86" s="172" t="s">
        <v>33</v>
      </c>
      <c r="O86" s="5">
        <v>12</v>
      </c>
      <c r="P86" s="5" t="s">
        <v>36</v>
      </c>
      <c r="Q86" s="5">
        <v>0</v>
      </c>
      <c r="R86" s="5">
        <v>3</v>
      </c>
    </row>
    <row r="87" spans="1:18">
      <c r="A87" s="180">
        <v>46129</v>
      </c>
      <c r="B87" s="5">
        <v>130181</v>
      </c>
      <c r="C87" s="4">
        <v>46129</v>
      </c>
      <c r="D87" s="159">
        <v>101283</v>
      </c>
      <c r="E87" s="172" t="s">
        <v>16</v>
      </c>
      <c r="F87" s="172" t="s">
        <v>34</v>
      </c>
      <c r="G87" s="168" t="s">
        <v>453</v>
      </c>
      <c r="H87" s="172" t="s">
        <v>56</v>
      </c>
      <c r="I87" s="172" t="s">
        <v>28</v>
      </c>
      <c r="J87" s="5"/>
      <c r="K87" s="172" t="s">
        <v>10</v>
      </c>
      <c r="L87" s="159">
        <v>0</v>
      </c>
      <c r="M87" s="172" t="s">
        <v>33</v>
      </c>
      <c r="N87" s="172" t="s">
        <v>33</v>
      </c>
      <c r="O87" s="5">
        <v>0</v>
      </c>
      <c r="P87" s="5" t="s">
        <v>36</v>
      </c>
      <c r="Q87" s="5">
        <v>0</v>
      </c>
      <c r="R87" s="5">
        <v>3</v>
      </c>
    </row>
    <row r="88" spans="1:18">
      <c r="A88" s="180">
        <v>46126</v>
      </c>
      <c r="B88" s="5">
        <v>130073</v>
      </c>
      <c r="C88" s="4">
        <v>46129</v>
      </c>
      <c r="D88" s="159">
        <v>101279</v>
      </c>
      <c r="E88" s="172" t="s">
        <v>16</v>
      </c>
      <c r="F88" s="172" t="s">
        <v>38</v>
      </c>
      <c r="G88" s="168" t="s">
        <v>454</v>
      </c>
      <c r="H88" s="172" t="s">
        <v>67</v>
      </c>
      <c r="I88" s="172" t="s">
        <v>45</v>
      </c>
      <c r="J88" s="5">
        <v>231</v>
      </c>
      <c r="K88" s="172" t="s">
        <v>10</v>
      </c>
      <c r="L88" s="159">
        <v>0</v>
      </c>
      <c r="M88" s="172" t="s">
        <v>33</v>
      </c>
      <c r="N88" s="172" t="s">
        <v>33</v>
      </c>
      <c r="O88" s="5">
        <v>3</v>
      </c>
      <c r="P88" s="5" t="s">
        <v>14</v>
      </c>
      <c r="Q88" s="5">
        <v>3</v>
      </c>
      <c r="R88" s="5">
        <v>3</v>
      </c>
    </row>
    <row r="89" spans="1:18">
      <c r="A89" s="180">
        <v>46128</v>
      </c>
      <c r="B89" s="5">
        <v>129722</v>
      </c>
      <c r="C89" s="4">
        <v>46129</v>
      </c>
      <c r="D89" s="159">
        <v>101277</v>
      </c>
      <c r="E89" s="172" t="s">
        <v>18</v>
      </c>
      <c r="F89" s="172" t="s">
        <v>34</v>
      </c>
      <c r="G89" s="168" t="s">
        <v>455</v>
      </c>
      <c r="H89" s="172" t="s">
        <v>61</v>
      </c>
      <c r="I89" s="172" t="s">
        <v>37</v>
      </c>
      <c r="J89" s="5"/>
      <c r="K89" s="172" t="s">
        <v>11</v>
      </c>
      <c r="L89" s="159"/>
      <c r="M89" s="172" t="s">
        <v>29</v>
      </c>
      <c r="N89" s="172" t="s">
        <v>33</v>
      </c>
      <c r="O89" s="5">
        <v>1</v>
      </c>
      <c r="P89" s="5" t="s">
        <v>8</v>
      </c>
      <c r="Q89" s="5">
        <v>26.5</v>
      </c>
      <c r="R89" s="5">
        <v>2</v>
      </c>
    </row>
    <row r="90" spans="1:18">
      <c r="A90" s="180">
        <v>46125</v>
      </c>
      <c r="B90" s="5">
        <v>129723</v>
      </c>
      <c r="C90" s="4">
        <v>46129</v>
      </c>
      <c r="D90" s="159">
        <v>101276</v>
      </c>
      <c r="E90" s="172" t="s">
        <v>18</v>
      </c>
      <c r="F90" s="172" t="s">
        <v>34</v>
      </c>
      <c r="G90" s="168" t="s">
        <v>456</v>
      </c>
      <c r="H90" s="172" t="s">
        <v>61</v>
      </c>
      <c r="I90" s="172" t="s">
        <v>37</v>
      </c>
      <c r="J90" s="5"/>
      <c r="K90" s="172" t="s">
        <v>11</v>
      </c>
      <c r="L90" s="159">
        <v>1</v>
      </c>
      <c r="M90" s="172" t="s">
        <v>29</v>
      </c>
      <c r="N90" s="172" t="s">
        <v>33</v>
      </c>
      <c r="O90" s="5">
        <v>4</v>
      </c>
      <c r="P90" s="5" t="s">
        <v>8</v>
      </c>
      <c r="Q90" s="5">
        <v>26.5</v>
      </c>
      <c r="R90" s="5">
        <v>2</v>
      </c>
    </row>
    <row r="91" spans="1:18">
      <c r="A91" s="180">
        <v>46127</v>
      </c>
      <c r="B91" s="5">
        <v>130136</v>
      </c>
      <c r="C91" s="4">
        <v>46128</v>
      </c>
      <c r="D91" s="159">
        <v>101256</v>
      </c>
      <c r="E91" s="172" t="s">
        <v>16</v>
      </c>
      <c r="F91" s="172" t="s">
        <v>30</v>
      </c>
      <c r="G91" s="168" t="s">
        <v>457</v>
      </c>
      <c r="H91" s="172" t="s">
        <v>67</v>
      </c>
      <c r="I91" s="172" t="s">
        <v>45</v>
      </c>
      <c r="J91" s="5">
        <v>70</v>
      </c>
      <c r="K91" s="172" t="s">
        <v>10</v>
      </c>
      <c r="L91" s="159">
        <v>0</v>
      </c>
      <c r="M91" s="172" t="s">
        <v>33</v>
      </c>
      <c r="N91" s="172" t="s">
        <v>33</v>
      </c>
      <c r="O91" s="5">
        <v>1</v>
      </c>
      <c r="P91" s="5" t="s">
        <v>14</v>
      </c>
      <c r="Q91" s="5">
        <v>3</v>
      </c>
      <c r="R91" s="5">
        <v>3</v>
      </c>
    </row>
    <row r="92" spans="1:18">
      <c r="A92" s="180">
        <v>46127</v>
      </c>
      <c r="B92" s="5">
        <v>130124</v>
      </c>
      <c r="C92" s="4">
        <v>46127</v>
      </c>
      <c r="D92" s="159">
        <v>101233</v>
      </c>
      <c r="E92" s="172" t="s">
        <v>18</v>
      </c>
      <c r="F92" s="172" t="s">
        <v>38</v>
      </c>
      <c r="G92" s="168" t="s">
        <v>458</v>
      </c>
      <c r="H92" s="172" t="s">
        <v>39</v>
      </c>
      <c r="I92" s="172" t="s">
        <v>45</v>
      </c>
      <c r="J92" s="5">
        <v>10</v>
      </c>
      <c r="K92" s="172" t="s">
        <v>10</v>
      </c>
      <c r="L92" s="159">
        <v>0</v>
      </c>
      <c r="M92" s="172" t="s">
        <v>33</v>
      </c>
      <c r="N92" s="172" t="s">
        <v>33</v>
      </c>
      <c r="O92" s="5">
        <v>0</v>
      </c>
      <c r="P92" s="5" t="s">
        <v>15</v>
      </c>
      <c r="Q92" s="5">
        <v>8</v>
      </c>
      <c r="R92" s="5">
        <v>3</v>
      </c>
    </row>
    <row r="93" spans="1:18">
      <c r="A93" s="4">
        <v>46127</v>
      </c>
      <c r="B93" s="159">
        <v>130119</v>
      </c>
      <c r="C93" s="4">
        <v>46127</v>
      </c>
      <c r="D93" s="159">
        <v>101230</v>
      </c>
      <c r="E93" s="172" t="s">
        <v>16</v>
      </c>
      <c r="F93" s="172" t="s">
        <v>30</v>
      </c>
      <c r="G93" s="168" t="s">
        <v>459</v>
      </c>
      <c r="H93" s="172" t="s">
        <v>39</v>
      </c>
      <c r="I93" s="172" t="s">
        <v>45</v>
      </c>
      <c r="J93" s="5">
        <v>20</v>
      </c>
      <c r="K93" s="172" t="s">
        <v>10</v>
      </c>
      <c r="L93" s="159">
        <v>0</v>
      </c>
      <c r="M93" s="172" t="s">
        <v>33</v>
      </c>
      <c r="N93" s="172" t="s">
        <v>33</v>
      </c>
      <c r="O93" s="5">
        <v>0</v>
      </c>
      <c r="P93" s="5" t="s">
        <v>15</v>
      </c>
      <c r="Q93" s="5">
        <v>2</v>
      </c>
      <c r="R93" s="5">
        <v>3</v>
      </c>
    </row>
    <row r="94" spans="1:18">
      <c r="A94" s="4">
        <v>46114</v>
      </c>
      <c r="B94" s="159">
        <v>127420</v>
      </c>
      <c r="C94" s="4">
        <v>46127</v>
      </c>
      <c r="D94" s="159">
        <v>101227</v>
      </c>
      <c r="E94" s="172" t="s">
        <v>18</v>
      </c>
      <c r="F94" s="172" t="s">
        <v>34</v>
      </c>
      <c r="G94" s="168" t="s">
        <v>460</v>
      </c>
      <c r="H94" s="172" t="s">
        <v>61</v>
      </c>
      <c r="I94" s="172" t="s">
        <v>37</v>
      </c>
      <c r="J94" s="5">
        <v>2963</v>
      </c>
      <c r="K94" s="172" t="s">
        <v>11</v>
      </c>
      <c r="L94" s="159">
        <v>3</v>
      </c>
      <c r="M94" s="172" t="s">
        <v>29</v>
      </c>
      <c r="N94" s="172" t="s">
        <v>33</v>
      </c>
      <c r="O94" s="5">
        <v>9</v>
      </c>
      <c r="P94" s="5" t="s">
        <v>8</v>
      </c>
      <c r="Q94" s="5">
        <v>26.5</v>
      </c>
      <c r="R94" s="5">
        <v>2</v>
      </c>
    </row>
    <row r="95" spans="1:18">
      <c r="A95" s="4">
        <v>46125</v>
      </c>
      <c r="B95" s="159">
        <v>126219</v>
      </c>
      <c r="C95" s="4">
        <v>46127</v>
      </c>
      <c r="D95" s="159">
        <v>101226</v>
      </c>
      <c r="E95" s="172" t="s">
        <v>17</v>
      </c>
      <c r="F95" s="172" t="s">
        <v>34</v>
      </c>
      <c r="G95" s="168" t="s">
        <v>461</v>
      </c>
      <c r="H95" s="172" t="s">
        <v>64</v>
      </c>
      <c r="I95" s="172" t="s">
        <v>37</v>
      </c>
      <c r="J95" s="5">
        <v>5250</v>
      </c>
      <c r="K95" s="172" t="s">
        <v>11</v>
      </c>
      <c r="L95" s="159">
        <v>1</v>
      </c>
      <c r="M95" s="172" t="s">
        <v>29</v>
      </c>
      <c r="N95" s="172" t="s">
        <v>33</v>
      </c>
      <c r="O95" s="5">
        <v>2</v>
      </c>
      <c r="P95" s="5" t="s">
        <v>14</v>
      </c>
      <c r="Q95" s="5">
        <v>26</v>
      </c>
      <c r="R95" s="5">
        <v>3</v>
      </c>
    </row>
    <row r="96" spans="1:18">
      <c r="A96" s="4">
        <v>46118</v>
      </c>
      <c r="B96" s="159">
        <v>129727</v>
      </c>
      <c r="C96" s="4">
        <v>46127</v>
      </c>
      <c r="D96" s="159">
        <v>101212</v>
      </c>
      <c r="E96" s="172" t="s">
        <v>16</v>
      </c>
      <c r="F96" s="172" t="s">
        <v>34</v>
      </c>
      <c r="G96" s="168" t="s">
        <v>462</v>
      </c>
      <c r="H96" s="172" t="s">
        <v>69</v>
      </c>
      <c r="I96" s="172" t="s">
        <v>28</v>
      </c>
      <c r="J96" s="5">
        <v>359</v>
      </c>
      <c r="K96" s="172" t="s">
        <v>10</v>
      </c>
      <c r="L96" s="159">
        <v>2</v>
      </c>
      <c r="M96" s="172" t="s">
        <v>33</v>
      </c>
      <c r="N96" s="172" t="s">
        <v>33</v>
      </c>
      <c r="O96" s="5">
        <v>7</v>
      </c>
      <c r="P96" s="5" t="s">
        <v>8</v>
      </c>
      <c r="Q96" s="5">
        <v>4</v>
      </c>
      <c r="R96" s="5">
        <v>3</v>
      </c>
    </row>
    <row r="97" spans="1:18">
      <c r="A97" s="4">
        <v>46112</v>
      </c>
      <c r="B97" s="159">
        <v>129698</v>
      </c>
      <c r="C97" s="4">
        <v>46127</v>
      </c>
      <c r="D97" s="159">
        <v>101210</v>
      </c>
      <c r="E97" s="172" t="s">
        <v>16</v>
      </c>
      <c r="F97" s="172" t="s">
        <v>38</v>
      </c>
      <c r="G97" s="168" t="s">
        <v>463</v>
      </c>
      <c r="H97" s="172" t="s">
        <v>67</v>
      </c>
      <c r="I97" s="172" t="s">
        <v>45</v>
      </c>
      <c r="J97" s="5">
        <v>373</v>
      </c>
      <c r="K97" s="172" t="s">
        <v>10</v>
      </c>
      <c r="L97" s="159">
        <v>1</v>
      </c>
      <c r="M97" s="172" t="s">
        <v>29</v>
      </c>
      <c r="N97" s="172" t="s">
        <v>33</v>
      </c>
      <c r="O97" s="5">
        <v>11</v>
      </c>
      <c r="P97" s="5" t="s">
        <v>14</v>
      </c>
      <c r="Q97" s="5">
        <v>3</v>
      </c>
      <c r="R97" s="5">
        <v>3</v>
      </c>
    </row>
    <row r="98" spans="1:18">
      <c r="A98" s="4">
        <v>46122</v>
      </c>
      <c r="B98" s="159">
        <v>129179</v>
      </c>
      <c r="C98" s="4">
        <v>46126</v>
      </c>
      <c r="D98" s="159">
        <v>101192</v>
      </c>
      <c r="E98" s="172" t="s">
        <v>16</v>
      </c>
      <c r="F98" s="172" t="s">
        <v>34</v>
      </c>
      <c r="G98" s="168" t="s">
        <v>464</v>
      </c>
      <c r="H98" s="172" t="s">
        <v>69</v>
      </c>
      <c r="I98" s="172" t="s">
        <v>28</v>
      </c>
      <c r="J98" s="5">
        <v>211</v>
      </c>
      <c r="K98" s="172" t="s">
        <v>10</v>
      </c>
      <c r="L98" s="159">
        <v>0</v>
      </c>
      <c r="M98" s="172" t="s">
        <v>33</v>
      </c>
      <c r="N98" s="172" t="s">
        <v>33</v>
      </c>
      <c r="O98" s="5">
        <v>2</v>
      </c>
      <c r="P98" s="5" t="s">
        <v>8</v>
      </c>
      <c r="Q98" s="5">
        <v>4</v>
      </c>
      <c r="R98" s="5">
        <v>3</v>
      </c>
    </row>
    <row r="99" spans="1:18">
      <c r="A99" s="4">
        <v>46078</v>
      </c>
      <c r="B99" s="159">
        <v>128436</v>
      </c>
      <c r="C99" s="4">
        <v>46125</v>
      </c>
      <c r="D99" s="159">
        <v>101186</v>
      </c>
      <c r="E99" s="172" t="s">
        <v>16</v>
      </c>
      <c r="F99" s="172" t="s">
        <v>38</v>
      </c>
      <c r="G99" s="168" t="s">
        <v>465</v>
      </c>
      <c r="H99" s="172" t="s">
        <v>67</v>
      </c>
      <c r="I99" s="172" t="s">
        <v>45</v>
      </c>
      <c r="J99" s="5">
        <v>568</v>
      </c>
      <c r="K99" s="172" t="s">
        <v>10</v>
      </c>
      <c r="L99" s="159">
        <v>0</v>
      </c>
      <c r="M99" s="172" t="s">
        <v>33</v>
      </c>
      <c r="N99" s="172" t="s">
        <v>33</v>
      </c>
      <c r="O99" s="5">
        <v>33</v>
      </c>
      <c r="P99" s="5" t="s">
        <v>14</v>
      </c>
      <c r="Q99" s="5">
        <v>3</v>
      </c>
      <c r="R99" s="5">
        <v>3</v>
      </c>
    </row>
    <row r="100" spans="1:18">
      <c r="A100" s="4">
        <v>46125</v>
      </c>
      <c r="B100" s="159">
        <v>130055</v>
      </c>
      <c r="C100" s="4">
        <v>46125</v>
      </c>
      <c r="D100" s="159">
        <v>101181</v>
      </c>
      <c r="E100" s="172" t="s">
        <v>16</v>
      </c>
      <c r="F100" s="172" t="s">
        <v>38</v>
      </c>
      <c r="G100" s="168" t="s">
        <v>466</v>
      </c>
      <c r="H100" s="172" t="s">
        <v>67</v>
      </c>
      <c r="I100" s="172" t="s">
        <v>45</v>
      </c>
      <c r="J100" s="5">
        <v>15</v>
      </c>
      <c r="K100" s="172" t="s">
        <v>10</v>
      </c>
      <c r="L100" s="159">
        <v>0</v>
      </c>
      <c r="M100" s="172" t="s">
        <v>29</v>
      </c>
      <c r="N100" s="172" t="s">
        <v>33</v>
      </c>
      <c r="O100" s="5">
        <v>0</v>
      </c>
      <c r="P100" s="5" t="s">
        <v>14</v>
      </c>
      <c r="Q100" s="5">
        <v>3</v>
      </c>
      <c r="R100" s="5">
        <v>3</v>
      </c>
    </row>
    <row r="101" spans="1:18">
      <c r="A101" s="4">
        <v>46114</v>
      </c>
      <c r="B101" s="194">
        <v>129830</v>
      </c>
      <c r="C101" s="4">
        <v>46125</v>
      </c>
      <c r="D101" s="159">
        <v>101184</v>
      </c>
      <c r="E101" s="172" t="s">
        <v>16</v>
      </c>
      <c r="F101" s="172" t="s">
        <v>38</v>
      </c>
      <c r="G101" s="168" t="s">
        <v>467</v>
      </c>
      <c r="H101" s="172" t="s">
        <v>67</v>
      </c>
      <c r="I101" s="172" t="s">
        <v>45</v>
      </c>
      <c r="J101" s="5">
        <v>96</v>
      </c>
      <c r="K101" s="172" t="s">
        <v>10</v>
      </c>
      <c r="L101" s="159">
        <v>1</v>
      </c>
      <c r="M101" s="172" t="s">
        <v>33</v>
      </c>
      <c r="N101" s="172" t="s">
        <v>33</v>
      </c>
      <c r="O101" s="5">
        <v>7</v>
      </c>
      <c r="P101" s="5" t="s">
        <v>14</v>
      </c>
      <c r="Q101" s="5">
        <v>3</v>
      </c>
      <c r="R101" s="5">
        <v>3</v>
      </c>
    </row>
    <row r="102" spans="1:18">
      <c r="A102" s="4">
        <v>46098</v>
      </c>
      <c r="B102" s="193">
        <v>129047</v>
      </c>
      <c r="C102" s="4">
        <v>46125</v>
      </c>
      <c r="D102" s="159">
        <v>101168</v>
      </c>
      <c r="E102" s="172" t="s">
        <v>16</v>
      </c>
      <c r="F102" s="172" t="s">
        <v>34</v>
      </c>
      <c r="G102" s="168" t="s">
        <v>468</v>
      </c>
      <c r="H102" s="172" t="s">
        <v>58</v>
      </c>
      <c r="I102" s="172" t="s">
        <v>28</v>
      </c>
      <c r="J102" s="5">
        <v>252</v>
      </c>
      <c r="K102" s="172" t="s">
        <v>10</v>
      </c>
      <c r="L102" s="159">
        <v>1</v>
      </c>
      <c r="M102" s="172" t="s">
        <v>33</v>
      </c>
      <c r="N102" s="172" t="s">
        <v>33</v>
      </c>
      <c r="O102" s="5">
        <v>19</v>
      </c>
      <c r="P102" s="5" t="s">
        <v>8</v>
      </c>
      <c r="Q102" s="5">
        <v>4</v>
      </c>
      <c r="R102" s="5">
        <v>2</v>
      </c>
    </row>
    <row r="103" spans="1:18">
      <c r="A103" s="4">
        <v>46090</v>
      </c>
      <c r="B103" s="193">
        <v>46125</v>
      </c>
      <c r="C103" s="4">
        <v>46125</v>
      </c>
      <c r="D103" s="159">
        <v>101166</v>
      </c>
      <c r="E103" s="172" t="s">
        <v>16</v>
      </c>
      <c r="F103" s="172" t="s">
        <v>34</v>
      </c>
      <c r="G103" s="168" t="s">
        <v>469</v>
      </c>
      <c r="H103" s="172" t="s">
        <v>58</v>
      </c>
      <c r="I103" s="172" t="s">
        <v>28</v>
      </c>
      <c r="J103" s="5">
        <v>347</v>
      </c>
      <c r="K103" s="172" t="s">
        <v>10</v>
      </c>
      <c r="L103" s="159">
        <v>2</v>
      </c>
      <c r="M103" s="172" t="s">
        <v>33</v>
      </c>
      <c r="N103" s="172" t="s">
        <v>33</v>
      </c>
      <c r="O103" s="5">
        <v>25</v>
      </c>
      <c r="P103" s="5" t="s">
        <v>8</v>
      </c>
      <c r="Q103" s="5">
        <v>4</v>
      </c>
      <c r="R103" s="5">
        <v>2</v>
      </c>
    </row>
    <row r="104" spans="1:18">
      <c r="A104" s="4">
        <v>46125</v>
      </c>
      <c r="B104" s="178">
        <v>130014</v>
      </c>
      <c r="C104" s="4">
        <v>46125</v>
      </c>
      <c r="D104" s="159">
        <v>101165</v>
      </c>
      <c r="E104" s="172" t="s">
        <v>16</v>
      </c>
      <c r="F104" s="172" t="s">
        <v>34</v>
      </c>
      <c r="G104" s="168" t="s">
        <v>470</v>
      </c>
      <c r="H104" s="172" t="s">
        <v>56</v>
      </c>
      <c r="I104" s="172" t="s">
        <v>28</v>
      </c>
      <c r="J104" s="5">
        <v>91</v>
      </c>
      <c r="K104" s="172" t="s">
        <v>10</v>
      </c>
      <c r="L104" s="159">
        <v>0</v>
      </c>
      <c r="M104" s="172" t="s">
        <v>33</v>
      </c>
      <c r="N104" s="172" t="s">
        <v>33</v>
      </c>
      <c r="O104" s="5">
        <v>0</v>
      </c>
      <c r="P104" s="5" t="s">
        <v>36</v>
      </c>
      <c r="Q104" s="5">
        <v>0</v>
      </c>
      <c r="R104" s="5">
        <v>3</v>
      </c>
    </row>
    <row r="105" spans="1:18">
      <c r="A105" s="4">
        <v>46112</v>
      </c>
      <c r="B105" s="178">
        <v>129275</v>
      </c>
      <c r="C105" s="4">
        <v>46125</v>
      </c>
      <c r="D105" s="159">
        <v>101164</v>
      </c>
      <c r="E105" s="172" t="s">
        <v>16</v>
      </c>
      <c r="F105" s="172" t="s">
        <v>34</v>
      </c>
      <c r="G105" s="168" t="s">
        <v>471</v>
      </c>
      <c r="H105" s="172" t="s">
        <v>58</v>
      </c>
      <c r="I105" s="172" t="s">
        <v>28</v>
      </c>
      <c r="J105" s="5">
        <v>340</v>
      </c>
      <c r="K105" s="172" t="s">
        <v>10</v>
      </c>
      <c r="L105" s="159">
        <v>2</v>
      </c>
      <c r="M105" s="172" t="s">
        <v>33</v>
      </c>
      <c r="N105" s="172" t="s">
        <v>33</v>
      </c>
      <c r="O105" s="5">
        <v>9</v>
      </c>
      <c r="P105" s="5" t="s">
        <v>8</v>
      </c>
      <c r="Q105" s="5">
        <v>4</v>
      </c>
      <c r="R105" s="5">
        <v>2</v>
      </c>
    </row>
    <row r="106" spans="1:18">
      <c r="A106" s="4">
        <v>46085</v>
      </c>
      <c r="B106" s="178">
        <v>126935</v>
      </c>
      <c r="C106" s="4">
        <v>46125</v>
      </c>
      <c r="D106" s="159">
        <v>101161</v>
      </c>
      <c r="E106" s="172" t="s">
        <v>16</v>
      </c>
      <c r="F106" s="172" t="s">
        <v>34</v>
      </c>
      <c r="G106" s="168" t="s">
        <v>472</v>
      </c>
      <c r="H106" s="172" t="s">
        <v>58</v>
      </c>
      <c r="I106" s="172" t="s">
        <v>28</v>
      </c>
      <c r="J106" s="5">
        <v>393</v>
      </c>
      <c r="K106" s="172" t="s">
        <v>10</v>
      </c>
      <c r="L106" s="159">
        <v>1</v>
      </c>
      <c r="M106" s="172" t="s">
        <v>33</v>
      </c>
      <c r="N106" s="172" t="s">
        <v>33</v>
      </c>
      <c r="O106" s="5">
        <v>28</v>
      </c>
      <c r="P106" s="5" t="s">
        <v>8</v>
      </c>
      <c r="Q106" s="5">
        <v>4</v>
      </c>
      <c r="R106" s="5">
        <v>2</v>
      </c>
    </row>
    <row r="107" spans="1:18">
      <c r="A107" s="4">
        <v>46122</v>
      </c>
      <c r="B107" s="178">
        <v>129936</v>
      </c>
      <c r="C107" s="4">
        <v>46125</v>
      </c>
      <c r="D107" s="159">
        <v>101159</v>
      </c>
      <c r="E107" s="172" t="s">
        <v>17</v>
      </c>
      <c r="F107" s="172" t="s">
        <v>34</v>
      </c>
      <c r="G107" s="168" t="s">
        <v>473</v>
      </c>
      <c r="H107" s="172" t="s">
        <v>57</v>
      </c>
      <c r="I107" s="172" t="s">
        <v>37</v>
      </c>
      <c r="J107" s="5"/>
      <c r="K107" s="172" t="s">
        <v>11</v>
      </c>
      <c r="L107" s="159"/>
      <c r="M107" s="172" t="s">
        <v>29</v>
      </c>
      <c r="N107" s="172" t="s">
        <v>33</v>
      </c>
      <c r="O107" s="5">
        <v>1</v>
      </c>
      <c r="P107" s="5" t="s">
        <v>14</v>
      </c>
      <c r="Q107" s="5">
        <v>26</v>
      </c>
      <c r="R107" s="5">
        <v>3</v>
      </c>
    </row>
    <row r="108" spans="1:18">
      <c r="A108" s="4">
        <v>46120</v>
      </c>
      <c r="B108" s="178">
        <v>129940</v>
      </c>
      <c r="C108" s="4">
        <v>46125</v>
      </c>
      <c r="D108" s="159">
        <v>101157</v>
      </c>
      <c r="E108" s="172" t="s">
        <v>17</v>
      </c>
      <c r="F108" s="172" t="s">
        <v>34</v>
      </c>
      <c r="G108" s="168" t="s">
        <v>474</v>
      </c>
      <c r="H108" s="172" t="s">
        <v>57</v>
      </c>
      <c r="I108" s="172" t="s">
        <v>37</v>
      </c>
      <c r="J108" s="5"/>
      <c r="K108" s="172" t="s">
        <v>11</v>
      </c>
      <c r="L108" s="159"/>
      <c r="M108" s="172" t="s">
        <v>33</v>
      </c>
      <c r="N108" s="172" t="s">
        <v>33</v>
      </c>
      <c r="O108" s="5">
        <v>3</v>
      </c>
      <c r="P108" s="5" t="s">
        <v>14</v>
      </c>
      <c r="Q108" s="5">
        <v>26</v>
      </c>
      <c r="R108" s="5">
        <v>3</v>
      </c>
    </row>
    <row r="109" spans="1:18">
      <c r="A109" s="4">
        <v>46121</v>
      </c>
      <c r="B109" s="178">
        <v>129729</v>
      </c>
      <c r="C109" s="4">
        <v>46125</v>
      </c>
      <c r="D109" s="159">
        <v>101153</v>
      </c>
      <c r="E109" s="172" t="s">
        <v>16</v>
      </c>
      <c r="F109" s="172" t="s">
        <v>34</v>
      </c>
      <c r="G109" s="168" t="s">
        <v>475</v>
      </c>
      <c r="H109" s="172" t="s">
        <v>58</v>
      </c>
      <c r="I109" s="172" t="s">
        <v>28</v>
      </c>
      <c r="J109" s="5">
        <v>73</v>
      </c>
      <c r="K109" s="172" t="s">
        <v>10</v>
      </c>
      <c r="L109" s="159">
        <v>1</v>
      </c>
      <c r="M109" s="172" t="s">
        <v>29</v>
      </c>
      <c r="N109" s="172" t="s">
        <v>33</v>
      </c>
      <c r="O109" s="5">
        <v>2</v>
      </c>
      <c r="P109" s="5" t="s">
        <v>8</v>
      </c>
      <c r="Q109" s="5">
        <v>4</v>
      </c>
      <c r="R109" s="5">
        <v>2</v>
      </c>
    </row>
    <row r="110" spans="1:18">
      <c r="A110" s="4">
        <v>46121</v>
      </c>
      <c r="B110" s="178">
        <v>129604</v>
      </c>
      <c r="C110" s="4">
        <v>46125</v>
      </c>
      <c r="D110" s="159">
        <v>101154</v>
      </c>
      <c r="E110" s="172" t="s">
        <v>16</v>
      </c>
      <c r="F110" s="172" t="s">
        <v>34</v>
      </c>
      <c r="G110" s="168" t="s">
        <v>476</v>
      </c>
      <c r="H110" s="172" t="s">
        <v>56</v>
      </c>
      <c r="I110" s="172" t="s">
        <v>28</v>
      </c>
      <c r="J110" s="5">
        <v>406</v>
      </c>
      <c r="K110" s="172" t="s">
        <v>10</v>
      </c>
      <c r="L110" s="159">
        <v>0</v>
      </c>
      <c r="M110" s="172" t="s">
        <v>33</v>
      </c>
      <c r="N110" s="172" t="s">
        <v>33</v>
      </c>
      <c r="O110" s="5">
        <v>2</v>
      </c>
      <c r="P110" s="5" t="s">
        <v>36</v>
      </c>
      <c r="Q110" s="5">
        <v>0</v>
      </c>
      <c r="R110" s="5">
        <v>3</v>
      </c>
    </row>
    <row r="111" spans="1:18">
      <c r="A111" s="4">
        <v>46101</v>
      </c>
      <c r="B111" s="178">
        <v>129343</v>
      </c>
      <c r="C111" s="4">
        <v>46122</v>
      </c>
      <c r="D111" s="159">
        <v>101150</v>
      </c>
      <c r="E111" s="172" t="s">
        <v>18</v>
      </c>
      <c r="F111" s="172" t="s">
        <v>38</v>
      </c>
      <c r="G111" s="168" t="s">
        <v>477</v>
      </c>
      <c r="H111" s="172" t="s">
        <v>67</v>
      </c>
      <c r="I111" s="172" t="s">
        <v>45</v>
      </c>
      <c r="J111" s="5">
        <v>309</v>
      </c>
      <c r="K111" s="172" t="s">
        <v>10</v>
      </c>
      <c r="L111" s="159">
        <v>1</v>
      </c>
      <c r="M111" s="172" t="s">
        <v>33</v>
      </c>
      <c r="N111" s="172" t="s">
        <v>33</v>
      </c>
      <c r="O111" s="5">
        <v>15</v>
      </c>
      <c r="P111" s="5" t="s">
        <v>14</v>
      </c>
      <c r="Q111" s="5">
        <v>10</v>
      </c>
      <c r="R111" s="5">
        <v>3</v>
      </c>
    </row>
    <row r="112" spans="1:18">
      <c r="A112" s="4">
        <v>46113</v>
      </c>
      <c r="B112" s="178">
        <v>129762</v>
      </c>
      <c r="C112" s="4">
        <v>46122</v>
      </c>
      <c r="D112" s="159">
        <v>101141</v>
      </c>
      <c r="E112" s="172" t="s">
        <v>16</v>
      </c>
      <c r="F112" s="172" t="s">
        <v>38</v>
      </c>
      <c r="G112" s="168" t="s">
        <v>478</v>
      </c>
      <c r="H112" s="172" t="s">
        <v>67</v>
      </c>
      <c r="I112" s="172" t="s">
        <v>45</v>
      </c>
      <c r="J112" s="5">
        <v>137</v>
      </c>
      <c r="K112" s="172" t="s">
        <v>10</v>
      </c>
      <c r="L112" s="159">
        <v>0</v>
      </c>
      <c r="M112" s="172" t="s">
        <v>33</v>
      </c>
      <c r="N112" s="172" t="s">
        <v>33</v>
      </c>
      <c r="O112" s="5">
        <v>7</v>
      </c>
      <c r="P112" s="5" t="s">
        <v>14</v>
      </c>
      <c r="Q112" s="5">
        <v>3</v>
      </c>
      <c r="R112" s="5">
        <v>3</v>
      </c>
    </row>
    <row r="113" spans="1:18">
      <c r="A113" s="4">
        <v>46094</v>
      </c>
      <c r="B113" s="178">
        <v>129109</v>
      </c>
      <c r="C113" s="4">
        <v>46122</v>
      </c>
      <c r="D113" s="159">
        <v>101133</v>
      </c>
      <c r="E113" s="172" t="s">
        <v>16</v>
      </c>
      <c r="F113" s="172" t="s">
        <v>38</v>
      </c>
      <c r="G113" s="168" t="s">
        <v>479</v>
      </c>
      <c r="H113" s="172" t="s">
        <v>67</v>
      </c>
      <c r="I113" s="172" t="s">
        <v>45</v>
      </c>
      <c r="J113" s="5">
        <v>152</v>
      </c>
      <c r="K113" s="172" t="s">
        <v>10</v>
      </c>
      <c r="L113" s="159">
        <v>0</v>
      </c>
      <c r="M113" s="172" t="s">
        <v>33</v>
      </c>
      <c r="N113" s="172" t="s">
        <v>33</v>
      </c>
      <c r="O113" s="5">
        <v>20</v>
      </c>
      <c r="P113" s="5" t="s">
        <v>14</v>
      </c>
      <c r="Q113" s="5">
        <v>3</v>
      </c>
      <c r="R113" s="5">
        <v>3</v>
      </c>
    </row>
    <row r="114" spans="1:18">
      <c r="A114" s="4">
        <v>45866</v>
      </c>
      <c r="B114" s="178">
        <v>121247</v>
      </c>
      <c r="C114" s="4">
        <v>46122</v>
      </c>
      <c r="D114" s="159">
        <v>101133</v>
      </c>
      <c r="E114" s="172" t="s">
        <v>18</v>
      </c>
      <c r="F114" s="172" t="s">
        <v>38</v>
      </c>
      <c r="G114" s="168" t="s">
        <v>480</v>
      </c>
      <c r="H114" s="172" t="s">
        <v>67</v>
      </c>
      <c r="I114" s="172" t="s">
        <v>45</v>
      </c>
      <c r="J114" s="5">
        <v>134</v>
      </c>
      <c r="K114" s="172" t="s">
        <v>10</v>
      </c>
      <c r="L114" s="159">
        <v>0</v>
      </c>
      <c r="M114" s="172" t="s">
        <v>33</v>
      </c>
      <c r="N114" s="172" t="s">
        <v>33</v>
      </c>
      <c r="O114" s="5">
        <v>184</v>
      </c>
      <c r="P114" s="5" t="s">
        <v>14</v>
      </c>
      <c r="Q114" s="5">
        <v>10</v>
      </c>
      <c r="R114" s="5">
        <v>3</v>
      </c>
    </row>
    <row r="115" spans="1:18">
      <c r="A115" s="4">
        <v>46113</v>
      </c>
      <c r="B115" s="178">
        <v>125618</v>
      </c>
      <c r="C115" s="4">
        <v>46121</v>
      </c>
      <c r="D115" s="159">
        <v>101108</v>
      </c>
      <c r="E115" s="172" t="s">
        <v>18</v>
      </c>
      <c r="F115" s="172" t="s">
        <v>34</v>
      </c>
      <c r="G115" s="168" t="s">
        <v>481</v>
      </c>
      <c r="H115" s="172" t="s">
        <v>64</v>
      </c>
      <c r="I115" s="172" t="s">
        <v>37</v>
      </c>
      <c r="J115" s="5">
        <v>1415</v>
      </c>
      <c r="K115" s="172" t="s">
        <v>11</v>
      </c>
      <c r="L115" s="159">
        <v>1</v>
      </c>
      <c r="M115" s="172" t="s">
        <v>33</v>
      </c>
      <c r="N115" s="172" t="s">
        <v>33</v>
      </c>
      <c r="O115" s="5">
        <v>6</v>
      </c>
      <c r="P115" s="5" t="s">
        <v>14</v>
      </c>
      <c r="Q115" s="5">
        <v>20</v>
      </c>
      <c r="R115" s="5">
        <v>3</v>
      </c>
    </row>
    <row r="116" spans="1:18">
      <c r="A116" s="4">
        <v>46092</v>
      </c>
      <c r="B116" s="178">
        <v>128886</v>
      </c>
      <c r="C116" s="4">
        <v>46120</v>
      </c>
      <c r="D116" s="159">
        <v>101100</v>
      </c>
      <c r="E116" s="172" t="s">
        <v>16</v>
      </c>
      <c r="F116" s="172" t="s">
        <v>34</v>
      </c>
      <c r="G116" t="s">
        <v>482</v>
      </c>
      <c r="H116" s="172" t="s">
        <v>58</v>
      </c>
      <c r="I116" s="172" t="s">
        <v>28</v>
      </c>
      <c r="J116" s="5">
        <v>430</v>
      </c>
      <c r="K116" s="172" t="s">
        <v>10</v>
      </c>
      <c r="L116" s="159">
        <v>2</v>
      </c>
      <c r="M116" s="172" t="s">
        <v>33</v>
      </c>
      <c r="N116" s="172" t="s">
        <v>33</v>
      </c>
      <c r="O116" s="5">
        <v>20</v>
      </c>
      <c r="P116" s="5" t="s">
        <v>8</v>
      </c>
      <c r="Q116" s="5">
        <v>4</v>
      </c>
      <c r="R116" s="5">
        <v>2</v>
      </c>
    </row>
    <row r="117" spans="1:18">
      <c r="A117" s="4">
        <v>46120</v>
      </c>
      <c r="B117" s="178">
        <v>129861</v>
      </c>
      <c r="C117" s="4">
        <v>46120</v>
      </c>
      <c r="D117" s="159">
        <v>101096</v>
      </c>
      <c r="E117" s="172" t="s">
        <v>16</v>
      </c>
      <c r="F117" s="172" t="s">
        <v>34</v>
      </c>
      <c r="G117" t="s">
        <v>203</v>
      </c>
      <c r="H117" s="172" t="s">
        <v>69</v>
      </c>
      <c r="I117" s="172" t="s">
        <v>28</v>
      </c>
      <c r="J117" s="5">
        <v>167</v>
      </c>
      <c r="K117" s="172" t="s">
        <v>10</v>
      </c>
      <c r="L117" s="159">
        <v>0</v>
      </c>
      <c r="M117" s="172" t="s">
        <v>33</v>
      </c>
      <c r="N117" s="172" t="s">
        <v>33</v>
      </c>
      <c r="O117" s="5">
        <v>0</v>
      </c>
      <c r="P117" s="5" t="s">
        <v>8</v>
      </c>
      <c r="Q117" s="5">
        <v>4</v>
      </c>
      <c r="R117" s="5">
        <v>3</v>
      </c>
    </row>
    <row r="118" spans="1:18">
      <c r="A118" s="4">
        <v>46120</v>
      </c>
      <c r="B118" s="178">
        <v>129858</v>
      </c>
      <c r="C118" s="4">
        <v>46120</v>
      </c>
      <c r="D118" s="159">
        <v>101090</v>
      </c>
      <c r="E118" s="172" t="s">
        <v>16</v>
      </c>
      <c r="F118" s="172" t="s">
        <v>34</v>
      </c>
      <c r="G118" t="s">
        <v>483</v>
      </c>
      <c r="H118" s="172" t="s">
        <v>69</v>
      </c>
      <c r="I118" s="172" t="s">
        <v>28</v>
      </c>
      <c r="J118" s="5">
        <v>436</v>
      </c>
      <c r="K118" s="172" t="s">
        <v>10</v>
      </c>
      <c r="L118" s="159">
        <v>0</v>
      </c>
      <c r="M118" s="172" t="s">
        <v>33</v>
      </c>
      <c r="N118" s="172" t="s">
        <v>33</v>
      </c>
      <c r="O118" s="5">
        <v>0</v>
      </c>
      <c r="P118" s="5" t="s">
        <v>8</v>
      </c>
      <c r="Q118" s="5">
        <v>4</v>
      </c>
      <c r="R118" s="5">
        <v>3</v>
      </c>
    </row>
    <row r="119" spans="1:18">
      <c r="A119" s="4">
        <v>46120</v>
      </c>
      <c r="B119" s="178">
        <v>129917</v>
      </c>
      <c r="C119" s="4">
        <v>46120</v>
      </c>
      <c r="D119" s="159">
        <v>101084</v>
      </c>
      <c r="E119" s="172" t="s">
        <v>18</v>
      </c>
      <c r="F119" s="172" t="s">
        <v>38</v>
      </c>
      <c r="G119" t="s">
        <v>484</v>
      </c>
      <c r="H119" s="172" t="s">
        <v>39</v>
      </c>
      <c r="I119" s="172" t="s">
        <v>45</v>
      </c>
      <c r="J119" s="5">
        <v>20</v>
      </c>
      <c r="K119" s="172" t="s">
        <v>10</v>
      </c>
      <c r="L119" s="159">
        <v>0</v>
      </c>
      <c r="M119" s="172" t="s">
        <v>33</v>
      </c>
      <c r="N119" s="172" t="s">
        <v>33</v>
      </c>
      <c r="O119" s="5">
        <v>0</v>
      </c>
      <c r="P119" s="5" t="s">
        <v>15</v>
      </c>
      <c r="Q119" s="5">
        <v>8</v>
      </c>
      <c r="R119" s="5">
        <v>3</v>
      </c>
    </row>
    <row r="120" spans="1:18">
      <c r="A120" s="4">
        <v>46119</v>
      </c>
      <c r="B120" s="178">
        <v>129893</v>
      </c>
      <c r="C120" s="4">
        <v>46119</v>
      </c>
      <c r="D120" s="159">
        <v>100393</v>
      </c>
      <c r="E120" s="172" t="s">
        <v>18</v>
      </c>
      <c r="F120" s="172" t="s">
        <v>38</v>
      </c>
      <c r="G120" t="s">
        <v>485</v>
      </c>
      <c r="H120" s="172" t="s">
        <v>39</v>
      </c>
      <c r="I120" s="172" t="s">
        <v>45</v>
      </c>
      <c r="J120" s="5">
        <v>10</v>
      </c>
      <c r="K120" s="172" t="s">
        <v>10</v>
      </c>
      <c r="L120" s="159">
        <v>0</v>
      </c>
      <c r="M120" s="172" t="s">
        <v>33</v>
      </c>
      <c r="N120" s="172" t="s">
        <v>33</v>
      </c>
      <c r="O120" s="5">
        <v>0</v>
      </c>
      <c r="P120" s="5" t="s">
        <v>15</v>
      </c>
      <c r="Q120" s="5">
        <v>8</v>
      </c>
      <c r="R120" s="5">
        <v>3</v>
      </c>
    </row>
    <row r="121" spans="1:18">
      <c r="A121" s="4">
        <v>46094</v>
      </c>
      <c r="B121" s="178">
        <v>128657</v>
      </c>
      <c r="C121" s="4">
        <v>46119</v>
      </c>
      <c r="D121" s="159">
        <v>101058</v>
      </c>
      <c r="E121" s="172" t="s">
        <v>9</v>
      </c>
      <c r="F121" s="172" t="s">
        <v>34</v>
      </c>
      <c r="G121" t="s">
        <v>486</v>
      </c>
      <c r="H121" s="172" t="s">
        <v>63</v>
      </c>
      <c r="I121" s="172" t="s">
        <v>40</v>
      </c>
      <c r="J121" s="5">
        <f>852+820</f>
        <v>1672</v>
      </c>
      <c r="K121" s="172" t="s">
        <v>10</v>
      </c>
      <c r="L121" s="159">
        <v>2</v>
      </c>
      <c r="M121" s="172" t="s">
        <v>33</v>
      </c>
      <c r="N121" s="172" t="s">
        <v>29</v>
      </c>
      <c r="O121" s="5">
        <v>17</v>
      </c>
      <c r="P121" s="5" t="s">
        <v>8</v>
      </c>
      <c r="Q121" s="5">
        <v>10</v>
      </c>
      <c r="R121" s="5">
        <v>2</v>
      </c>
    </row>
    <row r="122" spans="1:18">
      <c r="A122" s="4">
        <v>46119</v>
      </c>
      <c r="B122" s="178">
        <v>129875</v>
      </c>
      <c r="C122" s="4">
        <v>46119</v>
      </c>
      <c r="D122" s="159">
        <v>101061</v>
      </c>
      <c r="E122" s="172" t="s">
        <v>16</v>
      </c>
      <c r="F122" s="172" t="s">
        <v>30</v>
      </c>
      <c r="G122" t="s">
        <v>487</v>
      </c>
      <c r="H122" s="172" t="s">
        <v>67</v>
      </c>
      <c r="I122" s="172" t="s">
        <v>45</v>
      </c>
      <c r="J122" s="5">
        <v>65</v>
      </c>
      <c r="K122" s="172" t="s">
        <v>10</v>
      </c>
      <c r="L122" s="159">
        <v>0</v>
      </c>
      <c r="M122" s="172" t="s">
        <v>33</v>
      </c>
      <c r="N122" s="172" t="s">
        <v>33</v>
      </c>
      <c r="O122" s="5">
        <v>0</v>
      </c>
      <c r="P122" s="5" t="s">
        <v>14</v>
      </c>
      <c r="Q122" s="5">
        <v>3</v>
      </c>
      <c r="R122" s="5">
        <v>3</v>
      </c>
    </row>
    <row r="123" spans="1:18">
      <c r="A123" s="4">
        <v>46097</v>
      </c>
      <c r="B123" s="178">
        <v>128810</v>
      </c>
      <c r="C123" s="4">
        <v>46119</v>
      </c>
      <c r="D123" s="159">
        <v>101055</v>
      </c>
      <c r="E123" s="172" t="s">
        <v>16</v>
      </c>
      <c r="F123" s="172" t="s">
        <v>34</v>
      </c>
      <c r="G123" t="s">
        <v>488</v>
      </c>
      <c r="H123" s="172" t="s">
        <v>58</v>
      </c>
      <c r="I123" s="172" t="s">
        <v>28</v>
      </c>
      <c r="J123" s="5">
        <v>312</v>
      </c>
      <c r="K123" s="172" t="s">
        <v>10</v>
      </c>
      <c r="L123" s="159">
        <v>2</v>
      </c>
      <c r="M123" s="172" t="s">
        <v>33</v>
      </c>
      <c r="N123" s="172" t="s">
        <v>33</v>
      </c>
      <c r="O123" s="5">
        <v>16</v>
      </c>
      <c r="P123" s="5" t="s">
        <v>8</v>
      </c>
      <c r="Q123" s="5">
        <v>4</v>
      </c>
      <c r="R123" s="5">
        <v>2</v>
      </c>
    </row>
    <row r="124" spans="1:18">
      <c r="A124" s="4">
        <v>46118</v>
      </c>
      <c r="B124" s="178">
        <v>129803</v>
      </c>
      <c r="C124" s="4">
        <v>46119</v>
      </c>
      <c r="D124" s="159">
        <v>101052</v>
      </c>
      <c r="E124" s="172" t="s">
        <v>16</v>
      </c>
      <c r="F124" s="172" t="s">
        <v>34</v>
      </c>
      <c r="G124" t="s">
        <v>489</v>
      </c>
      <c r="H124" s="172" t="s">
        <v>58</v>
      </c>
      <c r="I124" s="172" t="s">
        <v>28</v>
      </c>
      <c r="J124" s="5">
        <v>144</v>
      </c>
      <c r="K124" s="172" t="s">
        <v>10</v>
      </c>
      <c r="L124" s="159">
        <v>0</v>
      </c>
      <c r="M124" s="172" t="s">
        <v>33</v>
      </c>
      <c r="N124" s="172" t="s">
        <v>33</v>
      </c>
      <c r="O124" s="5">
        <v>1</v>
      </c>
      <c r="P124" s="5" t="s">
        <v>8</v>
      </c>
      <c r="Q124" s="5">
        <v>4</v>
      </c>
      <c r="R124" s="5">
        <v>2</v>
      </c>
    </row>
    <row r="125" spans="1:18">
      <c r="A125" s="4">
        <v>46113</v>
      </c>
      <c r="B125" s="178">
        <v>129742</v>
      </c>
      <c r="C125" s="4">
        <v>46118</v>
      </c>
      <c r="D125" s="159">
        <v>101046</v>
      </c>
      <c r="E125" s="172" t="s">
        <v>9</v>
      </c>
      <c r="F125" s="172" t="s">
        <v>34</v>
      </c>
      <c r="G125" t="s">
        <v>490</v>
      </c>
      <c r="H125" s="172" t="s">
        <v>50</v>
      </c>
      <c r="I125" s="172" t="s">
        <v>35</v>
      </c>
      <c r="J125" s="5">
        <f>90+166</f>
        <v>256</v>
      </c>
      <c r="K125" s="172" t="s">
        <v>10</v>
      </c>
      <c r="L125" s="159">
        <v>3</v>
      </c>
      <c r="M125" s="172" t="s">
        <v>33</v>
      </c>
      <c r="N125" s="172" t="s">
        <v>33</v>
      </c>
      <c r="O125" s="5">
        <v>3</v>
      </c>
      <c r="P125" s="5" t="s">
        <v>14</v>
      </c>
      <c r="Q125" s="5">
        <v>8</v>
      </c>
      <c r="R125" s="5">
        <v>2</v>
      </c>
    </row>
    <row r="126" spans="1:18">
      <c r="A126" s="4">
        <v>46112</v>
      </c>
      <c r="B126" s="178">
        <v>129701</v>
      </c>
      <c r="C126" s="4">
        <v>46118</v>
      </c>
      <c r="D126" s="159">
        <v>101043</v>
      </c>
      <c r="E126" s="172" t="s">
        <v>16</v>
      </c>
      <c r="F126" s="172" t="s">
        <v>38</v>
      </c>
      <c r="G126" t="s">
        <v>491</v>
      </c>
      <c r="H126" s="172" t="s">
        <v>67</v>
      </c>
      <c r="I126" s="172" t="s">
        <v>45</v>
      </c>
      <c r="J126" s="5">
        <v>170</v>
      </c>
      <c r="K126" s="172" t="s">
        <v>10</v>
      </c>
      <c r="L126" s="159">
        <v>1</v>
      </c>
      <c r="M126" s="172" t="s">
        <v>33</v>
      </c>
      <c r="N126" s="172" t="s">
        <v>33</v>
      </c>
      <c r="O126" s="5">
        <v>4</v>
      </c>
      <c r="P126" s="5" t="s">
        <v>14</v>
      </c>
      <c r="Q126" s="5">
        <v>3</v>
      </c>
      <c r="R126" s="5">
        <v>3</v>
      </c>
    </row>
    <row r="127" spans="1:18">
      <c r="A127" s="4">
        <v>46114</v>
      </c>
      <c r="B127" s="178">
        <v>129802</v>
      </c>
      <c r="C127" s="4">
        <v>45753</v>
      </c>
      <c r="D127" s="159">
        <v>101036</v>
      </c>
      <c r="E127" s="172" t="s">
        <v>16</v>
      </c>
      <c r="F127" s="172" t="s">
        <v>34</v>
      </c>
      <c r="G127" t="s">
        <v>492</v>
      </c>
      <c r="H127" s="172" t="s">
        <v>56</v>
      </c>
      <c r="I127" s="172" t="s">
        <v>28</v>
      </c>
      <c r="J127" s="5">
        <v>128</v>
      </c>
      <c r="K127" s="172" t="s">
        <v>10</v>
      </c>
      <c r="L127" s="159">
        <v>0</v>
      </c>
      <c r="M127" s="172" t="s">
        <v>33</v>
      </c>
      <c r="N127" s="172" t="s">
        <v>33</v>
      </c>
      <c r="O127" s="5">
        <v>-361</v>
      </c>
      <c r="P127" s="5" t="s">
        <v>36</v>
      </c>
      <c r="Q127" s="5">
        <v>0</v>
      </c>
      <c r="R127" s="5">
        <v>3</v>
      </c>
    </row>
    <row r="128" spans="1:18">
      <c r="A128" s="4">
        <v>46118</v>
      </c>
      <c r="B128" s="178">
        <v>129512</v>
      </c>
      <c r="C128" s="4">
        <v>46118</v>
      </c>
      <c r="D128" s="159">
        <v>101035</v>
      </c>
      <c r="E128" s="172" t="s">
        <v>16</v>
      </c>
      <c r="F128" s="172" t="s">
        <v>34</v>
      </c>
      <c r="G128" t="s">
        <v>493</v>
      </c>
      <c r="H128" s="172" t="s">
        <v>58</v>
      </c>
      <c r="I128" s="172" t="s">
        <v>28</v>
      </c>
      <c r="J128" s="5">
        <v>130</v>
      </c>
      <c r="K128" s="172" t="s">
        <v>10</v>
      </c>
      <c r="L128" s="159">
        <v>0</v>
      </c>
      <c r="M128" s="172" t="s">
        <v>33</v>
      </c>
      <c r="N128" s="172" t="s">
        <v>33</v>
      </c>
      <c r="O128" s="5">
        <v>0</v>
      </c>
      <c r="P128" s="5" t="s">
        <v>8</v>
      </c>
      <c r="Q128" s="5">
        <v>4</v>
      </c>
      <c r="R128" s="5">
        <v>2</v>
      </c>
    </row>
    <row r="129" spans="1:18">
      <c r="A129" s="4">
        <v>45603</v>
      </c>
      <c r="B129" s="178">
        <v>114414</v>
      </c>
      <c r="C129" s="4">
        <v>46116</v>
      </c>
      <c r="D129" s="159">
        <v>101022</v>
      </c>
      <c r="E129" s="172" t="s">
        <v>18</v>
      </c>
      <c r="F129" s="172" t="s">
        <v>38</v>
      </c>
      <c r="G129" t="s">
        <v>494</v>
      </c>
      <c r="H129" s="172" t="s">
        <v>27</v>
      </c>
      <c r="I129" s="172" t="s">
        <v>35</v>
      </c>
      <c r="J129" s="5">
        <v>17</v>
      </c>
      <c r="K129" s="172" t="s">
        <v>10</v>
      </c>
      <c r="L129" s="159">
        <v>0</v>
      </c>
      <c r="M129" s="172" t="s">
        <v>33</v>
      </c>
      <c r="N129" s="172" t="s">
        <v>33</v>
      </c>
      <c r="O129" s="5">
        <v>366</v>
      </c>
      <c r="P129" s="5" t="s">
        <v>8</v>
      </c>
      <c r="Q129" s="5">
        <v>11.5</v>
      </c>
      <c r="R129" s="5">
        <v>3</v>
      </c>
    </row>
    <row r="130" spans="1:18">
      <c r="A130" s="4">
        <v>45310</v>
      </c>
      <c r="B130" s="178">
        <v>105563</v>
      </c>
      <c r="C130" s="4">
        <v>46116</v>
      </c>
      <c r="D130" s="159">
        <v>101021</v>
      </c>
      <c r="E130" s="172" t="s">
        <v>17</v>
      </c>
      <c r="F130" s="172" t="s">
        <v>34</v>
      </c>
      <c r="G130" t="s">
        <v>495</v>
      </c>
      <c r="H130" s="172" t="s">
        <v>27</v>
      </c>
      <c r="I130" s="172" t="s">
        <v>35</v>
      </c>
      <c r="J130" s="5">
        <f>2695+2670</f>
        <v>5365</v>
      </c>
      <c r="K130" s="172" t="s">
        <v>11</v>
      </c>
      <c r="L130" s="159">
        <v>3</v>
      </c>
      <c r="M130" s="172" t="s">
        <v>29</v>
      </c>
      <c r="N130" s="172" t="s">
        <v>33</v>
      </c>
      <c r="O130" s="5">
        <v>575</v>
      </c>
      <c r="P130" s="5" t="s">
        <v>8</v>
      </c>
      <c r="Q130" s="5">
        <v>40</v>
      </c>
      <c r="R130" s="5">
        <v>3</v>
      </c>
    </row>
    <row r="131" spans="1:18">
      <c r="A131" s="4">
        <v>46113</v>
      </c>
      <c r="B131" s="178">
        <v>129761</v>
      </c>
      <c r="C131" s="4">
        <v>46114</v>
      </c>
      <c r="D131" s="159">
        <v>101013</v>
      </c>
      <c r="E131" s="172" t="s">
        <v>16</v>
      </c>
      <c r="F131" s="172" t="s">
        <v>30</v>
      </c>
      <c r="G131" t="s">
        <v>496</v>
      </c>
      <c r="H131" s="172" t="s">
        <v>67</v>
      </c>
      <c r="I131" s="172" t="s">
        <v>45</v>
      </c>
      <c r="J131" s="5">
        <v>301</v>
      </c>
      <c r="K131" s="172" t="s">
        <v>10</v>
      </c>
      <c r="L131" s="159">
        <v>0</v>
      </c>
      <c r="M131" s="172" t="s">
        <v>33</v>
      </c>
      <c r="N131" s="172" t="s">
        <v>33</v>
      </c>
      <c r="O131" s="5">
        <v>1</v>
      </c>
      <c r="P131" s="5" t="s">
        <v>14</v>
      </c>
      <c r="Q131" s="5">
        <v>3</v>
      </c>
      <c r="R131" s="5">
        <v>3</v>
      </c>
    </row>
    <row r="132" spans="1:18">
      <c r="A132" s="4">
        <v>46114</v>
      </c>
      <c r="B132" s="178">
        <v>129811</v>
      </c>
      <c r="C132" s="4">
        <v>46114</v>
      </c>
      <c r="D132" s="159">
        <v>101010</v>
      </c>
      <c r="E132" s="172" t="s">
        <v>18</v>
      </c>
      <c r="F132" s="172" t="s">
        <v>38</v>
      </c>
      <c r="G132" t="s">
        <v>497</v>
      </c>
      <c r="H132" s="172" t="s">
        <v>39</v>
      </c>
      <c r="I132" s="172" t="s">
        <v>45</v>
      </c>
      <c r="J132" s="5">
        <v>60</v>
      </c>
      <c r="K132" s="172" t="s">
        <v>10</v>
      </c>
      <c r="L132" s="159">
        <v>0</v>
      </c>
      <c r="M132" s="172" t="s">
        <v>33</v>
      </c>
      <c r="N132" s="172" t="s">
        <v>33</v>
      </c>
      <c r="O132" s="5">
        <v>0</v>
      </c>
      <c r="P132" s="5" t="s">
        <v>15</v>
      </c>
      <c r="Q132" s="5">
        <v>8</v>
      </c>
      <c r="R132" s="5">
        <v>3</v>
      </c>
    </row>
    <row r="133" spans="1:18">
      <c r="A133" s="4">
        <v>46106</v>
      </c>
      <c r="B133" s="178">
        <v>129356</v>
      </c>
      <c r="C133" s="4">
        <v>46114</v>
      </c>
      <c r="D133" s="159">
        <v>101011</v>
      </c>
      <c r="E133" s="172" t="s">
        <v>9</v>
      </c>
      <c r="F133" s="172" t="s">
        <v>34</v>
      </c>
      <c r="G133" t="s">
        <v>498</v>
      </c>
      <c r="H133" s="172" t="s">
        <v>69</v>
      </c>
      <c r="I133" s="172" t="s">
        <v>40</v>
      </c>
      <c r="J133" s="5">
        <f>127+403</f>
        <v>530</v>
      </c>
      <c r="K133" s="172" t="s">
        <v>10</v>
      </c>
      <c r="L133" s="159">
        <v>3</v>
      </c>
      <c r="M133" s="172" t="s">
        <v>33</v>
      </c>
      <c r="N133" s="172" t="s">
        <v>33</v>
      </c>
      <c r="O133" s="5">
        <v>6</v>
      </c>
      <c r="P133" s="5" t="s">
        <v>8</v>
      </c>
      <c r="Q133" s="5">
        <v>10</v>
      </c>
      <c r="R133" s="5">
        <v>3</v>
      </c>
    </row>
    <row r="134" spans="1:18">
      <c r="A134" s="4">
        <v>46113</v>
      </c>
      <c r="B134" s="178">
        <v>128421</v>
      </c>
      <c r="C134" s="4">
        <v>46114</v>
      </c>
      <c r="D134" s="159">
        <v>101002</v>
      </c>
      <c r="E134" s="172" t="s">
        <v>18</v>
      </c>
      <c r="F134" s="172" t="s">
        <v>38</v>
      </c>
      <c r="G134" t="s">
        <v>499</v>
      </c>
      <c r="H134" s="172" t="s">
        <v>39</v>
      </c>
      <c r="I134" s="172" t="s">
        <v>43</v>
      </c>
      <c r="J134" s="5">
        <v>276</v>
      </c>
      <c r="K134" s="172" t="s">
        <v>10</v>
      </c>
      <c r="L134" s="159">
        <v>0</v>
      </c>
      <c r="M134" s="172" t="s">
        <v>29</v>
      </c>
      <c r="N134" s="172" t="s">
        <v>33</v>
      </c>
      <c r="O134" s="5">
        <v>1</v>
      </c>
      <c r="P134" s="5" t="s">
        <v>15</v>
      </c>
      <c r="Q134" s="5">
        <v>8</v>
      </c>
      <c r="R134" s="5">
        <v>3</v>
      </c>
    </row>
    <row r="135" spans="1:18">
      <c r="A135" s="4"/>
      <c r="B135" s="5"/>
      <c r="C135" s="4"/>
      <c r="D135" s="5"/>
      <c r="E135" s="5"/>
      <c r="F135" s="5"/>
      <c r="G135" s="168"/>
      <c r="H135" s="5"/>
      <c r="I135" s="5"/>
      <c r="J135" s="179"/>
      <c r="K135" s="5"/>
      <c r="L135" s="179"/>
      <c r="M135" s="5"/>
      <c r="N135" s="5"/>
      <c r="O135" s="5"/>
      <c r="P135" s="5"/>
      <c r="Q135" s="5"/>
      <c r="R135" s="5"/>
    </row>
    <row r="136" spans="1:18">
      <c r="A136" s="4">
        <v>46113</v>
      </c>
      <c r="B136" s="5">
        <v>129714</v>
      </c>
      <c r="C136" s="4">
        <v>46113</v>
      </c>
      <c r="D136" s="5">
        <v>100993</v>
      </c>
      <c r="E136" s="5" t="s">
        <v>16</v>
      </c>
      <c r="F136" s="5" t="s">
        <v>34</v>
      </c>
      <c r="G136" s="168" t="s">
        <v>500</v>
      </c>
      <c r="H136" s="5" t="s">
        <v>69</v>
      </c>
      <c r="I136" s="5" t="s">
        <v>28</v>
      </c>
      <c r="J136" s="179">
        <v>255</v>
      </c>
      <c r="K136" s="5" t="s">
        <v>10</v>
      </c>
      <c r="L136" s="179">
        <v>0</v>
      </c>
      <c r="M136" s="5" t="s">
        <v>33</v>
      </c>
      <c r="N136" s="5" t="s">
        <v>33</v>
      </c>
      <c r="O136" s="5">
        <v>0</v>
      </c>
      <c r="P136" s="5" t="s">
        <v>8</v>
      </c>
      <c r="Q136" s="5">
        <v>4</v>
      </c>
      <c r="R136" s="5">
        <v>3</v>
      </c>
    </row>
    <row r="137" spans="1:18">
      <c r="A137" s="4">
        <v>46106</v>
      </c>
      <c r="B137" s="5">
        <v>129486</v>
      </c>
      <c r="C137" s="4">
        <v>46113</v>
      </c>
      <c r="D137" s="5">
        <v>100987</v>
      </c>
      <c r="E137" s="5" t="s">
        <v>17</v>
      </c>
      <c r="F137" s="5" t="s">
        <v>34</v>
      </c>
      <c r="G137" s="168" t="s">
        <v>501</v>
      </c>
      <c r="H137" s="5" t="s">
        <v>57</v>
      </c>
      <c r="I137" s="5" t="s">
        <v>37</v>
      </c>
      <c r="J137" s="179"/>
      <c r="K137" s="5" t="s">
        <v>11</v>
      </c>
      <c r="L137" s="179"/>
      <c r="M137" s="5"/>
      <c r="N137" s="5"/>
      <c r="O137" s="5">
        <v>5</v>
      </c>
      <c r="P137" s="5" t="s">
        <v>14</v>
      </c>
      <c r="Q137" s="5">
        <v>26</v>
      </c>
      <c r="R137" s="5">
        <v>3</v>
      </c>
    </row>
    <row r="138" spans="1:18">
      <c r="A138" s="4">
        <v>46112</v>
      </c>
      <c r="B138" s="5">
        <v>129721</v>
      </c>
      <c r="C138" s="4">
        <v>46113</v>
      </c>
      <c r="D138" s="5">
        <v>100985</v>
      </c>
      <c r="E138" s="5" t="s">
        <v>16</v>
      </c>
      <c r="F138" s="5" t="s">
        <v>38</v>
      </c>
      <c r="G138" s="168" t="s">
        <v>502</v>
      </c>
      <c r="H138" s="5" t="s">
        <v>67</v>
      </c>
      <c r="I138" s="5" t="s">
        <v>45</v>
      </c>
      <c r="J138" s="179">
        <v>110</v>
      </c>
      <c r="K138" s="5" t="s">
        <v>10</v>
      </c>
      <c r="L138" s="179">
        <v>0</v>
      </c>
      <c r="M138" s="5" t="s">
        <v>33</v>
      </c>
      <c r="N138" s="5" t="s">
        <v>33</v>
      </c>
      <c r="O138" s="5">
        <v>1</v>
      </c>
      <c r="P138" s="5" t="s">
        <v>14</v>
      </c>
      <c r="Q138" s="5">
        <v>3</v>
      </c>
      <c r="R138" s="5">
        <v>3</v>
      </c>
    </row>
    <row r="139" spans="1:18">
      <c r="A139" s="4">
        <v>46106</v>
      </c>
      <c r="B139" s="5">
        <v>129508</v>
      </c>
      <c r="C139" s="4">
        <v>46113</v>
      </c>
      <c r="D139" s="5">
        <v>100983</v>
      </c>
      <c r="E139" s="5" t="s">
        <v>17</v>
      </c>
      <c r="F139" s="5" t="s">
        <v>34</v>
      </c>
      <c r="G139" s="168" t="s">
        <v>503</v>
      </c>
      <c r="H139" s="5" t="s">
        <v>57</v>
      </c>
      <c r="I139" s="5" t="s">
        <v>37</v>
      </c>
      <c r="J139" s="179"/>
      <c r="K139" s="5" t="s">
        <v>11</v>
      </c>
      <c r="L139" s="179"/>
      <c r="M139" s="5"/>
      <c r="N139" s="5"/>
      <c r="O139" s="5">
        <v>5</v>
      </c>
      <c r="P139" s="5" t="s">
        <v>14</v>
      </c>
      <c r="Q139" s="5">
        <v>26</v>
      </c>
      <c r="R139" s="5">
        <v>3</v>
      </c>
    </row>
    <row r="140" spans="1:18">
      <c r="A140" s="4">
        <v>46057</v>
      </c>
      <c r="B140" s="5">
        <v>126557</v>
      </c>
      <c r="C140" s="4">
        <v>46113</v>
      </c>
      <c r="D140" s="5">
        <v>100979</v>
      </c>
      <c r="E140" s="5" t="s">
        <v>9</v>
      </c>
      <c r="F140" s="5" t="s">
        <v>34</v>
      </c>
      <c r="G140" t="s">
        <v>504</v>
      </c>
      <c r="H140" s="5" t="s">
        <v>69</v>
      </c>
      <c r="I140" s="5" t="s">
        <v>40</v>
      </c>
      <c r="J140" s="179">
        <f>747+1145</f>
        <v>1892</v>
      </c>
      <c r="K140" s="5" t="s">
        <v>10</v>
      </c>
      <c r="L140" s="179">
        <v>2</v>
      </c>
      <c r="M140" s="5" t="s">
        <v>29</v>
      </c>
      <c r="N140" s="5" t="s">
        <v>33</v>
      </c>
      <c r="O140" s="5">
        <v>40</v>
      </c>
      <c r="P140" s="5" t="s">
        <v>8</v>
      </c>
      <c r="Q140" s="5">
        <v>10</v>
      </c>
      <c r="R140" s="5">
        <v>3</v>
      </c>
    </row>
    <row r="141" spans="1:18">
      <c r="A141" s="4">
        <v>46106</v>
      </c>
      <c r="B141" s="5">
        <v>129513</v>
      </c>
      <c r="C141" s="4">
        <v>46113</v>
      </c>
      <c r="D141" s="5">
        <v>100955</v>
      </c>
      <c r="E141" s="5" t="s">
        <v>16</v>
      </c>
      <c r="F141" s="5" t="s">
        <v>34</v>
      </c>
      <c r="G141" s="136" t="s">
        <v>505</v>
      </c>
      <c r="H141" s="5" t="s">
        <v>56</v>
      </c>
      <c r="I141" s="5" t="s">
        <v>28</v>
      </c>
      <c r="J141" s="179">
        <v>125</v>
      </c>
      <c r="K141" s="5" t="s">
        <v>10</v>
      </c>
      <c r="L141" s="179">
        <v>0</v>
      </c>
      <c r="M141" s="5" t="s">
        <v>33</v>
      </c>
      <c r="N141" s="5" t="s">
        <v>33</v>
      </c>
      <c r="O141" s="5">
        <v>5</v>
      </c>
      <c r="P141" s="5" t="s">
        <v>36</v>
      </c>
      <c r="Q141" s="5">
        <v>0</v>
      </c>
      <c r="R141" s="5">
        <v>3</v>
      </c>
    </row>
    <row r="142" spans="1:18">
      <c r="A142" s="4">
        <v>46112</v>
      </c>
      <c r="B142" s="5">
        <v>129631</v>
      </c>
      <c r="C142" s="4">
        <v>46113</v>
      </c>
      <c r="D142" s="5">
        <v>100952</v>
      </c>
      <c r="E142" s="5" t="s">
        <v>16</v>
      </c>
      <c r="F142" s="5" t="s">
        <v>34</v>
      </c>
      <c r="G142" s="136" t="s">
        <v>506</v>
      </c>
      <c r="H142" s="5" t="s">
        <v>69</v>
      </c>
      <c r="I142" s="5" t="s">
        <v>28</v>
      </c>
      <c r="J142" s="179">
        <v>372</v>
      </c>
      <c r="K142" s="5" t="s">
        <v>10</v>
      </c>
      <c r="L142" s="179">
        <v>1</v>
      </c>
      <c r="M142" s="5" t="s">
        <v>33</v>
      </c>
      <c r="N142" s="5" t="s">
        <v>33</v>
      </c>
      <c r="O142" s="5">
        <v>1</v>
      </c>
      <c r="P142" s="5" t="s">
        <v>8</v>
      </c>
      <c r="Q142" s="5">
        <v>4</v>
      </c>
      <c r="R142" s="5">
        <v>3</v>
      </c>
    </row>
    <row r="143" spans="1:18">
      <c r="B143" s="5"/>
      <c r="C143" s="4"/>
      <c r="D143" s="5"/>
      <c r="E143" s="5"/>
      <c r="F143" s="5"/>
      <c r="G143" s="136"/>
      <c r="H143" s="5"/>
      <c r="I143" s="5"/>
      <c r="J143" s="179"/>
      <c r="K143" s="5"/>
      <c r="L143" s="179"/>
      <c r="M143" s="5"/>
      <c r="N143" s="5"/>
      <c r="O143" s="5"/>
      <c r="P143" s="5"/>
      <c r="Q143" s="5"/>
      <c r="R143" s="5"/>
    </row>
    <row r="144" spans="1:18">
      <c r="A144" s="4"/>
      <c r="B144" s="5"/>
      <c r="C144" s="4"/>
      <c r="D144" s="5"/>
      <c r="E144" s="5"/>
      <c r="F144" s="5"/>
      <c r="G144" s="136"/>
      <c r="H144" s="5"/>
      <c r="I144" s="5"/>
      <c r="J144" s="179"/>
      <c r="K144" s="5"/>
      <c r="L144" s="179"/>
      <c r="M144" s="5"/>
      <c r="N144" s="5"/>
      <c r="O144" s="5"/>
      <c r="P144" s="5"/>
      <c r="Q144" s="5"/>
      <c r="R144" s="5"/>
    </row>
    <row r="145" spans="1:18">
      <c r="A145" s="4"/>
      <c r="B145" s="5"/>
      <c r="C145" s="4"/>
      <c r="D145" s="5"/>
      <c r="E145" s="5"/>
      <c r="F145" s="5"/>
      <c r="G145" s="136"/>
      <c r="H145" s="5"/>
      <c r="I145" s="5"/>
      <c r="J145" s="179"/>
      <c r="K145" s="5"/>
      <c r="L145" s="179"/>
      <c r="M145" s="5"/>
      <c r="N145" s="5"/>
      <c r="O145" s="5"/>
      <c r="P145" s="5"/>
      <c r="Q145" s="5"/>
      <c r="R145" s="5"/>
    </row>
    <row r="146" spans="1:18">
      <c r="A146" s="4"/>
      <c r="B146" s="5"/>
      <c r="C146" s="4"/>
      <c r="D146" s="5"/>
      <c r="E146" s="5"/>
      <c r="F146" s="5"/>
      <c r="G146" s="136"/>
      <c r="H146" s="5"/>
      <c r="I146" s="5"/>
      <c r="J146" s="179"/>
      <c r="K146" s="5"/>
      <c r="L146" s="179"/>
      <c r="M146" s="5"/>
      <c r="N146" s="5"/>
      <c r="O146" s="5"/>
      <c r="P146" s="5"/>
      <c r="Q146" s="5"/>
      <c r="R146" s="5"/>
    </row>
    <row r="147" spans="1:18">
      <c r="A147" s="4"/>
      <c r="B147" s="5"/>
      <c r="C147" s="4"/>
      <c r="D147" s="5"/>
      <c r="E147" s="5"/>
      <c r="F147" s="5"/>
      <c r="G147" s="136"/>
      <c r="H147" s="5"/>
      <c r="I147" s="5"/>
      <c r="J147" s="179"/>
      <c r="K147" s="5"/>
      <c r="L147" s="179"/>
      <c r="M147" s="5"/>
      <c r="N147" s="5"/>
      <c r="O147" s="5"/>
      <c r="P147" s="5"/>
      <c r="Q147" s="5"/>
      <c r="R147" s="5"/>
    </row>
    <row r="148" spans="1:18">
      <c r="A148" s="4"/>
      <c r="B148" s="5"/>
      <c r="C148" s="4"/>
      <c r="D148" s="5"/>
      <c r="E148" s="5"/>
      <c r="F148" s="5"/>
      <c r="G148" s="136"/>
      <c r="H148" s="5"/>
      <c r="I148" s="5"/>
      <c r="J148" s="179"/>
      <c r="K148" s="5"/>
      <c r="L148" s="179"/>
      <c r="M148" s="5"/>
      <c r="N148" s="5"/>
      <c r="O148" s="5"/>
      <c r="P148" s="5"/>
      <c r="Q148" s="5"/>
      <c r="R148" s="5"/>
    </row>
    <row r="149" spans="1:18">
      <c r="A149" s="4"/>
      <c r="B149" s="5"/>
      <c r="C149" s="4"/>
      <c r="D149" s="5"/>
      <c r="E149" s="5"/>
      <c r="F149" s="5"/>
      <c r="G149" s="136"/>
      <c r="H149" s="5"/>
      <c r="I149" s="5"/>
      <c r="J149" s="179"/>
      <c r="K149" s="5"/>
      <c r="L149" s="179"/>
      <c r="M149" s="5"/>
      <c r="N149" s="5"/>
      <c r="O149" s="5"/>
      <c r="P149" s="5"/>
      <c r="Q149" s="5"/>
      <c r="R149" s="5"/>
    </row>
    <row r="150" spans="1:18">
      <c r="A150" s="4"/>
      <c r="B150" s="5"/>
      <c r="C150" s="4"/>
      <c r="D150" s="5"/>
      <c r="E150" s="5"/>
      <c r="F150" s="5"/>
      <c r="G150" s="136"/>
      <c r="H150" s="5"/>
      <c r="I150" s="5"/>
      <c r="J150" s="179"/>
      <c r="K150" s="5"/>
      <c r="L150" s="179"/>
      <c r="M150" s="5"/>
      <c r="N150" s="5"/>
      <c r="O150" s="5"/>
      <c r="P150" s="5"/>
      <c r="Q150" s="5"/>
      <c r="R150" s="5"/>
    </row>
    <row r="151" spans="1:18">
      <c r="A151" s="4"/>
      <c r="B151" s="5"/>
      <c r="C151" s="4"/>
      <c r="D151" s="5"/>
      <c r="E151" s="5"/>
      <c r="F151" s="5"/>
      <c r="G151" s="136"/>
      <c r="H151" s="5"/>
      <c r="I151" s="5"/>
      <c r="J151" s="179"/>
      <c r="K151" s="5"/>
      <c r="L151" s="179"/>
      <c r="M151" s="5"/>
      <c r="N151" s="5"/>
      <c r="O151" s="5"/>
      <c r="P151" s="5"/>
      <c r="Q151" s="5"/>
      <c r="R151" s="5"/>
    </row>
    <row r="152" spans="1:18">
      <c r="A152" s="4"/>
      <c r="B152" s="5"/>
      <c r="C152" s="4"/>
      <c r="D152" s="5"/>
      <c r="E152" s="5"/>
      <c r="F152" s="5"/>
      <c r="G152" s="136"/>
      <c r="H152" s="5"/>
      <c r="I152" s="5"/>
      <c r="J152" s="179"/>
      <c r="K152" s="5"/>
      <c r="L152" s="179"/>
      <c r="M152" s="5"/>
      <c r="N152" s="5"/>
      <c r="O152" s="5"/>
      <c r="P152" s="5"/>
      <c r="Q152" s="5"/>
      <c r="R152" s="5"/>
    </row>
    <row r="153" spans="1:18">
      <c r="A153" s="4"/>
      <c r="B153" s="5"/>
      <c r="C153" s="4"/>
      <c r="D153" s="5"/>
      <c r="E153" s="5"/>
      <c r="F153" s="5"/>
      <c r="G153" s="136"/>
      <c r="H153" s="5"/>
      <c r="I153" s="5"/>
      <c r="J153" s="179"/>
      <c r="K153" s="5"/>
      <c r="L153" s="179"/>
      <c r="M153" s="5"/>
      <c r="N153" s="5"/>
      <c r="O153" s="5"/>
      <c r="P153" s="5"/>
      <c r="Q153" s="5"/>
      <c r="R153" s="5"/>
    </row>
    <row r="154" spans="1:18">
      <c r="A154" s="4"/>
      <c r="B154" s="5"/>
      <c r="C154" s="4"/>
      <c r="D154" s="5"/>
      <c r="E154" s="5"/>
      <c r="F154" s="5"/>
      <c r="G154" s="136"/>
      <c r="H154" s="5"/>
      <c r="I154" s="5"/>
      <c r="J154" s="179"/>
      <c r="K154" s="5"/>
      <c r="L154" s="179"/>
      <c r="M154" s="5"/>
      <c r="N154" s="5"/>
      <c r="O154" s="5"/>
      <c r="P154" s="5"/>
      <c r="Q154" s="5"/>
      <c r="R154" s="5"/>
    </row>
    <row r="155" spans="1:18">
      <c r="A155" s="4"/>
      <c r="B155" s="5"/>
      <c r="C155" s="4"/>
      <c r="D155" s="5"/>
      <c r="E155" s="5"/>
      <c r="F155" s="5"/>
      <c r="G155" s="136"/>
      <c r="H155" s="5"/>
      <c r="I155" s="5"/>
      <c r="J155" s="179"/>
      <c r="K155" s="5"/>
      <c r="L155" s="179"/>
      <c r="M155" s="5"/>
      <c r="N155" s="5"/>
      <c r="O155" s="5"/>
      <c r="P155" s="5"/>
      <c r="Q155" s="5"/>
      <c r="R155" s="5"/>
    </row>
    <row r="156" spans="1:18">
      <c r="A156" s="4"/>
      <c r="B156" s="5"/>
      <c r="C156" s="4"/>
      <c r="D156" s="5"/>
      <c r="E156" s="5"/>
      <c r="F156" s="5"/>
      <c r="G156" s="136"/>
      <c r="H156" s="5"/>
      <c r="I156" s="5"/>
      <c r="J156" s="179"/>
      <c r="K156" s="5"/>
      <c r="L156" s="179"/>
      <c r="M156" s="5"/>
      <c r="N156" s="5"/>
      <c r="O156" s="5"/>
      <c r="P156" s="5"/>
      <c r="Q156" s="5"/>
      <c r="R156" s="5"/>
    </row>
    <row r="157" spans="1:18">
      <c r="A157" s="4"/>
      <c r="B157" s="5"/>
      <c r="C157" s="4"/>
      <c r="D157" s="5"/>
      <c r="E157" s="5"/>
      <c r="F157" s="5"/>
      <c r="G157" s="136"/>
      <c r="H157" s="5"/>
      <c r="I157" s="5"/>
      <c r="J157" s="179"/>
      <c r="K157" s="5"/>
      <c r="L157" s="179"/>
      <c r="M157" s="5"/>
      <c r="N157" s="5"/>
      <c r="O157" s="5"/>
      <c r="P157" s="5"/>
      <c r="Q157" s="5"/>
      <c r="R157" s="5"/>
    </row>
    <row r="158" spans="1:18">
      <c r="A158" s="4"/>
      <c r="B158" s="5"/>
      <c r="C158" s="4"/>
      <c r="D158" s="5"/>
      <c r="E158" s="5"/>
      <c r="F158" s="5"/>
      <c r="G158" s="136"/>
      <c r="H158" s="5"/>
      <c r="I158" s="5"/>
      <c r="J158" s="179"/>
      <c r="K158" s="5"/>
      <c r="L158" s="179"/>
      <c r="M158" s="5"/>
      <c r="N158" s="5"/>
      <c r="O158" s="5"/>
      <c r="P158" s="5"/>
      <c r="Q158" s="5"/>
      <c r="R158" s="5"/>
    </row>
    <row r="159" spans="1:18">
      <c r="A159" s="4"/>
      <c r="B159" s="5"/>
      <c r="C159" s="4"/>
      <c r="D159" s="5"/>
      <c r="E159" s="5"/>
      <c r="F159" s="5"/>
      <c r="G159" s="136"/>
      <c r="H159" s="5"/>
      <c r="I159" s="5"/>
      <c r="J159" s="179"/>
      <c r="K159" s="5"/>
      <c r="L159" s="179"/>
      <c r="M159" s="5"/>
      <c r="N159" s="5"/>
      <c r="O159" s="5"/>
      <c r="P159" s="5"/>
      <c r="Q159" s="5"/>
      <c r="R159" s="5"/>
    </row>
    <row r="160" spans="1:18">
      <c r="A160" s="4"/>
      <c r="B160" s="5"/>
      <c r="C160" s="4"/>
      <c r="D160" s="5"/>
      <c r="E160" s="5"/>
      <c r="F160" s="5"/>
      <c r="G160" s="136"/>
      <c r="H160" s="5"/>
      <c r="I160" s="5"/>
      <c r="J160" s="179"/>
      <c r="K160" s="5"/>
      <c r="L160" s="179"/>
      <c r="M160" s="5"/>
      <c r="N160" s="5"/>
      <c r="O160" s="5"/>
      <c r="P160" s="5"/>
      <c r="Q160" s="5"/>
      <c r="R160" s="5"/>
    </row>
    <row r="161" spans="1:18">
      <c r="A161" s="4"/>
      <c r="B161" s="5"/>
      <c r="C161" s="4"/>
      <c r="D161" s="5"/>
      <c r="E161" s="5"/>
      <c r="F161" s="5"/>
      <c r="G161" s="136"/>
      <c r="H161" s="5"/>
      <c r="I161" s="5"/>
      <c r="J161" s="179"/>
      <c r="K161" s="5"/>
      <c r="L161" s="179"/>
      <c r="M161" s="5"/>
      <c r="N161" s="5"/>
      <c r="O161" s="5"/>
      <c r="P161" s="5"/>
      <c r="Q161" s="5"/>
      <c r="R161" s="5"/>
    </row>
    <row r="162" spans="1:18">
      <c r="A162" s="4"/>
      <c r="B162" s="5"/>
      <c r="C162" s="4"/>
      <c r="D162" s="5"/>
      <c r="E162" s="5"/>
      <c r="F162" s="5"/>
      <c r="G162" s="136"/>
      <c r="H162" s="5"/>
      <c r="I162" s="5"/>
      <c r="J162" s="179"/>
      <c r="K162" s="5"/>
      <c r="L162" s="179"/>
      <c r="M162" s="5"/>
      <c r="N162" s="5"/>
      <c r="O162" s="5"/>
      <c r="P162" s="5"/>
      <c r="Q162" s="5"/>
      <c r="R162" s="5"/>
    </row>
    <row r="163" spans="1:18">
      <c r="A163" s="4"/>
      <c r="B163" s="5"/>
      <c r="C163" s="4"/>
      <c r="D163" s="5"/>
      <c r="E163" s="5"/>
      <c r="F163" s="5"/>
      <c r="H163" s="5"/>
      <c r="I163" s="5"/>
      <c r="J163" s="179"/>
      <c r="K163" s="5"/>
      <c r="L163" s="179"/>
      <c r="M163" s="5"/>
      <c r="N163" s="5"/>
      <c r="O163" s="5"/>
      <c r="P163" s="5"/>
      <c r="Q163" s="5"/>
      <c r="R163" s="5"/>
    </row>
    <row r="164" spans="1:18">
      <c r="A164" s="4"/>
      <c r="B164" s="5"/>
      <c r="C164" s="4"/>
      <c r="D164" s="5"/>
      <c r="E164" s="5"/>
      <c r="F164" s="5"/>
      <c r="H164" s="5"/>
      <c r="I164" s="5"/>
      <c r="J164" s="179"/>
      <c r="K164" s="5"/>
      <c r="L164" s="179"/>
      <c r="M164" s="5"/>
      <c r="N164" s="5"/>
      <c r="O164" s="5"/>
      <c r="P164" s="5"/>
      <c r="Q164" s="5"/>
      <c r="R164" s="5"/>
    </row>
    <row r="165" spans="1:18">
      <c r="A165" s="4"/>
      <c r="B165" s="5"/>
      <c r="C165" s="4"/>
      <c r="D165" s="5"/>
      <c r="E165" s="5"/>
      <c r="F165" s="5"/>
      <c r="H165" s="5"/>
      <c r="I165" s="5"/>
      <c r="J165" s="179"/>
      <c r="K165" s="5"/>
      <c r="L165" s="179"/>
      <c r="M165" s="5"/>
      <c r="N165" s="5"/>
      <c r="O165" s="5"/>
      <c r="P165" s="5"/>
      <c r="Q165" s="5"/>
      <c r="R165" s="5"/>
    </row>
    <row r="166" spans="1:18">
      <c r="A166" s="4"/>
      <c r="B166" s="5"/>
      <c r="C166" s="4"/>
      <c r="D166" s="5"/>
      <c r="E166" s="5"/>
      <c r="F166" s="5"/>
      <c r="H166" s="5"/>
      <c r="I166" s="5"/>
      <c r="J166" s="179"/>
      <c r="K166" s="5"/>
      <c r="L166" s="179"/>
      <c r="M166" s="5"/>
      <c r="N166" s="5"/>
      <c r="O166" s="5"/>
      <c r="P166" s="5"/>
      <c r="Q166" s="5"/>
      <c r="R166" s="5"/>
    </row>
    <row r="167" spans="1:18">
      <c r="A167" s="4"/>
      <c r="B167" s="5"/>
      <c r="C167" s="4"/>
      <c r="D167" s="5"/>
      <c r="E167" s="5"/>
      <c r="F167" s="5"/>
      <c r="H167" s="5"/>
      <c r="I167" s="5"/>
      <c r="J167" s="179"/>
      <c r="K167" s="5"/>
      <c r="L167" s="179"/>
      <c r="M167" s="5"/>
      <c r="N167" s="5"/>
      <c r="O167" s="5"/>
      <c r="P167" s="5"/>
      <c r="Q167" s="5"/>
      <c r="R167" s="5"/>
    </row>
    <row r="168" spans="1:18">
      <c r="A168" s="4"/>
      <c r="B168" s="5"/>
      <c r="C168" s="4"/>
      <c r="D168" s="5"/>
      <c r="E168" s="5"/>
      <c r="F168" s="5"/>
      <c r="H168" s="5"/>
      <c r="I168" s="5"/>
      <c r="J168" s="179"/>
      <c r="K168" s="5"/>
      <c r="L168" s="179"/>
      <c r="M168" s="5"/>
      <c r="N168" s="5"/>
      <c r="O168" s="5"/>
      <c r="P168" s="5"/>
      <c r="Q168" s="5"/>
      <c r="R168" s="5"/>
    </row>
    <row r="169" spans="1:18">
      <c r="A169" s="4"/>
      <c r="B169" s="5"/>
      <c r="C169" s="4"/>
      <c r="D169" s="5"/>
      <c r="E169" s="5"/>
      <c r="F169" s="5"/>
      <c r="H169" s="5"/>
      <c r="I169" s="5"/>
      <c r="J169" s="179"/>
      <c r="K169" s="5"/>
      <c r="L169" s="179"/>
      <c r="M169" s="5"/>
      <c r="N169" s="5"/>
      <c r="O169" s="5"/>
      <c r="P169" s="5"/>
      <c r="Q169" s="5"/>
      <c r="R169" s="5"/>
    </row>
    <row r="170" spans="1:18">
      <c r="A170" s="4"/>
      <c r="B170" s="5"/>
      <c r="C170" s="4"/>
      <c r="D170" s="5"/>
      <c r="E170" s="5"/>
      <c r="F170" s="5"/>
      <c r="H170" s="5"/>
      <c r="I170" s="5"/>
      <c r="J170" s="179"/>
      <c r="K170" s="5"/>
      <c r="L170" s="179"/>
      <c r="M170" s="5"/>
      <c r="N170" s="5"/>
      <c r="O170" s="5"/>
      <c r="P170" s="5"/>
      <c r="Q170" s="5"/>
      <c r="R170" s="5"/>
    </row>
    <row r="171" spans="1:18">
      <c r="A171" s="4"/>
      <c r="B171" s="5"/>
      <c r="C171" s="4"/>
      <c r="D171" s="5"/>
      <c r="E171" s="5"/>
      <c r="F171" s="5"/>
      <c r="H171" s="5"/>
      <c r="I171" s="5"/>
      <c r="J171" s="179"/>
      <c r="K171" s="5"/>
      <c r="L171" s="179"/>
      <c r="M171" s="5"/>
      <c r="N171" s="5"/>
      <c r="O171" s="5"/>
      <c r="P171" s="5"/>
      <c r="Q171" s="5"/>
      <c r="R171" s="5"/>
    </row>
    <row r="172" spans="1:18">
      <c r="A172" s="4"/>
      <c r="B172" s="5"/>
      <c r="C172" s="4"/>
      <c r="D172" s="5"/>
      <c r="E172" s="5"/>
      <c r="F172" s="5"/>
      <c r="H172" s="5"/>
      <c r="I172" s="5"/>
      <c r="J172" s="179"/>
      <c r="K172" s="5"/>
      <c r="L172" s="179"/>
      <c r="M172" s="5"/>
      <c r="N172" s="5"/>
      <c r="O172" s="5"/>
      <c r="P172" s="5"/>
      <c r="Q172" s="5"/>
      <c r="R172" s="5"/>
    </row>
    <row r="173" spans="1:18">
      <c r="A173" s="4"/>
      <c r="B173" s="5"/>
      <c r="C173" s="4"/>
      <c r="D173" s="5"/>
      <c r="E173" s="5"/>
      <c r="F173" s="5"/>
      <c r="G173" s="183"/>
      <c r="H173" s="5"/>
      <c r="I173" s="5"/>
      <c r="J173" s="179"/>
      <c r="K173" s="5"/>
      <c r="L173" s="179"/>
      <c r="M173" s="5"/>
      <c r="N173" s="5"/>
      <c r="O173" s="5"/>
      <c r="P173" s="5"/>
      <c r="Q173" s="5"/>
      <c r="R173" s="5"/>
    </row>
    <row r="174" spans="1:18">
      <c r="A174" s="4"/>
      <c r="B174" s="5"/>
      <c r="C174" s="4"/>
      <c r="D174" s="5"/>
      <c r="E174" s="5"/>
      <c r="F174" s="5"/>
      <c r="G174" s="183"/>
      <c r="H174" s="5"/>
      <c r="I174" s="5"/>
      <c r="J174" s="179"/>
      <c r="K174" s="5"/>
      <c r="L174" s="179"/>
      <c r="M174" s="5"/>
      <c r="N174" s="5"/>
      <c r="O174" s="5"/>
      <c r="P174" s="5"/>
      <c r="Q174" s="5"/>
      <c r="R174" s="5"/>
    </row>
    <row r="175" spans="1:18">
      <c r="A175" s="4"/>
      <c r="B175" s="5"/>
      <c r="C175" s="4"/>
      <c r="D175" s="5"/>
      <c r="E175" s="5"/>
      <c r="F175" s="5"/>
      <c r="G175" s="182"/>
      <c r="H175" s="5"/>
      <c r="I175" s="5"/>
      <c r="J175" s="159"/>
      <c r="K175" s="5"/>
      <c r="L175" s="5"/>
      <c r="M175" s="5"/>
      <c r="N175" s="5"/>
      <c r="O175" s="5"/>
      <c r="P175" s="5"/>
      <c r="Q175" s="5"/>
      <c r="R175" s="5"/>
    </row>
    <row r="176" spans="1:18">
      <c r="A176" s="4"/>
      <c r="B176" s="5"/>
      <c r="C176" s="4"/>
      <c r="D176" s="5"/>
      <c r="E176" s="5"/>
      <c r="F176" s="5"/>
      <c r="G176" s="182"/>
      <c r="H176" s="5"/>
      <c r="I176" s="5"/>
      <c r="J176" s="159"/>
      <c r="K176" s="5"/>
      <c r="L176" s="5"/>
      <c r="M176" s="5"/>
      <c r="N176" s="5"/>
      <c r="O176" s="5"/>
      <c r="P176" s="5"/>
      <c r="Q176" s="5"/>
      <c r="R176" s="5"/>
    </row>
    <row r="177" spans="1:18">
      <c r="A177" s="4"/>
      <c r="B177" s="5"/>
      <c r="C177" s="4"/>
      <c r="D177" s="5"/>
      <c r="E177" s="5"/>
      <c r="F177" s="5"/>
      <c r="G177" s="182"/>
      <c r="H177" s="5"/>
      <c r="I177" s="5"/>
      <c r="J177" s="159"/>
      <c r="K177" s="5"/>
      <c r="L177" s="5"/>
      <c r="M177" s="5"/>
      <c r="N177" s="5"/>
      <c r="O177" s="5"/>
      <c r="P177" s="5"/>
      <c r="Q177" s="5"/>
      <c r="R177" s="5"/>
    </row>
    <row r="178" spans="1:18">
      <c r="A178" s="4"/>
      <c r="B178" s="5"/>
      <c r="C178" s="4"/>
      <c r="D178" s="5"/>
      <c r="E178" s="5"/>
      <c r="F178" s="5"/>
      <c r="G178" s="136"/>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179"/>
      <c r="E180" s="5"/>
      <c r="F180" s="5"/>
      <c r="H180" s="5"/>
      <c r="I180" s="5"/>
      <c r="J180" s="5"/>
      <c r="K180" s="5"/>
      <c r="L180" s="5"/>
      <c r="M180" s="5"/>
      <c r="N180" s="5"/>
      <c r="O180" s="5"/>
      <c r="P180" s="5"/>
      <c r="Q180" s="5"/>
      <c r="R180" s="5"/>
    </row>
    <row r="181" spans="1:18">
      <c r="A181" s="4"/>
      <c r="B181" s="5"/>
      <c r="C181" s="4"/>
      <c r="D181" s="179"/>
      <c r="E181" s="5"/>
      <c r="F181" s="5"/>
      <c r="H181" s="5"/>
      <c r="I181" s="5"/>
      <c r="J181" s="5"/>
      <c r="K181" s="5"/>
      <c r="L181" s="5"/>
      <c r="M181" s="5"/>
      <c r="N181" s="5"/>
      <c r="O181" s="5"/>
      <c r="P181" s="5"/>
      <c r="Q181" s="5"/>
      <c r="R181" s="5"/>
    </row>
    <row r="182" spans="1:18">
      <c r="A182" s="4"/>
      <c r="B182" s="5"/>
      <c r="C182" s="4"/>
      <c r="D182" s="179"/>
      <c r="E182" s="5"/>
      <c r="F182" s="5"/>
      <c r="H182" s="5"/>
      <c r="I182" s="5"/>
      <c r="J182" s="5"/>
      <c r="K182" s="5"/>
      <c r="L182" s="5"/>
      <c r="M182" s="5"/>
      <c r="N182" s="5"/>
      <c r="O182" s="5"/>
      <c r="P182" s="5"/>
      <c r="Q182" s="5"/>
      <c r="R182" s="5"/>
    </row>
    <row r="183" spans="1:18">
      <c r="A183" s="4"/>
      <c r="B183" s="5"/>
      <c r="C183" s="4"/>
      <c r="D183" s="179"/>
      <c r="E183" s="5"/>
      <c r="F183" s="5"/>
      <c r="H183" s="5"/>
      <c r="I183" s="5"/>
      <c r="J183" s="5"/>
      <c r="K183" s="5"/>
      <c r="L183" s="5"/>
      <c r="M183" s="5"/>
      <c r="N183" s="5"/>
      <c r="O183" s="5"/>
      <c r="P183" s="5"/>
      <c r="Q183" s="5"/>
      <c r="R183" s="5"/>
    </row>
    <row r="184" spans="1:18">
      <c r="A184" s="4"/>
      <c r="B184" s="5"/>
      <c r="C184" s="4"/>
      <c r="D184" s="179"/>
      <c r="E184" s="5"/>
      <c r="F184" s="5"/>
      <c r="H184" s="5"/>
      <c r="I184" s="5"/>
      <c r="J184" s="5"/>
      <c r="K184" s="5"/>
      <c r="L184" s="5"/>
      <c r="M184" s="5"/>
      <c r="N184" s="5"/>
      <c r="O184" s="5"/>
      <c r="P184" s="5"/>
      <c r="Q184" s="5"/>
      <c r="R184" s="5"/>
    </row>
    <row r="185" spans="1:18">
      <c r="A185" s="4"/>
      <c r="B185" s="5"/>
      <c r="C185" s="4"/>
      <c r="D185" s="179"/>
      <c r="E185" s="5"/>
      <c r="F185" s="5"/>
      <c r="H185" s="5"/>
      <c r="I185" s="5"/>
      <c r="J185" s="5"/>
      <c r="K185" s="5"/>
      <c r="L185" s="5"/>
      <c r="M185" s="5"/>
      <c r="N185" s="5"/>
      <c r="O185" s="5"/>
      <c r="P185" s="5"/>
      <c r="Q185" s="5"/>
      <c r="R185" s="5"/>
    </row>
    <row r="186" spans="1:18">
      <c r="A186" s="4"/>
      <c r="B186" s="5"/>
      <c r="C186" s="4"/>
      <c r="D186" s="179"/>
      <c r="E186" s="5"/>
      <c r="F186" s="5"/>
      <c r="G186" s="136"/>
      <c r="H186" s="5"/>
      <c r="I186" s="5"/>
      <c r="J186" s="5"/>
      <c r="K186" s="5"/>
      <c r="L186" s="5"/>
      <c r="M186" s="5"/>
      <c r="N186" s="5"/>
      <c r="O186" s="5"/>
      <c r="P186" s="5"/>
      <c r="Q186" s="5"/>
      <c r="R186" s="5"/>
    </row>
    <row r="187" spans="1:18">
      <c r="A187" s="4"/>
      <c r="B187" s="5"/>
      <c r="C187" s="4"/>
      <c r="D187" s="179"/>
      <c r="E187" s="5"/>
      <c r="F187" s="5"/>
      <c r="G187" s="136"/>
      <c r="H187" s="5"/>
      <c r="I187" s="5"/>
      <c r="J187" s="5"/>
      <c r="K187" s="5"/>
      <c r="L187" s="5"/>
      <c r="M187" s="5"/>
      <c r="N187" s="5"/>
      <c r="O187" s="5"/>
      <c r="P187" s="5"/>
      <c r="Q187" s="5"/>
      <c r="R187" s="5"/>
    </row>
    <row r="188" spans="1:18">
      <c r="A188" s="4"/>
      <c r="B188" s="5"/>
      <c r="C188" s="4"/>
      <c r="D188" s="179"/>
      <c r="E188" s="5"/>
      <c r="F188" s="5"/>
      <c r="G188" s="136"/>
      <c r="H188" s="5"/>
      <c r="I188" s="5"/>
      <c r="J188" s="5"/>
      <c r="K188" s="5"/>
      <c r="L188" s="5"/>
      <c r="M188" s="5"/>
      <c r="N188" s="5"/>
      <c r="O188" s="5"/>
      <c r="P188" s="5"/>
      <c r="Q188" s="5"/>
      <c r="R188" s="5"/>
    </row>
    <row r="189" spans="1:18">
      <c r="A189" s="4"/>
      <c r="B189" s="5"/>
      <c r="C189" s="4"/>
      <c r="D189" s="179"/>
      <c r="E189" s="5"/>
      <c r="F189" s="5"/>
      <c r="G189" s="168"/>
      <c r="H189" s="5"/>
      <c r="I189" s="5"/>
      <c r="J189" s="5"/>
      <c r="K189" s="5"/>
      <c r="L189" s="5"/>
      <c r="M189" s="5"/>
      <c r="N189" s="5"/>
      <c r="O189" s="5"/>
      <c r="P189" s="5"/>
      <c r="Q189" s="5"/>
      <c r="R189" s="5"/>
    </row>
    <row r="190" spans="1:18">
      <c r="A190" s="4"/>
      <c r="B190" s="5"/>
      <c r="C190" s="4"/>
      <c r="D190" s="179"/>
      <c r="E190" s="5"/>
      <c r="F190" s="5"/>
      <c r="G190" s="168"/>
      <c r="H190" s="5"/>
      <c r="I190" s="5"/>
      <c r="J190" s="5"/>
      <c r="K190" s="5"/>
      <c r="L190" s="5"/>
      <c r="M190" s="5"/>
      <c r="N190" s="5"/>
      <c r="O190" s="5"/>
      <c r="P190" s="5"/>
      <c r="Q190" s="5"/>
      <c r="R190" s="5"/>
    </row>
    <row r="191" spans="1:18">
      <c r="A191" s="4"/>
      <c r="B191" s="5"/>
      <c r="C191" s="4"/>
      <c r="D191" s="179"/>
      <c r="E191" s="5"/>
      <c r="F191" s="5"/>
      <c r="G191" s="136"/>
      <c r="H191" s="5"/>
      <c r="I191" s="5"/>
      <c r="J191" s="5"/>
      <c r="K191" s="5"/>
      <c r="L191" s="5"/>
      <c r="M191" s="5"/>
      <c r="N191" s="5"/>
      <c r="O191" s="5"/>
      <c r="P191" s="5"/>
      <c r="Q191" s="5"/>
      <c r="R191" s="5"/>
    </row>
    <row r="192" spans="1:18">
      <c r="A192" s="4"/>
      <c r="B192" s="5"/>
      <c r="C192" s="4"/>
      <c r="D192" s="179"/>
      <c r="E192" s="5"/>
      <c r="F192" s="5"/>
      <c r="G192" s="136"/>
      <c r="H192" s="5"/>
      <c r="I192" s="5"/>
      <c r="J192" s="5"/>
      <c r="K192" s="5"/>
      <c r="L192" s="5"/>
      <c r="M192" s="5"/>
      <c r="N192" s="5"/>
      <c r="O192" s="5"/>
      <c r="P192" s="5"/>
      <c r="Q192" s="5"/>
      <c r="R192" s="5"/>
    </row>
    <row r="193" spans="1:18">
      <c r="A193" s="4"/>
      <c r="B193" s="5"/>
      <c r="C193" s="4"/>
      <c r="D193" s="179"/>
      <c r="E193" s="5"/>
      <c r="F193" s="5"/>
      <c r="H193" s="5"/>
      <c r="I193" s="5"/>
      <c r="J193" s="5"/>
      <c r="K193" s="5"/>
      <c r="L193" s="5"/>
      <c r="M193" s="5"/>
      <c r="N193" s="5"/>
      <c r="O193" s="5"/>
      <c r="P193" s="5"/>
      <c r="Q193" s="5"/>
      <c r="R193" s="5"/>
    </row>
    <row r="194" spans="1:18">
      <c r="A194" s="4"/>
      <c r="B194" s="5"/>
      <c r="C194" s="4"/>
      <c r="D194" s="179"/>
      <c r="E194" s="5"/>
      <c r="F194" s="5"/>
      <c r="H194" s="5"/>
      <c r="I194" s="5"/>
      <c r="J194" s="5"/>
      <c r="K194" s="5"/>
      <c r="L194" s="5"/>
      <c r="M194" s="5"/>
      <c r="N194" s="5"/>
      <c r="O194" s="5"/>
      <c r="P194" s="5"/>
      <c r="Q194" s="5"/>
      <c r="R194" s="5"/>
    </row>
    <row r="195" spans="1:18">
      <c r="A195" s="4"/>
      <c r="B195" s="5"/>
      <c r="C195" s="4"/>
      <c r="D195" s="179"/>
      <c r="E195" s="5"/>
      <c r="F195" s="5"/>
      <c r="H195" s="5"/>
      <c r="I195" s="5"/>
      <c r="J195" s="5"/>
      <c r="K195" s="5"/>
      <c r="L195" s="5"/>
      <c r="M195" s="5"/>
      <c r="N195" s="5"/>
      <c r="O195" s="5"/>
      <c r="P195" s="5"/>
      <c r="Q195" s="5"/>
      <c r="R195" s="5"/>
    </row>
    <row r="196" spans="1:18">
      <c r="A196" s="4"/>
      <c r="B196" s="5"/>
      <c r="C196" s="4"/>
      <c r="D196" s="179"/>
      <c r="E196" s="5"/>
      <c r="F196" s="5"/>
      <c r="H196" s="5"/>
      <c r="I196" s="5"/>
      <c r="J196" s="5"/>
      <c r="K196" s="5"/>
      <c r="L196" s="5"/>
      <c r="M196" s="5"/>
      <c r="N196" s="5"/>
      <c r="O196" s="5"/>
      <c r="P196" s="5"/>
      <c r="Q196" s="5"/>
      <c r="R196" s="5"/>
    </row>
    <row r="197" spans="1:18">
      <c r="A197" s="4"/>
      <c r="B197" s="5"/>
      <c r="C197" s="4"/>
      <c r="D197" s="179"/>
      <c r="E197" s="5"/>
      <c r="F197" s="5"/>
      <c r="H197" s="5"/>
      <c r="I197" s="5"/>
      <c r="J197" s="5"/>
      <c r="K197" s="5"/>
      <c r="L197" s="5"/>
      <c r="M197" s="5"/>
      <c r="N197" s="5"/>
      <c r="O197" s="5"/>
      <c r="P197" s="5"/>
      <c r="Q197" s="5"/>
      <c r="R197" s="5"/>
    </row>
    <row r="198" spans="1:18">
      <c r="A198" s="4"/>
      <c r="B198" s="5"/>
      <c r="C198" s="4"/>
      <c r="D198" s="179"/>
      <c r="E198" s="5"/>
      <c r="F198" s="5"/>
      <c r="H198" s="5"/>
      <c r="I198" s="5"/>
      <c r="J198" s="5"/>
      <c r="K198" s="5"/>
      <c r="L198" s="5"/>
      <c r="M198" s="5"/>
      <c r="N198" s="5"/>
      <c r="O198" s="5"/>
      <c r="P198" s="5"/>
      <c r="Q198" s="5"/>
      <c r="R198" s="5"/>
    </row>
    <row r="199" spans="1:18">
      <c r="A199" s="4"/>
      <c r="B199" s="5"/>
      <c r="C199" s="4"/>
      <c r="D199" s="179"/>
      <c r="E199" s="5"/>
      <c r="F199" s="5"/>
      <c r="H199" s="5"/>
      <c r="I199" s="5"/>
      <c r="J199" s="5"/>
      <c r="K199" s="5"/>
      <c r="L199" s="5"/>
      <c r="M199" s="5"/>
      <c r="N199" s="5"/>
      <c r="O199" s="5"/>
      <c r="P199" s="5"/>
      <c r="Q199" s="5"/>
      <c r="R199" s="5"/>
    </row>
    <row r="200" spans="1:18">
      <c r="A200" s="4"/>
      <c r="B200" s="5"/>
      <c r="C200" s="4"/>
      <c r="D200" s="179"/>
      <c r="E200" s="5"/>
      <c r="F200" s="5"/>
      <c r="H200" s="5"/>
      <c r="I200" s="5"/>
      <c r="J200" s="5"/>
      <c r="K200" s="5"/>
      <c r="L200" s="5"/>
      <c r="M200" s="5"/>
      <c r="N200" s="5"/>
      <c r="O200" s="5"/>
      <c r="P200" s="5"/>
      <c r="Q200" s="5"/>
      <c r="R200" s="5"/>
    </row>
    <row r="201" spans="1:18">
      <c r="A201" s="4"/>
      <c r="B201" s="5"/>
      <c r="C201" s="4"/>
      <c r="D201" s="179"/>
      <c r="E201" s="5"/>
      <c r="F201" s="5"/>
      <c r="H201" s="5"/>
      <c r="I201" s="5"/>
      <c r="J201" s="5"/>
      <c r="K201" s="5"/>
      <c r="L201" s="5"/>
      <c r="M201" s="5"/>
      <c r="N201" s="5"/>
      <c r="O201" s="5"/>
      <c r="P201" s="5"/>
      <c r="Q201" s="5"/>
      <c r="R201" s="5"/>
    </row>
    <row r="202" spans="1:18">
      <c r="A202" s="4"/>
      <c r="B202" s="5"/>
      <c r="C202" s="4"/>
      <c r="D202" s="179"/>
      <c r="E202" s="5"/>
      <c r="F202" s="5"/>
      <c r="H202" s="5"/>
      <c r="I202" s="5"/>
      <c r="J202" s="5"/>
      <c r="K202" s="5"/>
      <c r="L202" s="5"/>
      <c r="M202" s="5"/>
      <c r="N202" s="5"/>
      <c r="O202" s="5"/>
      <c r="P202" s="5"/>
      <c r="Q202" s="5"/>
      <c r="R202" s="5"/>
    </row>
    <row r="203" spans="1:18">
      <c r="A203" s="4"/>
      <c r="B203" s="5"/>
      <c r="C203" s="4"/>
      <c r="D203" s="179"/>
      <c r="E203" s="5"/>
      <c r="F203" s="5"/>
      <c r="H203" s="5"/>
      <c r="I203" s="5"/>
      <c r="J203" s="5"/>
      <c r="K203" s="5"/>
      <c r="L203" s="5"/>
      <c r="M203" s="5"/>
      <c r="N203" s="5"/>
      <c r="O203" s="5"/>
      <c r="P203" s="5"/>
      <c r="Q203" s="5"/>
      <c r="R203" s="5"/>
    </row>
    <row r="204" spans="1:18">
      <c r="A204" s="4"/>
      <c r="B204" s="5"/>
      <c r="C204" s="4"/>
      <c r="D204" s="179"/>
      <c r="E204" s="5"/>
      <c r="F204" s="5"/>
      <c r="H204" s="5"/>
      <c r="I204" s="5"/>
      <c r="J204" s="5"/>
      <c r="K204" s="5"/>
      <c r="L204" s="5"/>
      <c r="M204" s="5"/>
      <c r="N204" s="5"/>
      <c r="O204" s="5"/>
      <c r="P204" s="5"/>
      <c r="Q204" s="5"/>
      <c r="R204" s="5"/>
    </row>
    <row r="205" spans="1:18" s="72" customFormat="1">
      <c r="A205" s="180"/>
      <c r="B205" s="159"/>
      <c r="C205" s="180"/>
      <c r="D205" s="159"/>
      <c r="E205" s="159"/>
      <c r="F205" s="159"/>
      <c r="G205" s="160"/>
      <c r="H205" s="159"/>
      <c r="I205" s="159"/>
      <c r="J205" s="159"/>
      <c r="K205" s="159"/>
      <c r="L205" s="159"/>
      <c r="M205" s="159"/>
      <c r="N205" s="159"/>
      <c r="O205" s="159"/>
      <c r="P205" s="159"/>
      <c r="Q205" s="159"/>
      <c r="R205" s="159"/>
    </row>
    <row r="206" spans="1:18">
      <c r="A206" s="4"/>
      <c r="B206" s="5"/>
      <c r="C206" s="4"/>
      <c r="D206" s="179"/>
      <c r="E206" s="5"/>
      <c r="F206" s="5"/>
      <c r="H206" s="5"/>
      <c r="I206" s="5"/>
      <c r="J206" s="5"/>
      <c r="K206" s="5"/>
      <c r="L206" s="5"/>
      <c r="M206" s="5"/>
      <c r="N206" s="5"/>
      <c r="O206" s="5"/>
      <c r="P206" s="5"/>
      <c r="Q206" s="5"/>
      <c r="R206" s="5"/>
    </row>
    <row r="207" spans="1:18">
      <c r="A207" s="4"/>
      <c r="B207" s="5"/>
      <c r="C207" s="4"/>
      <c r="D207" s="179"/>
      <c r="E207" s="5"/>
      <c r="F207" s="5"/>
      <c r="H207" s="5"/>
      <c r="I207" s="5"/>
      <c r="J207" s="5"/>
      <c r="K207" s="5"/>
      <c r="L207" s="5"/>
      <c r="M207" s="5"/>
      <c r="N207" s="5"/>
      <c r="O207" s="5"/>
      <c r="P207" s="5"/>
      <c r="Q207" s="5"/>
      <c r="R207" s="5"/>
    </row>
    <row r="208" spans="1:18">
      <c r="A208" s="4"/>
      <c r="B208" s="5"/>
      <c r="C208" s="4"/>
      <c r="D208" s="179"/>
      <c r="E208" s="5"/>
      <c r="F208" s="5"/>
      <c r="H208" s="5"/>
      <c r="I208" s="5"/>
      <c r="J208" s="5"/>
      <c r="K208" s="5"/>
      <c r="L208" s="5"/>
      <c r="M208" s="5"/>
      <c r="N208" s="5"/>
      <c r="O208" s="5"/>
      <c r="P208" s="5"/>
      <c r="Q208" s="5"/>
      <c r="R208" s="5"/>
    </row>
    <row r="209" spans="1:18">
      <c r="A209" s="4"/>
      <c r="B209" s="5"/>
      <c r="C209" s="4"/>
      <c r="D209" s="179"/>
      <c r="E209" s="5"/>
      <c r="F209" s="5"/>
      <c r="H209" s="5"/>
      <c r="I209" s="5"/>
      <c r="J209" s="5"/>
      <c r="K209" s="5"/>
      <c r="L209" s="5"/>
      <c r="M209" s="5"/>
      <c r="N209" s="5"/>
      <c r="O209" s="5"/>
      <c r="P209" s="5"/>
      <c r="Q209" s="5"/>
      <c r="R209" s="5"/>
    </row>
    <row r="210" spans="1:18">
      <c r="A210" s="4"/>
      <c r="B210" s="5"/>
      <c r="C210" s="4"/>
      <c r="D210" s="179"/>
      <c r="E210" s="5"/>
      <c r="F210" s="5"/>
      <c r="H210" s="5"/>
      <c r="I210" s="5"/>
      <c r="J210" s="5"/>
      <c r="K210" s="5"/>
      <c r="L210" s="5"/>
      <c r="M210" s="5"/>
      <c r="N210" s="5"/>
      <c r="O210" s="5"/>
      <c r="P210" s="5"/>
      <c r="Q210" s="5"/>
      <c r="R210" s="5"/>
    </row>
    <row r="211" spans="1:18">
      <c r="A211" s="4"/>
      <c r="B211" s="5"/>
      <c r="C211" s="4"/>
      <c r="D211" s="179"/>
      <c r="E211" s="5"/>
      <c r="F211" s="5"/>
      <c r="H211" s="5"/>
      <c r="I211" s="5"/>
      <c r="J211" s="5"/>
      <c r="K211" s="5"/>
      <c r="L211" s="5"/>
      <c r="M211" s="5"/>
      <c r="N211" s="5"/>
      <c r="O211" s="5"/>
      <c r="P211" s="5"/>
      <c r="Q211" s="5"/>
      <c r="R211" s="5"/>
    </row>
    <row r="212" spans="1:18">
      <c r="A212" s="4"/>
      <c r="B212" s="5"/>
      <c r="C212" s="4"/>
      <c r="D212" s="179"/>
      <c r="E212" s="5"/>
      <c r="F212" s="5"/>
      <c r="H212" s="5"/>
      <c r="I212" s="5"/>
      <c r="J212" s="5"/>
      <c r="K212" s="5"/>
      <c r="L212" s="5"/>
      <c r="M212" s="5"/>
      <c r="N212" s="5"/>
      <c r="O212" s="5"/>
      <c r="P212" s="5"/>
      <c r="Q212" s="5"/>
      <c r="R212" s="5"/>
    </row>
    <row r="213" spans="1:18">
      <c r="A213" s="4"/>
      <c r="B213" s="5"/>
      <c r="C213" s="4"/>
      <c r="D213" s="179"/>
      <c r="E213" s="5"/>
      <c r="F213" s="5"/>
      <c r="H213" s="5"/>
      <c r="I213" s="5"/>
      <c r="J213" s="5"/>
      <c r="K213" s="5"/>
      <c r="L213" s="5"/>
      <c r="M213" s="5"/>
      <c r="N213" s="5"/>
      <c r="O213" s="5"/>
      <c r="P213" s="5"/>
      <c r="Q213" s="5"/>
      <c r="R213" s="5"/>
    </row>
    <row r="214" spans="1:18">
      <c r="A214" s="4"/>
      <c r="B214" s="5"/>
      <c r="C214" s="4"/>
      <c r="D214" s="179"/>
      <c r="E214" s="5"/>
      <c r="F214" s="5"/>
      <c r="H214" s="5"/>
      <c r="I214" s="5"/>
      <c r="J214" s="5"/>
      <c r="K214" s="5"/>
      <c r="L214" s="5"/>
      <c r="M214" s="5"/>
      <c r="N214" s="5"/>
      <c r="O214" s="5"/>
      <c r="P214" s="5"/>
      <c r="Q214" s="5"/>
      <c r="R214" s="5"/>
    </row>
    <row r="215" spans="1:18">
      <c r="A215" s="4"/>
      <c r="B215" s="5"/>
      <c r="C215" s="4"/>
      <c r="D215" s="179"/>
      <c r="E215" s="5"/>
      <c r="F215" s="5"/>
      <c r="H215" s="5"/>
      <c r="I215" s="5"/>
      <c r="J215" s="5"/>
      <c r="K215" s="5"/>
      <c r="L215" s="5"/>
      <c r="M215" s="5"/>
      <c r="N215" s="5"/>
      <c r="O215" s="5"/>
      <c r="P215" s="5"/>
      <c r="Q215" s="5"/>
      <c r="R215" s="5"/>
    </row>
    <row r="216" spans="1:18">
      <c r="A216" s="4"/>
      <c r="B216" s="5"/>
      <c r="C216" s="4"/>
      <c r="D216" s="179"/>
      <c r="E216" s="5"/>
      <c r="F216" s="5"/>
      <c r="H216" s="5"/>
      <c r="I216" s="5"/>
      <c r="J216" s="5"/>
      <c r="K216" s="5"/>
      <c r="L216" s="5"/>
      <c r="M216" s="5"/>
      <c r="N216" s="5"/>
      <c r="O216" s="5"/>
      <c r="P216" s="5"/>
      <c r="Q216" s="5"/>
      <c r="R216" s="5"/>
    </row>
    <row r="217" spans="1:18">
      <c r="A217" s="4"/>
      <c r="B217" s="5"/>
      <c r="C217" s="4"/>
      <c r="D217" s="179"/>
      <c r="E217" s="5"/>
      <c r="F217" s="5"/>
      <c r="H217" s="5"/>
      <c r="I217" s="5"/>
      <c r="J217" s="5"/>
      <c r="K217" s="5"/>
      <c r="L217" s="5"/>
      <c r="M217" s="5"/>
      <c r="N217" s="5"/>
      <c r="O217" s="5"/>
      <c r="P217" s="5"/>
      <c r="Q217" s="5"/>
      <c r="R217" s="5"/>
    </row>
    <row r="218" spans="1:18">
      <c r="A218" s="4"/>
      <c r="B218" s="5"/>
      <c r="C218" s="4"/>
      <c r="D218" s="179"/>
      <c r="E218" s="5"/>
      <c r="F218" s="5"/>
      <c r="H218" s="5"/>
      <c r="I218" s="5"/>
      <c r="J218" s="5"/>
      <c r="K218" s="5"/>
      <c r="L218" s="5"/>
      <c r="M218" s="5"/>
      <c r="N218" s="5"/>
      <c r="O218" s="5"/>
      <c r="P218" s="5"/>
      <c r="Q218" s="5"/>
      <c r="R218" s="5"/>
    </row>
    <row r="219" spans="1:18">
      <c r="A219" s="4"/>
      <c r="B219" s="5"/>
      <c r="C219" s="4"/>
      <c r="D219" s="179"/>
      <c r="E219" s="5"/>
      <c r="F219" s="5"/>
      <c r="H219" s="5"/>
      <c r="I219" s="5"/>
      <c r="J219" s="5"/>
      <c r="K219" s="5"/>
      <c r="L219" s="5"/>
      <c r="M219" s="5"/>
      <c r="N219" s="5"/>
      <c r="O219" s="5"/>
      <c r="P219" s="5"/>
      <c r="Q219" s="5"/>
      <c r="R219" s="5"/>
    </row>
    <row r="220" spans="1:18">
      <c r="A220" s="4"/>
      <c r="B220" s="5"/>
      <c r="C220" s="4"/>
      <c r="D220" s="179"/>
      <c r="E220" s="5"/>
      <c r="F220" s="5"/>
      <c r="H220" s="5"/>
      <c r="I220" s="5"/>
      <c r="J220" s="5"/>
      <c r="K220" s="5"/>
      <c r="L220" s="5"/>
      <c r="M220" s="5"/>
      <c r="N220" s="5"/>
      <c r="O220" s="5"/>
      <c r="P220" s="5"/>
      <c r="Q220" s="5"/>
      <c r="R220" s="5"/>
    </row>
    <row r="221" spans="1:18">
      <c r="A221" s="4"/>
      <c r="B221" s="5"/>
      <c r="C221" s="4"/>
      <c r="D221" s="179"/>
      <c r="E221" s="5"/>
      <c r="F221" s="5"/>
      <c r="H221" s="5"/>
      <c r="I221" s="5"/>
      <c r="J221" s="5"/>
      <c r="K221" s="5"/>
      <c r="L221" s="5"/>
      <c r="M221" s="5"/>
      <c r="N221" s="5"/>
      <c r="O221" s="5"/>
      <c r="P221" s="5"/>
      <c r="Q221" s="5"/>
      <c r="R221" s="5"/>
    </row>
    <row r="222" spans="1:18">
      <c r="A222" s="4"/>
      <c r="B222" s="5"/>
      <c r="C222" s="4"/>
      <c r="D222" s="179"/>
      <c r="E222" s="5"/>
      <c r="F222" s="5"/>
      <c r="H222" s="5"/>
      <c r="I222" s="5"/>
      <c r="J222" s="5"/>
      <c r="K222" s="5"/>
      <c r="L222" s="5"/>
      <c r="M222" s="5"/>
      <c r="N222" s="5"/>
      <c r="O222" s="5"/>
      <c r="P222" s="5"/>
      <c r="Q222" s="5"/>
      <c r="R222" s="5"/>
    </row>
    <row r="223" spans="1:18">
      <c r="A223" s="4"/>
      <c r="B223" s="5"/>
      <c r="C223" s="4"/>
      <c r="D223" s="179"/>
      <c r="E223" s="5"/>
      <c r="F223" s="5"/>
      <c r="H223" s="5"/>
      <c r="I223" s="5"/>
      <c r="J223" s="5"/>
      <c r="K223" s="5"/>
      <c r="L223" s="5"/>
      <c r="M223" s="5"/>
      <c r="N223" s="5"/>
      <c r="O223" s="5"/>
      <c r="P223" s="5"/>
      <c r="Q223" s="5"/>
      <c r="R223" s="5"/>
    </row>
    <row r="224" spans="1:18">
      <c r="A224" s="4"/>
      <c r="B224" s="5"/>
      <c r="C224" s="4"/>
      <c r="D224" s="179"/>
      <c r="E224" s="5"/>
      <c r="F224" s="5"/>
      <c r="H224" s="5"/>
      <c r="I224" s="5"/>
      <c r="J224" s="5"/>
      <c r="K224" s="5"/>
      <c r="L224" s="5"/>
      <c r="M224" s="5"/>
      <c r="N224" s="5"/>
      <c r="O224" s="5"/>
      <c r="P224" s="5"/>
      <c r="Q224" s="5"/>
      <c r="R224" s="5"/>
    </row>
    <row r="225" spans="1:18">
      <c r="A225" s="4"/>
      <c r="B225" s="5"/>
      <c r="C225" s="4"/>
      <c r="D225" s="179"/>
      <c r="E225" s="5"/>
      <c r="F225" s="5"/>
      <c r="H225" s="5"/>
      <c r="I225" s="5"/>
      <c r="J225" s="5"/>
      <c r="K225" s="5"/>
      <c r="L225" s="5"/>
      <c r="M225" s="5"/>
      <c r="N225" s="5"/>
      <c r="O225" s="5"/>
      <c r="P225" s="5"/>
      <c r="Q225" s="5"/>
      <c r="R225" s="5"/>
    </row>
    <row r="226" spans="1:18">
      <c r="A226" s="4"/>
      <c r="B226" s="5"/>
      <c r="C226" s="4"/>
      <c r="D226" s="179"/>
      <c r="E226" s="5"/>
      <c r="F226" s="5"/>
      <c r="H226" s="5"/>
      <c r="I226" s="5"/>
      <c r="J226" s="5"/>
      <c r="K226" s="5"/>
      <c r="L226" s="5"/>
      <c r="M226" s="5"/>
      <c r="N226" s="5"/>
      <c r="O226" s="5"/>
      <c r="P226" s="5"/>
      <c r="Q226" s="5"/>
      <c r="R226" s="5"/>
    </row>
    <row r="227" spans="1:18">
      <c r="A227" s="4"/>
      <c r="B227" s="5"/>
      <c r="C227" s="4"/>
      <c r="D227" s="179"/>
      <c r="E227" s="5"/>
      <c r="F227" s="5"/>
      <c r="H227" s="5"/>
      <c r="I227" s="5"/>
      <c r="J227" s="5"/>
      <c r="K227" s="5"/>
      <c r="L227" s="5"/>
      <c r="M227" s="5"/>
      <c r="N227" s="5"/>
      <c r="O227" s="5"/>
      <c r="P227" s="5"/>
      <c r="Q227" s="5"/>
      <c r="R227" s="5"/>
    </row>
    <row r="228" spans="1:18">
      <c r="A228" s="4"/>
      <c r="B228" s="5"/>
      <c r="C228" s="4"/>
      <c r="D228" s="179"/>
      <c r="E228" s="5"/>
      <c r="F228" s="5"/>
      <c r="H228" s="5"/>
      <c r="I228" s="5"/>
      <c r="J228" s="5"/>
      <c r="K228" s="5"/>
      <c r="L228" s="5"/>
      <c r="M228" s="5"/>
      <c r="N228" s="5"/>
      <c r="O228" s="5"/>
      <c r="P228" s="5"/>
      <c r="Q228" s="5"/>
      <c r="R228" s="5"/>
    </row>
    <row r="229" spans="1:18">
      <c r="A229" s="4"/>
      <c r="B229" s="5"/>
      <c r="C229" s="4"/>
      <c r="D229" s="179"/>
      <c r="E229" s="5"/>
      <c r="F229" s="5"/>
      <c r="H229" s="5"/>
      <c r="I229" s="5"/>
      <c r="J229" s="5"/>
      <c r="K229" s="5"/>
      <c r="L229" s="5"/>
      <c r="M229" s="5"/>
      <c r="N229" s="5"/>
      <c r="O229" s="5"/>
      <c r="P229" s="5"/>
      <c r="Q229" s="5"/>
      <c r="R229" s="5"/>
    </row>
    <row r="230" spans="1:18">
      <c r="A230" s="4"/>
      <c r="B230" s="5"/>
      <c r="C230" s="4"/>
      <c r="D230" s="179"/>
      <c r="E230" s="5"/>
      <c r="F230" s="5"/>
      <c r="G230" s="136"/>
      <c r="H230" s="5"/>
      <c r="I230" s="5"/>
      <c r="J230" s="5"/>
      <c r="K230" s="5"/>
      <c r="L230" s="5"/>
      <c r="M230" s="5"/>
      <c r="N230" s="5"/>
      <c r="O230" s="5"/>
      <c r="P230" s="5"/>
      <c r="Q230" s="5"/>
      <c r="R230" s="5"/>
    </row>
    <row r="231" spans="1:18">
      <c r="A231" s="4"/>
      <c r="B231" s="5"/>
      <c r="C231" s="4"/>
      <c r="D231" s="179"/>
      <c r="E231" s="5"/>
      <c r="F231" s="5"/>
      <c r="G231" s="136"/>
      <c r="H231" s="5"/>
      <c r="I231" s="5"/>
      <c r="J231" s="5"/>
      <c r="K231" s="5"/>
      <c r="L231" s="5"/>
      <c r="M231" s="5"/>
      <c r="N231" s="5"/>
      <c r="O231" s="5"/>
      <c r="P231" s="5"/>
      <c r="Q231" s="5"/>
      <c r="R231" s="5"/>
    </row>
    <row r="232" spans="1:18">
      <c r="A232" s="4"/>
      <c r="B232" s="5"/>
      <c r="C232" s="4"/>
      <c r="D232" s="179"/>
      <c r="E232" s="5"/>
      <c r="F232" s="5"/>
      <c r="G232" s="136"/>
      <c r="H232" s="5"/>
      <c r="I232" s="5"/>
      <c r="J232" s="5"/>
      <c r="K232" s="5"/>
      <c r="L232" s="5"/>
      <c r="M232" s="5"/>
      <c r="N232" s="5"/>
      <c r="O232" s="5"/>
      <c r="P232" s="5"/>
      <c r="Q232" s="5"/>
      <c r="R232" s="5"/>
    </row>
    <row r="233" spans="1:18">
      <c r="A233" s="4"/>
      <c r="B233" s="5"/>
      <c r="C233" s="4"/>
      <c r="D233" s="179"/>
      <c r="E233" s="5"/>
      <c r="F233" s="5"/>
      <c r="G233" s="136"/>
      <c r="H233" s="5"/>
      <c r="I233" s="5"/>
      <c r="J233" s="5"/>
      <c r="K233" s="5"/>
      <c r="L233" s="5"/>
      <c r="M233" s="5"/>
      <c r="N233" s="5"/>
      <c r="O233" s="5"/>
      <c r="P233" s="5"/>
      <c r="Q233" s="5"/>
      <c r="R233" s="5"/>
    </row>
    <row r="234" spans="1:18">
      <c r="A234" s="4"/>
      <c r="B234" s="5"/>
      <c r="C234" s="4"/>
      <c r="D234" s="179"/>
      <c r="E234" s="5"/>
      <c r="F234" s="5"/>
      <c r="G234" s="136"/>
      <c r="H234" s="5"/>
      <c r="I234" s="5"/>
      <c r="J234" s="5"/>
      <c r="K234" s="5"/>
      <c r="L234" s="5"/>
      <c r="M234" s="5"/>
      <c r="N234" s="5"/>
      <c r="O234" s="5"/>
      <c r="P234" s="5"/>
      <c r="Q234" s="5"/>
      <c r="R234" s="5"/>
    </row>
    <row r="235" spans="1:18">
      <c r="A235" s="4"/>
      <c r="B235" s="5"/>
      <c r="C235" s="4"/>
      <c r="D235" s="179"/>
      <c r="E235" s="5"/>
      <c r="F235" s="5"/>
      <c r="G235" s="136"/>
      <c r="H235" s="5"/>
      <c r="I235" s="5"/>
      <c r="J235" s="5"/>
      <c r="K235" s="5"/>
      <c r="L235" s="5"/>
      <c r="M235" s="5"/>
      <c r="N235" s="5"/>
      <c r="O235" s="5"/>
      <c r="P235" s="5"/>
      <c r="Q235" s="5"/>
      <c r="R235" s="5"/>
    </row>
    <row r="236" spans="1:18">
      <c r="A236" s="4"/>
      <c r="B236" s="5"/>
      <c r="C236" s="4"/>
      <c r="D236" s="179"/>
      <c r="E236" s="5"/>
      <c r="F236" s="5"/>
      <c r="H236" s="5"/>
      <c r="I236" s="5"/>
      <c r="J236" s="5"/>
      <c r="K236" s="5"/>
      <c r="L236" s="5"/>
      <c r="M236" s="5"/>
      <c r="N236" s="5"/>
      <c r="O236" s="5"/>
      <c r="P236" s="5"/>
      <c r="Q236" s="5"/>
      <c r="R236" s="5"/>
    </row>
    <row r="237" spans="1:18">
      <c r="A237" s="4"/>
      <c r="B237" s="5"/>
      <c r="C237" s="4"/>
      <c r="D237" s="179"/>
      <c r="E237" s="5"/>
      <c r="F237" s="5"/>
      <c r="H237" s="5"/>
      <c r="I237" s="5"/>
      <c r="J237" s="5"/>
      <c r="K237" s="5"/>
      <c r="L237" s="5"/>
      <c r="M237" s="5"/>
      <c r="N237" s="5"/>
      <c r="O237" s="5"/>
      <c r="P237" s="5"/>
      <c r="Q237" s="5"/>
      <c r="R237" s="5"/>
    </row>
    <row r="238" spans="1:18">
      <c r="A238" s="4"/>
      <c r="B238" s="5"/>
      <c r="C238" s="4"/>
      <c r="D238" s="179"/>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sheetData>
  <autoFilter ref="A39:R242" xr:uid="{277BDA72-D029-4611-A96B-1244F2575BB9}"/>
  <mergeCells count="5">
    <mergeCell ref="AO3:AT3"/>
    <mergeCell ref="U1:X1"/>
    <mergeCell ref="U3:Y3"/>
    <mergeCell ref="AA3:AF3"/>
    <mergeCell ref="AH3:AM3"/>
  </mergeCells>
  <dataValidations count="4">
    <dataValidation showInputMessage="1" showErrorMessage="1" sqref="F33:F35 K33 P40:R239" xr:uid="{9164393B-DD49-4504-820E-20A94B5564D9}"/>
    <dataValidation type="custom" showInputMessage="1" showErrorMessage="1" sqref="K34:K35" xr:uid="{BC3E756C-320E-4332-B13A-90FF1B26B302}">
      <formula1>_xlfn.DAYS(H307,F307)</formula1>
    </dataValidation>
    <dataValidation type="custom" allowBlank="1" showInputMessage="1" showErrorMessage="1" sqref="AE38 O38" xr:uid="{EBF2C200-8F48-449F-A478-D0D766D9C87D}">
      <formula1>_xlfn.DAYS(L310,J310)</formula1>
    </dataValidation>
    <dataValidation type="custom" showInputMessage="1" showErrorMessage="1" sqref="AF38 P38" xr:uid="{868AAEF3-CE68-4592-8E40-73D4E2243864}">
      <formula1>_xlfn.DAYS(M309,K309)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2BC67379-185D-4B3A-BCE4-98FB69C60A32}">
          <x14:formula1>
            <xm:f>Cadastros!$N$12:$N$16</xm:f>
          </x14:formula1>
          <xm:sqref>I38 Y38 K26</xm:sqref>
        </x14:dataValidation>
        <x14:dataValidation type="list" allowBlank="1" showInputMessage="1" showErrorMessage="1" xr:uid="{F5458F55-3695-4643-8579-FCCDC700CCAB}">
          <x14:formula1>
            <xm:f>Cadastros!$Q$12:$Q$17</xm:f>
          </x14:formula1>
          <xm:sqref>K38 AA38 K28 K178:K239 K40</xm:sqref>
        </x14:dataValidation>
        <x14:dataValidation type="list" allowBlank="1" showInputMessage="1" showErrorMessage="1" xr:uid="{4738B8B5-C246-4E81-B2F1-F048E37BEC51}">
          <x14:formula1>
            <xm:f>Cadastros!$F$12:$F$25</xm:f>
          </x14:formula1>
          <xm:sqref>G38 K24 AM38 F135:F239 F40</xm:sqref>
        </x14:dataValidation>
        <x14:dataValidation type="list" allowBlank="1" showInputMessage="1" showErrorMessage="1" xr:uid="{A731D8CD-19F1-4228-9508-FD5322503CC8}">
          <x14:formula1>
            <xm:f>Cadastros!$S$12:$S$13</xm:f>
          </x14:formula1>
          <xm:sqref>M38:N38 AC38:AD38 K30:K31 F30:F31 M40:N239</xm:sqref>
        </x14:dataValidation>
        <x14:dataValidation type="list" errorStyle="information" allowBlank="1" showInputMessage="1" showErrorMessage="1" xr:uid="{E8FE288A-3A13-42C9-BBFB-1A97DF0DE72B}">
          <x14:formula1>
            <xm:f>Cadastros!$I$12:$I$21</xm:f>
          </x14:formula1>
          <xm:sqref>H38 K25</xm:sqref>
        </x14:dataValidation>
        <x14:dataValidation type="list" showInputMessage="1" showErrorMessage="1" xr:uid="{CD9CD07B-CB4F-4390-8A97-79BC87830CFC}">
          <x14:formula1>
            <xm:f>Cadastros!$C$12:$C$16</xm:f>
          </x14:formula1>
          <xm:sqref>K22 AK38 E38 E135:E239 E40</xm:sqref>
        </x14:dataValidation>
        <x14:dataValidation type="list" errorStyle="information" allowBlank="1" showInputMessage="1" showErrorMessage="1" xr:uid="{C7C6DFDD-7ABA-4CA4-AFB0-7674249475C3}">
          <x14:formula1>
            <xm:f>Cadastros!$I$12:$I$36</xm:f>
          </x14:formula1>
          <xm:sqref>H135:H239 H40</xm:sqref>
        </x14:dataValidation>
        <x14:dataValidation type="list" allowBlank="1" showInputMessage="1" showErrorMessage="1" xr:uid="{8FF74B92-0664-4B29-9569-FF629C7AE8EF}">
          <x14:formula1>
            <xm:f>Cadastros!$N$12:$N$19</xm:f>
          </x14:formula1>
          <xm:sqref>F26 I40:I239</xm:sqref>
        </x14:dataValidation>
        <x14:dataValidation type="list" allowBlank="1" showInputMessage="1" showErrorMessage="1" xr:uid="{1B5F96AE-227F-464D-A35D-C0EF9FF871F0}">
          <x14:formula1>
            <xm:f>Cadastros!$Q$12:$Q$15</xm:f>
          </x14:formula1>
          <xm:sqref>K41:K177 F28</xm:sqref>
        </x14:dataValidation>
        <x14:dataValidation type="list" allowBlank="1" showInputMessage="1" showErrorMessage="1" xr:uid="{26BF58FE-5140-451E-B10B-9B6219A589F6}">
          <x14:formula1>
            <xm:f>Cadastros!$F$12:$F$15</xm:f>
          </x14:formula1>
          <xm:sqref>F23 F41:F134</xm:sqref>
        </x14:dataValidation>
        <x14:dataValidation type="list" allowBlank="1" showInputMessage="1" showErrorMessage="1" xr:uid="{864948B1-3300-49C4-A881-5B85EE662FE2}">
          <x14:formula1>
            <xm:f>Cadastros!$I$12:$I$36</xm:f>
          </x14:formula1>
          <xm:sqref>F25 H41:H134</xm:sqref>
        </x14:dataValidation>
        <x14:dataValidation type="list" allowBlank="1" showInputMessage="1" showErrorMessage="1" xr:uid="{C45821C6-0C1F-44BD-A346-FA56E11C00E6}">
          <x14:formula1>
            <xm:f>Cadastros!$C$12:$C$16</xm:f>
          </x14:formula1>
          <xm:sqref>F22 E41:E134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BC7C-A472-4CA2-BDE0-26E2F8CDD43B}">
  <sheetPr codeName="Planilha8"/>
  <dimension ref="A1:AT147"/>
  <sheetViews>
    <sheetView tabSelected="1" topLeftCell="A13" zoomScaleNormal="100" workbookViewId="0">
      <selection activeCell="A41" sqref="A41"/>
    </sheetView>
  </sheetViews>
  <sheetFormatPr defaultRowHeight="15"/>
  <cols>
    <col min="1" max="1" width="13" customWidth="1"/>
    <col min="2" max="2" width="13.140625" bestFit="1" customWidth="1"/>
    <col min="3" max="3" width="14" bestFit="1" customWidth="1"/>
    <col min="4" max="4" width="11.140625" customWidth="1"/>
    <col min="5" max="5" width="29.28515625" bestFit="1" customWidth="1"/>
    <col min="6" max="6" width="33.28515625" customWidth="1"/>
    <col min="7" max="7" width="51.85546875" customWidth="1"/>
    <col min="8" max="8" width="22.28515625" bestFit="1" customWidth="1"/>
    <col min="9" max="9" width="18.140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COUNTA(B$40:B298)</f>
        <v>6</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COUNTIFS(H$39:H416,U5,K$39:K416,V4)</f>
        <v>0</v>
      </c>
      <c r="W5" s="147">
        <f>COUNTIFS(H$39:H416,U5,K$39:K416,W4)</f>
        <v>0</v>
      </c>
      <c r="X5" s="147">
        <f>COUNTIFS(H$39:H416,U5,K$39:K416,X4)</f>
        <v>0</v>
      </c>
      <c r="Y5" s="148">
        <f t="shared" ref="Y5:Y10" si="0">SUM(V5:X5)</f>
        <v>0</v>
      </c>
      <c r="Z5" s="13"/>
      <c r="AA5" s="88" t="str">
        <f>U5</f>
        <v>Bárbara Leite</v>
      </c>
      <c r="AB5" s="33">
        <f>SUMIFS(J$40:J337,H$40:H337,AA5,E$40:E337,"SAL")</f>
        <v>0</v>
      </c>
      <c r="AC5" s="34">
        <f>SUMIFS(J$40:J411,H$40:H411,AA5,E$40:E411,"SAM")</f>
        <v>0</v>
      </c>
      <c r="AD5" s="34">
        <f>SUMIFS(J$40:J411,H$40:H411,AA5,E$40:E411,"NE")</f>
        <v>0</v>
      </c>
      <c r="AE5" s="34">
        <f>SUMIFS(J$40:J411,H$40:H411,AA5,E$40:E411,"SAIL")</f>
        <v>0</v>
      </c>
      <c r="AF5" s="35">
        <f t="shared" ref="AF5:AF9" si="1">SUBTOTAL(9,AB5:AE5)</f>
        <v>0</v>
      </c>
      <c r="AH5" s="88" t="str">
        <f>U5</f>
        <v>Bárbara Leite</v>
      </c>
      <c r="AI5" s="33">
        <f>COUNTIFS(H$40:H411,AH5,E$40:E411,"SAL")</f>
        <v>0</v>
      </c>
      <c r="AJ5" s="34">
        <f t="shared" ref="AJ5:AJ29" si="2">COUNTIFS(H$40:H$411,AH5,E$40:E$411,"SAM")</f>
        <v>0</v>
      </c>
      <c r="AK5" s="34">
        <f>COUNTIFS(H$40:H411,AH5,E$40:E$411,"NE")</f>
        <v>0</v>
      </c>
      <c r="AL5" s="34">
        <f>COUNTIFS(H$40:H411,AH5,E$40:E411,"SAIL")</f>
        <v>0</v>
      </c>
      <c r="AM5" s="35">
        <f t="shared" ref="AM5:AM29" si="3">SUBTOTAL(9,AI5:AL5)</f>
        <v>0</v>
      </c>
      <c r="AO5" s="88" t="str">
        <f>U5</f>
        <v>Bárbara Leite</v>
      </c>
      <c r="AP5" s="33">
        <f t="shared" ref="AP5:AP29" si="4">SUMIFS(Q$40:Q$336,H$40:H$336,AO5,E$40:E$336,"SAL")</f>
        <v>0</v>
      </c>
      <c r="AQ5" s="34">
        <f t="shared" ref="AQ5:AQ29" si="5">SUMIFS(Q$40:Q$336,H$40:H$336,AO5,E$40:E$336,"SAM")</f>
        <v>0</v>
      </c>
      <c r="AR5" s="34">
        <f t="shared" ref="AR5:AR29" si="6">SUMIFS(Q$40:Q$336,H$40:H$336,AO5,E$40:E$336,"NE")</f>
        <v>0</v>
      </c>
      <c r="AS5" s="34">
        <f t="shared" ref="AS5:AS29" si="7">SUMIFS(Q$40:Q$336,H$40:H$336,AO5,E$40:E$336,"SAIL")</f>
        <v>0</v>
      </c>
      <c r="AT5" s="35">
        <f t="shared" ref="AT5:AT29" si="8">SUBTOTAL(9,AP5:AS5)</f>
        <v>0</v>
      </c>
    </row>
    <row r="6" spans="21:46" ht="15.75" thickBot="1">
      <c r="U6" s="87" t="str">
        <f>Cadastros!I13</f>
        <v>Bárbara Teixeira</v>
      </c>
      <c r="V6" s="85">
        <f>COUNTIFS(H$39:H416,U6,K$39:K416,V4)</f>
        <v>0</v>
      </c>
      <c r="W6" s="18">
        <f>COUNTIFS(H$39:H416,U6,K$39:K416,W4)</f>
        <v>0</v>
      </c>
      <c r="X6" s="18">
        <f>COUNTIFS(H$39:H416,U6,K$39:K416,X4)</f>
        <v>0</v>
      </c>
      <c r="Y6" s="19">
        <f t="shared" si="0"/>
        <v>0</v>
      </c>
      <c r="Z6" s="13"/>
      <c r="AA6" s="22" t="str">
        <f>U6</f>
        <v>Bárbara Teixeira</v>
      </c>
      <c r="AB6" s="30">
        <f>SUMIFS(J$40:J338,H$40:H338,AA6,E$40:E338,"SAL")</f>
        <v>0</v>
      </c>
      <c r="AC6" s="29">
        <f>SUMIFS(J$40:J412,H$40:H412,AA6,E$40:E412,"SAM")</f>
        <v>0</v>
      </c>
      <c r="AD6" s="29">
        <f>SUMIFS(J$40:J412,H$40:H412,AA6,E$40:E412,"NE")</f>
        <v>0</v>
      </c>
      <c r="AE6" s="29">
        <f>SUMIFS(J$40:J412,H$40:H412,AA6,E$40:E412,"SAIL")</f>
        <v>0</v>
      </c>
      <c r="AF6" s="31">
        <f t="shared" si="1"/>
        <v>0</v>
      </c>
      <c r="AH6" s="22" t="str">
        <f>U6</f>
        <v>Bárbara Teixeira</v>
      </c>
      <c r="AI6" s="30">
        <f>COUNTIFS(H$40:H412,AH6,E$40:E412,"SAL")</f>
        <v>0</v>
      </c>
      <c r="AJ6" s="29">
        <f t="shared" si="2"/>
        <v>0</v>
      </c>
      <c r="AK6" s="29">
        <f t="shared" ref="AK6:AK29" si="9">COUNTIFS(H$40:H$411,AH6,E$40:E$411,"NE")</f>
        <v>0</v>
      </c>
      <c r="AL6" s="29">
        <f>COUNTIFS(H$40:H412,AH6,E$40:E412,"SAIL")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COUNTIFS(H$39:H416,U7,K$39:K416,V4)</f>
        <v>0</v>
      </c>
      <c r="W7" s="14">
        <f>COUNTIFS(H$39:H416,U7,K$39:K416,W4)</f>
        <v>0</v>
      </c>
      <c r="X7" s="14">
        <f>COUNTIFS(H$39:H416,U7,K$39:K416,X4)</f>
        <v>0</v>
      </c>
      <c r="Y7" s="15">
        <f t="shared" si="0"/>
        <v>0</v>
      </c>
      <c r="Z7" s="13"/>
      <c r="AA7" s="21" t="str">
        <f t="shared" ref="AA7:AA11" si="10">U7</f>
        <v>Bruna Ferro</v>
      </c>
      <c r="AB7" s="37">
        <f>SUMIFS(J$40:J339,H$40:H339,AA7,E$40:E339,"SAL")</f>
        <v>0</v>
      </c>
      <c r="AC7" s="38">
        <f>SUMIFS(J$40:J413,H$40:H413,AA7,E$40:E413,"SAM")</f>
        <v>0</v>
      </c>
      <c r="AD7" s="38">
        <f>SUMIFS(J$40:J413,H$40:H413,AA7,E$40:E413,"NE")</f>
        <v>0</v>
      </c>
      <c r="AE7" s="38">
        <f>SUMIFS(J$40:J413,H$40:H413,AA7,E$40:E413,"SAIL")</f>
        <v>0</v>
      </c>
      <c r="AF7" s="39">
        <f t="shared" si="1"/>
        <v>0</v>
      </c>
      <c r="AH7" s="21" t="str">
        <f t="shared" ref="AH7:AH11" si="11">U7</f>
        <v>Bruna Ferro</v>
      </c>
      <c r="AI7" s="37">
        <f>COUNTIFS(H$40:H413,AH7,E$40:E413,"SAL")</f>
        <v>0</v>
      </c>
      <c r="AJ7" s="38">
        <f t="shared" si="2"/>
        <v>0</v>
      </c>
      <c r="AK7" s="38">
        <f t="shared" si="9"/>
        <v>0</v>
      </c>
      <c r="AL7" s="38">
        <f>COUNTIFS(H$40:H413,AH7,E$40:E413,"SAIL")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COUNTIFS(H$39:H416,U8,K$39:K416,V4)</f>
        <v>0</v>
      </c>
      <c r="W8" s="18">
        <f>COUNTIFS(H$39:H416,U8,K$39:K416,W4)</f>
        <v>0</v>
      </c>
      <c r="X8" s="18">
        <f>COUNTIFS(H$39:H416,U8,K$39:K416,X4)</f>
        <v>0</v>
      </c>
      <c r="Y8" s="19">
        <f t="shared" si="0"/>
        <v>0</v>
      </c>
      <c r="Z8" s="13"/>
      <c r="AA8" s="22" t="str">
        <f t="shared" si="10"/>
        <v>Carolina Esmeraldino</v>
      </c>
      <c r="AB8" s="30">
        <f>SUMIFS(J$40:J340,H$40:H340,AA8,E$40:E340,"SAL")</f>
        <v>0</v>
      </c>
      <c r="AC8" s="29">
        <f>SUMIFS(J$40:J414,H$40:H414,AA8,E$40:E414,"SAM")</f>
        <v>0</v>
      </c>
      <c r="AD8" s="29">
        <f>SUMIFS(J$40:J414,H$40:H414,AA8,E$40:E414,"NE")</f>
        <v>0</v>
      </c>
      <c r="AE8" s="29">
        <f>SUMIFS(J$40:J414,H$40:H414,AA8,E$40:E414,"SAIL")</f>
        <v>0</v>
      </c>
      <c r="AF8" s="31">
        <f t="shared" si="1"/>
        <v>0</v>
      </c>
      <c r="AH8" s="22" t="str">
        <f t="shared" si="11"/>
        <v>Carolina Esmeraldino</v>
      </c>
      <c r="AI8" s="30">
        <f>COUNTIFS(H$40:H414,AH8,E$40:E414,"SAL")</f>
        <v>0</v>
      </c>
      <c r="AJ8" s="29">
        <f t="shared" si="2"/>
        <v>0</v>
      </c>
      <c r="AK8" s="29">
        <f t="shared" si="9"/>
        <v>0</v>
      </c>
      <c r="AL8" s="29">
        <f>COUNTIFS(H$40:H414,AH8,E$40:E414,"SAIL")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COUNTIFS(H$39:H416,U9,K$39:K416,V4)</f>
        <v>0</v>
      </c>
      <c r="W9" s="14">
        <f>COUNTIFS(H$39:H416,U9,K$39:K416,W4)</f>
        <v>0</v>
      </c>
      <c r="X9" s="14">
        <f>COUNTIFS(H$39:H416,U9,K$39:K416,X4)</f>
        <v>0</v>
      </c>
      <c r="Y9" s="15">
        <f t="shared" si="0"/>
        <v>0</v>
      </c>
      <c r="Z9" s="13"/>
      <c r="AA9" s="21" t="str">
        <f t="shared" si="10"/>
        <v>Claudia Savois</v>
      </c>
      <c r="AB9" s="37">
        <f>SUMIFS(J$40:J341,H$40:H341,AA9,E$40:E341,"SAL")</f>
        <v>0</v>
      </c>
      <c r="AC9" s="38">
        <f>SUMIFS(J$40:J415,H$40:H415,AA9,E$40:E415,"SAM")</f>
        <v>0</v>
      </c>
      <c r="AD9" s="38">
        <f>SUMIFS(J$40:J415,H$40:H415,AA9,E$40:E415,"NE")</f>
        <v>0</v>
      </c>
      <c r="AE9" s="38">
        <f>SUMIFS(J$40:J415,H$40:H415,AA9,E$40:E415,"SAIL")</f>
        <v>0</v>
      </c>
      <c r="AF9" s="39">
        <f t="shared" si="1"/>
        <v>0</v>
      </c>
      <c r="AH9" s="21" t="str">
        <f t="shared" si="11"/>
        <v>Claudia Savois</v>
      </c>
      <c r="AI9" s="37">
        <f>COUNTIFS(H$40:H415,AH9,E$40:E415,"SAL")</f>
        <v>0</v>
      </c>
      <c r="AJ9" s="38">
        <f t="shared" si="2"/>
        <v>0</v>
      </c>
      <c r="AK9" s="38">
        <f t="shared" si="9"/>
        <v>0</v>
      </c>
      <c r="AL9" s="38">
        <f>COUNTIFS(H$40:H415,AH9,E$40:E415,"SAIL")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COUNTIFS(H$39:H417,U10,K$39:K417,V4)</f>
        <v>0</v>
      </c>
      <c r="W10" s="14">
        <f>COUNTIFS(H$39:H417,U10,K$39:K417,W4)</f>
        <v>0</v>
      </c>
      <c r="X10" s="14">
        <f>COUNTIFS(H$39:H417,U10,K$39:K417,X4)</f>
        <v>0</v>
      </c>
      <c r="Y10" s="15">
        <f t="shared" si="0"/>
        <v>0</v>
      </c>
      <c r="Z10" s="13"/>
      <c r="AA10" s="22" t="str">
        <f t="shared" si="10"/>
        <v>Daniela Stupp</v>
      </c>
      <c r="AB10" s="30">
        <f>SUMIFS(J$40:J342,H$40:H342,AA10,E$40:E342,"SAL")</f>
        <v>0</v>
      </c>
      <c r="AC10" s="29">
        <f>SUMIFS(J$40:J416,H$40:H416,AA10,E$40:E416,"SAM")</f>
        <v>0</v>
      </c>
      <c r="AD10" s="29">
        <f>SUMIFS(J$40:J416,H$40:H416,AA10,E$40:E416,"NE")</f>
        <v>0</v>
      </c>
      <c r="AE10" s="29">
        <f>SUMIFS(J$40:J416,H$40:H416,AA10,E$40:E416,"SAIL")</f>
        <v>0</v>
      </c>
      <c r="AF10" s="31">
        <f>SUBTOTAL(9,AB10:AE10)</f>
        <v>0</v>
      </c>
      <c r="AH10" s="22" t="str">
        <f t="shared" si="11"/>
        <v>Daniela Stupp</v>
      </c>
      <c r="AI10" s="30">
        <f>COUNTIFS(H$40:H416,AH10,E$40:E416,"SAL")</f>
        <v>0</v>
      </c>
      <c r="AJ10" s="29">
        <f t="shared" si="2"/>
        <v>0</v>
      </c>
      <c r="AK10" s="29">
        <f t="shared" si="9"/>
        <v>0</v>
      </c>
      <c r="AL10" s="29">
        <f>COUNTIFS(H$40:H416,AH10,E$40:E416,"SAIL")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COUNTIFS(H$39:H416,U11,K$39:K416,V4)</f>
        <v>2</v>
      </c>
      <c r="W11" s="18">
        <f>COUNTIFS(H$39:H416,U11,K$39:K416,W4)</f>
        <v>0</v>
      </c>
      <c r="X11" s="18">
        <f>COUNTIFS(H$39:H416,U11,K$39:K416,X4)</f>
        <v>0</v>
      </c>
      <c r="Y11" s="19">
        <f>SUM(V11:X11)</f>
        <v>2</v>
      </c>
      <c r="Z11" s="13"/>
      <c r="AA11" s="21" t="str">
        <f t="shared" si="10"/>
        <v>Gabriely</v>
      </c>
      <c r="AB11" s="37">
        <f>SUMIFS(J$40:J343,H$40:H343,AA11,E$40:E343,"SAL")</f>
        <v>2274</v>
      </c>
      <c r="AC11" s="38">
        <f>SUMIFS(J$40:J417,H$40:H417,AA11,E$40:E417,"SAM")</f>
        <v>256</v>
      </c>
      <c r="AD11" s="38">
        <f>SUMIFS(J$40:J417,H$40:H417,AA11,E$40:E417,"NE")</f>
        <v>0</v>
      </c>
      <c r="AE11" s="38">
        <f>SUMIFS(J$40:J417,H$40:H417,AA11,E$40:E417,"SAIL")</f>
        <v>0</v>
      </c>
      <c r="AF11" s="39">
        <f>SUBTOTAL(9,AB11:AE11)</f>
        <v>2530</v>
      </c>
      <c r="AH11" s="21" t="str">
        <f t="shared" si="11"/>
        <v>Gabriely</v>
      </c>
      <c r="AI11" s="37">
        <f>COUNTIFS(H$40:H417,AH11,E$40:E417,"SAL")</f>
        <v>1</v>
      </c>
      <c r="AJ11" s="38">
        <f t="shared" si="2"/>
        <v>1</v>
      </c>
      <c r="AK11" s="38">
        <f t="shared" si="9"/>
        <v>0</v>
      </c>
      <c r="AL11" s="38">
        <f>COUNTIFS(H$40:H417,AH11,E$40:E417,"SAIL")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COUNTIFS(H$39:H417,U12,K$39:K417,V4)</f>
        <v>0</v>
      </c>
      <c r="W12" s="14">
        <f>COUNTIFS(H$39:H417,U12,K$39:K417,W4)</f>
        <v>0</v>
      </c>
      <c r="X12" s="14">
        <f>COUNTIFS(H$39:H417,U12,K$39:K417,X4)</f>
        <v>0</v>
      </c>
      <c r="Y12" s="15">
        <f t="shared" ref="Y12:Y29" si="13">SUM(V12:X12)</f>
        <v>0</v>
      </c>
      <c r="AA12" s="22" t="str">
        <f>U12</f>
        <v>Fabio Sasso</v>
      </c>
      <c r="AB12" s="30">
        <f>SUMIFS(J$40:J344,H$40:H344,AA12,E$40:E344,"SAL")</f>
        <v>0</v>
      </c>
      <c r="AC12" s="29">
        <f>SUMIFS(J$40:J418,H$40:H418,AA12,E$40:E418,"SAM")</f>
        <v>0</v>
      </c>
      <c r="AD12" s="29">
        <f>SUMIFS(J$40:J418,H$40:H418,AA12,E$40:E418,"NE")</f>
        <v>0</v>
      </c>
      <c r="AE12" s="29">
        <f>SUMIFS(J$40:J418,H$40:H418,AA12,E$40:E418,"SAIL")</f>
        <v>0</v>
      </c>
      <c r="AF12" s="31">
        <f>SUBTOTAL(9,AB12:AE12)</f>
        <v>0</v>
      </c>
      <c r="AH12" s="22" t="str">
        <f>U12</f>
        <v>Fabio Sasso</v>
      </c>
      <c r="AI12" s="30">
        <f>COUNTIFS(H$40:H418,AH12,E$40:E418,"SAL")</f>
        <v>0</v>
      </c>
      <c r="AJ12" s="29">
        <f t="shared" si="2"/>
        <v>0</v>
      </c>
      <c r="AK12" s="29">
        <f t="shared" si="9"/>
        <v>0</v>
      </c>
      <c r="AL12" s="29">
        <f>COUNTIFS(H$40:H418,AH12,E$40:E418,"SAIL")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COUNTIFS(H$39:H418,U13,K$39:K418,V$4)</f>
        <v>0</v>
      </c>
      <c r="W13" s="18">
        <f>COUNTIFS(H$39:H418,U13,K$39:K418,W$4)</f>
        <v>0</v>
      </c>
      <c r="X13" s="18">
        <f>COUNTIFS(H$39:H418,U13,K$39:K418,X$4)</f>
        <v>0</v>
      </c>
      <c r="Y13" s="19">
        <f t="shared" si="13"/>
        <v>0</v>
      </c>
      <c r="AA13" s="21" t="str">
        <f t="shared" ref="AA13:AA29" si="14">U13</f>
        <v>Felipi Ferreira</v>
      </c>
      <c r="AB13" s="37">
        <f>SUMIFS(J$40:J345,H$40:H345,AA13,E$40:E345,"SAL")</f>
        <v>0</v>
      </c>
      <c r="AC13" s="38">
        <f>SUMIFS(J$40:J419,H$40:H419,AA13,E$40:E419,"SAM")</f>
        <v>0</v>
      </c>
      <c r="AD13" s="38">
        <f>SUMIFS(J$40:J419,H$40:H419,AA13,E$40:E419,"NE")</f>
        <v>0</v>
      </c>
      <c r="AE13" s="38">
        <f>SUMIFS(J$40:J419,H$40:H419,AA13,E$40:E419,"SAIL")</f>
        <v>0</v>
      </c>
      <c r="AF13" s="39">
        <f t="shared" ref="AF13:AF29" si="15">SUBTOTAL(9,AB13:AE13)</f>
        <v>0</v>
      </c>
      <c r="AH13" s="21" t="str">
        <f t="shared" ref="AH13:AH29" si="16">U13</f>
        <v>Felipi Ferreira</v>
      </c>
      <c r="AI13" s="37">
        <f>COUNTIFS(H$40:H419,AH13,E$40:E419,"SAL")</f>
        <v>0</v>
      </c>
      <c r="AJ13" s="38">
        <f t="shared" si="2"/>
        <v>0</v>
      </c>
      <c r="AK13" s="38">
        <f t="shared" si="9"/>
        <v>0</v>
      </c>
      <c r="AL13" s="38">
        <f>COUNTIFS(H$40:H419,AH13,E$40:E419,"SAIL")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COUNTIFS(H$39:H419,U14,K$39:K419,V$4)</f>
        <v>1</v>
      </c>
      <c r="W14" s="14">
        <f>COUNTIFS(H$39:H419,U14,K$39:K419,W$4)</f>
        <v>0</v>
      </c>
      <c r="X14" s="14">
        <f>COUNTIFS(H$39:H419,U14,K$39:K419,X$4)</f>
        <v>0</v>
      </c>
      <c r="Y14" s="15">
        <f t="shared" si="13"/>
        <v>1</v>
      </c>
      <c r="AA14" s="22" t="str">
        <f t="shared" si="14"/>
        <v>Flávia Cardoso</v>
      </c>
      <c r="AB14" s="30">
        <f>SUMIFS(J$40:J346,H$40:H346,AA14,E$40:E346,"SAL")</f>
        <v>1010</v>
      </c>
      <c r="AC14" s="29">
        <f>SUMIFS(J$40:J420,H$40:H420,AA14,E$40:E420,"SAM")</f>
        <v>0</v>
      </c>
      <c r="AD14" s="29">
        <f>SUMIFS(J$40:J420,H$40:H420,AA14,E$40:E420,"NE")</f>
        <v>0</v>
      </c>
      <c r="AE14" s="29">
        <f>SUMIFS(J$40:J420,H$40:H420,AA14,E$40:E420,"SAIL")</f>
        <v>0</v>
      </c>
      <c r="AF14" s="31">
        <f t="shared" si="15"/>
        <v>1010</v>
      </c>
      <c r="AH14" s="22" t="str">
        <f t="shared" si="16"/>
        <v>Flávia Cardoso</v>
      </c>
      <c r="AI14" s="30">
        <f>COUNTIFS(H$40:H420,AH14,E$40:E420,"SAL")</f>
        <v>1</v>
      </c>
      <c r="AJ14" s="29">
        <f t="shared" si="2"/>
        <v>0</v>
      </c>
      <c r="AK14" s="29">
        <f t="shared" si="9"/>
        <v>0</v>
      </c>
      <c r="AL14" s="29">
        <f>COUNTIFS(H$40:H420,AH14,E$40:E420,"SAIL")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COUNTIFS(H$39:H420,U15,K$39:K420,V$4)</f>
        <v>0</v>
      </c>
      <c r="W15" s="18">
        <f>COUNTIFS(H$39:H420,U15,K$39:K420,W$4)</f>
        <v>0</v>
      </c>
      <c r="X15" s="18">
        <f>COUNTIFS(H$39:H420,U15,K$39:K420,X$4)</f>
        <v>0</v>
      </c>
      <c r="Y15" s="19">
        <f t="shared" si="13"/>
        <v>0</v>
      </c>
      <c r="AA15" s="21" t="str">
        <f t="shared" si="14"/>
        <v>Giovani cunha</v>
      </c>
      <c r="AB15" s="37">
        <f>SUMIFS(J$40:J347,H$40:H347,AA15,E$40:E347,"SAL")</f>
        <v>0</v>
      </c>
      <c r="AC15" s="38">
        <f>SUMIFS(J$40:J421,H$40:H421,AA15,E$40:E421,"SAM")</f>
        <v>0</v>
      </c>
      <c r="AD15" s="38">
        <f>SUMIFS(J$40:J421,H$40:H421,AA15,E$40:E421,"NE")</f>
        <v>0</v>
      </c>
      <c r="AE15" s="38">
        <f>SUMIFS(J$40:J421,H$40:H421,AA15,E$40:E421,"SAIL")</f>
        <v>0</v>
      </c>
      <c r="AF15" s="39">
        <f t="shared" si="15"/>
        <v>0</v>
      </c>
      <c r="AH15" s="21" t="str">
        <f t="shared" si="16"/>
        <v>Giovani cunha</v>
      </c>
      <c r="AI15" s="37">
        <f>COUNTIFS(H$40:H421,AH15,E$40:E421,"SAL")</f>
        <v>0</v>
      </c>
      <c r="AJ15" s="38">
        <f t="shared" si="2"/>
        <v>0</v>
      </c>
      <c r="AK15" s="38">
        <f t="shared" si="9"/>
        <v>0</v>
      </c>
      <c r="AL15" s="38">
        <f>COUNTIFS(H$40:H421,AH15,E$40:E421,"SAIL")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COUNTIFS(H$39:H421,U16,K$39:K421,V$4)</f>
        <v>2</v>
      </c>
      <c r="W16" s="14">
        <f>COUNTIFS(H$39:H421,U16,K$39:K421,W$4)</f>
        <v>0</v>
      </c>
      <c r="X16" s="14">
        <f>COUNTIFS(H$39:H421,U16,K$39:K421,X$4)</f>
        <v>0</v>
      </c>
      <c r="Y16" s="15">
        <f t="shared" si="13"/>
        <v>2</v>
      </c>
      <c r="AA16" s="22" t="str">
        <f t="shared" si="14"/>
        <v>Jennifer Rodrigues</v>
      </c>
      <c r="AB16" s="30">
        <f>SUMIFS(J$40:J348,H$40:H348,AA16,E$40:E348,"SAL")</f>
        <v>0</v>
      </c>
      <c r="AC16" s="29">
        <f>SUMIFS(J$40:J422,H$40:H422,AA16,E$40:E422,"SAM")</f>
        <v>0</v>
      </c>
      <c r="AD16" s="29">
        <f>SUMIFS(J$40:J422,H$40:H422,AA16,E$40:E422,"NE")</f>
        <v>140</v>
      </c>
      <c r="AE16" s="29">
        <f>SUMIFS(J$40:J422,H$40:H422,AA16,E$40:E422,"SAIL")</f>
        <v>0</v>
      </c>
      <c r="AF16" s="31">
        <f t="shared" si="15"/>
        <v>140</v>
      </c>
      <c r="AH16" s="22" t="str">
        <f t="shared" si="16"/>
        <v>Jennifer Rodrigues</v>
      </c>
      <c r="AI16" s="30">
        <f>COUNTIFS(H$40:H422,AH16,E$40:E422,"SAL")</f>
        <v>0</v>
      </c>
      <c r="AJ16" s="29">
        <f t="shared" si="2"/>
        <v>0</v>
      </c>
      <c r="AK16" s="29">
        <f t="shared" si="9"/>
        <v>2</v>
      </c>
      <c r="AL16" s="29">
        <f>COUNTIFS(H$40:H422,AH16,E$40:E422,"SAIL")</f>
        <v>0</v>
      </c>
      <c r="AM16" s="31">
        <f t="shared" si="3"/>
        <v>2</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COUNTIFS(H$39:H422,U17,K$39:K422,V$4)</f>
        <v>0</v>
      </c>
      <c r="W17" s="18">
        <f>COUNTIFS(H$39:H422,U17,K$39:K422,W$4)</f>
        <v>0</v>
      </c>
      <c r="X17" s="18">
        <f>COUNTIFS(H$39:H422,U17,K$39:K422,X$4)</f>
        <v>0</v>
      </c>
      <c r="Y17" s="19">
        <f t="shared" si="13"/>
        <v>0</v>
      </c>
      <c r="AA17" s="21" t="str">
        <f t="shared" si="14"/>
        <v>Juliana Guizoni</v>
      </c>
      <c r="AB17" s="37">
        <f>SUMIFS(J$40:J349,H$40:H349,AA17,E$40:E349,"SAL")</f>
        <v>0</v>
      </c>
      <c r="AC17" s="38">
        <f>SUMIFS(J$40:J423,H$40:H423,AA17,E$40:E423,"SAM")</f>
        <v>0</v>
      </c>
      <c r="AD17" s="38">
        <f>SUMIFS(J$40:J423,H$40:H423,AA17,E$40:E423,"NE")</f>
        <v>0</v>
      </c>
      <c r="AE17" s="38">
        <f>SUMIFS(J$40:J423,H$40:H423,AA17,E$40:E423,"SAIL")</f>
        <v>0</v>
      </c>
      <c r="AF17" s="39">
        <f t="shared" si="15"/>
        <v>0</v>
      </c>
      <c r="AH17" s="21" t="str">
        <f t="shared" si="16"/>
        <v>Juliana Guizoni</v>
      </c>
      <c r="AI17" s="37">
        <f>COUNTIFS(H$40:H423,AH17,E$40:E423,"SAL")</f>
        <v>0</v>
      </c>
      <c r="AJ17" s="38">
        <f t="shared" si="2"/>
        <v>0</v>
      </c>
      <c r="AK17" s="38">
        <f t="shared" si="9"/>
        <v>0</v>
      </c>
      <c r="AL17" s="38">
        <f>COUNTIFS(H$40:H423,AH17,E$40:E423,"SAIL")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COUNTIFS(H$39:H423,U18,K$39:K423,V$4)</f>
        <v>1</v>
      </c>
      <c r="W18" s="14">
        <f>COUNTIFS(H$39:H423,U18,K$39:K423,W$4)</f>
        <v>0</v>
      </c>
      <c r="X18" s="14">
        <f>COUNTIFS(H$39:H423,U18,K$39:K423,X$4)</f>
        <v>0</v>
      </c>
      <c r="Y18" s="15">
        <f t="shared" si="13"/>
        <v>1</v>
      </c>
      <c r="AA18" s="22" t="str">
        <f t="shared" si="14"/>
        <v>Vinicyos Maguns</v>
      </c>
      <c r="AB18" s="30">
        <f>SUMIFS(J$40:J350,H$40:H350,AA18,E$40:E350,"SAL")</f>
        <v>0</v>
      </c>
      <c r="AC18" s="29">
        <f>SUMIFS(J$40:J424,H$40:H424,AA18,E$40:E424,"SAM")</f>
        <v>0</v>
      </c>
      <c r="AD18" s="29">
        <f>SUMIFS(J$40:J424,H$40:H424,AA18,E$40:E424,"NE")</f>
        <v>563</v>
      </c>
      <c r="AE18" s="29">
        <f>SUMIFS(J$40:J424,H$40:H424,AA18,E$40:E424,"SAIL")</f>
        <v>0</v>
      </c>
      <c r="AF18" s="31">
        <f t="shared" si="15"/>
        <v>563</v>
      </c>
      <c r="AH18" s="22" t="str">
        <f t="shared" si="16"/>
        <v>Vinicyos Maguns</v>
      </c>
      <c r="AI18" s="30">
        <f>COUNTIFS(H$40:H424,AH18,E$40:E424,"SAL")</f>
        <v>0</v>
      </c>
      <c r="AJ18" s="29">
        <f t="shared" si="2"/>
        <v>0</v>
      </c>
      <c r="AK18" s="29">
        <f t="shared" si="9"/>
        <v>1</v>
      </c>
      <c r="AL18" s="29">
        <f>COUNTIFS(H$40:H424,AH18,E$40:E424,"SAIL")</f>
        <v>0</v>
      </c>
      <c r="AM18" s="31">
        <f t="shared" si="3"/>
        <v>1</v>
      </c>
      <c r="AO18" s="22" t="str">
        <f t="shared" si="12"/>
        <v>Vinicyos Maguns</v>
      </c>
      <c r="AP18" s="30">
        <f t="shared" si="4"/>
        <v>0</v>
      </c>
      <c r="AQ18" s="29">
        <f t="shared" si="5"/>
        <v>0</v>
      </c>
      <c r="AR18" s="29">
        <f t="shared" si="6"/>
        <v>4</v>
      </c>
      <c r="AS18" s="29">
        <f t="shared" si="7"/>
        <v>0</v>
      </c>
      <c r="AT18" s="31">
        <f t="shared" si="8"/>
        <v>4</v>
      </c>
    </row>
    <row r="19" spans="2:46" ht="15.75" thickBot="1">
      <c r="B19" s="23" t="e">
        <f>VLOOKUP(F18,B40:B250,1,0)</f>
        <v>#N/A</v>
      </c>
      <c r="C19" s="45" t="e">
        <f>VLOOKUP(F21,D40:D250,1,0)</f>
        <v>#N/A</v>
      </c>
      <c r="D19" s="10"/>
      <c r="E19" s="74" t="s">
        <v>79</v>
      </c>
      <c r="G19" s="11"/>
      <c r="K19" s="5"/>
      <c r="U19" s="87" t="str">
        <f>Cadastros!I26</f>
        <v>Laís Andrade</v>
      </c>
      <c r="V19" s="85">
        <f>COUNTIFS(H$39:H424,U19,K$39:K424,V$4)</f>
        <v>0</v>
      </c>
      <c r="W19" s="18">
        <f>COUNTIFS(H$39:H424,U19,K$39:K424,W$4)</f>
        <v>0</v>
      </c>
      <c r="X19" s="18">
        <f>COUNTIFS(H$39:H424,U19,K$39:K424,X$4)</f>
        <v>0</v>
      </c>
      <c r="Y19" s="19">
        <f t="shared" si="13"/>
        <v>0</v>
      </c>
      <c r="AA19" s="21" t="str">
        <f t="shared" si="14"/>
        <v>Laís Andrade</v>
      </c>
      <c r="AB19" s="37">
        <f>SUMIFS(J$40:J351,H$40:H351,AA19,E$40:E351,"SAL")</f>
        <v>0</v>
      </c>
      <c r="AC19" s="38">
        <f>SUMIFS(J$40:J425,H$40:H425,AA19,E$40:E425,"SAM")</f>
        <v>0</v>
      </c>
      <c r="AD19" s="38">
        <f>SUMIFS(J$40:J425,H$40:H425,AA19,E$40:E425,"NE")</f>
        <v>0</v>
      </c>
      <c r="AE19" s="38">
        <f>SUMIFS(J$40:J425,H$40:H425,AA19,E$40:E425,"SAIL")</f>
        <v>0</v>
      </c>
      <c r="AF19" s="39">
        <f t="shared" si="15"/>
        <v>0</v>
      </c>
      <c r="AH19" s="21" t="str">
        <f t="shared" si="16"/>
        <v>Laís Andrade</v>
      </c>
      <c r="AI19" s="37">
        <f>COUNTIFS(H$40:H425,AH19,E$40:E425,"SAL")</f>
        <v>0</v>
      </c>
      <c r="AJ19" s="38">
        <f t="shared" si="2"/>
        <v>0</v>
      </c>
      <c r="AK19" s="38">
        <f t="shared" si="9"/>
        <v>0</v>
      </c>
      <c r="AL19" s="38">
        <f>COUNTIFS(H$40:H425,AH19,E$40:E425,"SAIL")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COUNTIFS(H$39:H425,U20,K$39:K425,V$4)</f>
        <v>0</v>
      </c>
      <c r="W20" s="14">
        <f>COUNTIFS(H$39:H425,U20,K$39:K425,W$4)</f>
        <v>0</v>
      </c>
      <c r="X20" s="14">
        <f>COUNTIFS(H$39:H425,U20,K$39:K425,X$4)</f>
        <v>0</v>
      </c>
      <c r="Y20" s="15">
        <f t="shared" si="13"/>
        <v>0</v>
      </c>
      <c r="AA20" s="22" t="str">
        <f t="shared" si="14"/>
        <v>Luciana Mercante</v>
      </c>
      <c r="AB20" s="30">
        <f>SUMIFS(J$40:J352,H$40:H352,AA20,E$40:E352,"SAL")</f>
        <v>0</v>
      </c>
      <c r="AC20" s="29">
        <f>SUMIFS(J$40:J426,H$40:H426,AA20,E$40:E426,"SAM")</f>
        <v>0</v>
      </c>
      <c r="AD20" s="29">
        <f>SUMIFS(J$40:J426,H$40:H426,AA20,E$40:E426,"NE")</f>
        <v>0</v>
      </c>
      <c r="AE20" s="29">
        <f>SUMIFS(J$40:J426,H$40:H426,AA20,E$40:E426,"SAIL")</f>
        <v>0</v>
      </c>
      <c r="AF20" s="31">
        <f t="shared" si="15"/>
        <v>0</v>
      </c>
      <c r="AH20" s="22" t="str">
        <f t="shared" si="16"/>
        <v>Luciana Mercante</v>
      </c>
      <c r="AI20" s="30">
        <f>COUNTIFS(H$40:H426,AH20,E$40:E426,"SAL")</f>
        <v>0</v>
      </c>
      <c r="AJ20" s="29">
        <f t="shared" si="2"/>
        <v>0</v>
      </c>
      <c r="AK20" s="29">
        <f t="shared" si="9"/>
        <v>0</v>
      </c>
      <c r="AL20" s="29">
        <f>COUNTIFS(H$40:H426,AH20,E$40:E426,"SAIL")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COUNTIFS(H$39:H426,U21,K$39:K426,V$4)</f>
        <v>0</v>
      </c>
      <c r="W21" s="18">
        <f>COUNTIFS(H$39:H426,U21,K$39:K426,W$4)</f>
        <v>0</v>
      </c>
      <c r="X21" s="18">
        <f>COUNTIFS(H$39:H426,U21,K$39:K426,X$4)</f>
        <v>0</v>
      </c>
      <c r="Y21" s="19">
        <f t="shared" si="13"/>
        <v>0</v>
      </c>
      <c r="AA21" s="21" t="str">
        <f t="shared" si="14"/>
        <v>Mateus Alves</v>
      </c>
      <c r="AB21" s="37">
        <f>SUMIFS(J$40:J353,H$40:H353,AA21,E$40:E353,"SAL")</f>
        <v>0</v>
      </c>
      <c r="AC21" s="38">
        <f>SUMIFS(J$40:J427,H$40:H427,AA21,E$40:E427,"SAM")</f>
        <v>0</v>
      </c>
      <c r="AD21" s="38">
        <f>SUMIFS(J$40:J427,H$40:H427,AA21,E$40:E427,"NE")</f>
        <v>0</v>
      </c>
      <c r="AE21" s="38">
        <f>SUMIFS(J$40:J427,H$40:H427,AA21,E$40:E427,"SAIL")</f>
        <v>0</v>
      </c>
      <c r="AF21" s="39">
        <f t="shared" si="15"/>
        <v>0</v>
      </c>
      <c r="AH21" s="21" t="str">
        <f t="shared" si="16"/>
        <v>Mateus Alves</v>
      </c>
      <c r="AI21" s="37">
        <f>COUNTIFS(H$40:H427,AH21,E$40:E427,"SAL")</f>
        <v>0</v>
      </c>
      <c r="AJ21" s="38">
        <f t="shared" si="2"/>
        <v>0</v>
      </c>
      <c r="AK21" s="38">
        <f t="shared" si="9"/>
        <v>0</v>
      </c>
      <c r="AL21" s="38">
        <f>COUNTIFS(H$40:H427,AH21,E$40:E427,"SAIL")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COUNTIFS(H$39:H427,U22,K$39:K427,V$4)</f>
        <v>0</v>
      </c>
      <c r="W22" s="14">
        <f>COUNTIFS(H$39:H427,U22,K$39:K427,W$4)</f>
        <v>0</v>
      </c>
      <c r="X22" s="14">
        <f>COUNTIFS(H$39:H427,U22,K$39:K427,X$4)</f>
        <v>0</v>
      </c>
      <c r="Y22" s="15">
        <f t="shared" si="13"/>
        <v>0</v>
      </c>
      <c r="AA22" s="22" t="str">
        <f t="shared" si="14"/>
        <v>Patricia Costa</v>
      </c>
      <c r="AB22" s="30">
        <f>SUMIFS(J$40:J354,H$40:H354,AA22,E$40:E354,"SAL")</f>
        <v>0</v>
      </c>
      <c r="AC22" s="29">
        <f>SUMIFS(J$40:J428,H$40:H428,AA22,E$40:E428,"SAM")</f>
        <v>0</v>
      </c>
      <c r="AD22" s="29">
        <f>SUMIFS(J$40:J428,H$40:H428,AA22,E$40:E428,"NE")</f>
        <v>0</v>
      </c>
      <c r="AE22" s="29">
        <f>SUMIFS(J$40:J428,H$40:H428,AA22,E$40:E428,"SAIL")</f>
        <v>0</v>
      </c>
      <c r="AF22" s="31">
        <f t="shared" si="15"/>
        <v>0</v>
      </c>
      <c r="AH22" s="22" t="str">
        <f t="shared" si="16"/>
        <v>Patricia Costa</v>
      </c>
      <c r="AI22" s="30">
        <f>COUNTIFS(H$40:H428,AH22,E$40:E428,"SAL")</f>
        <v>0</v>
      </c>
      <c r="AJ22" s="29">
        <f t="shared" si="2"/>
        <v>0</v>
      </c>
      <c r="AK22" s="29">
        <f t="shared" si="9"/>
        <v>0</v>
      </c>
      <c r="AL22" s="29">
        <f>COUNTIFS(H$40:H428,AH22,E$40:E428,"SAIL")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COUNTIFS(H$39:H428,U23,K$39:K428,V$4)</f>
        <v>0</v>
      </c>
      <c r="W23" s="18">
        <f>COUNTIFS(H$39:H428,U23,K$39:K428,W$4)</f>
        <v>0</v>
      </c>
      <c r="X23" s="18">
        <f>COUNTIFS(H$39:H428,U23,K$39:K428,X$4)</f>
        <v>0</v>
      </c>
      <c r="Y23" s="19">
        <f t="shared" si="13"/>
        <v>0</v>
      </c>
      <c r="AA23" s="21" t="str">
        <f t="shared" si="14"/>
        <v>Rafaela Ribeiro</v>
      </c>
      <c r="AB23" s="37">
        <f>SUMIFS(J$40:J355,H$40:H355,AA23,E$40:E355,"SAL")</f>
        <v>0</v>
      </c>
      <c r="AC23" s="38">
        <f>SUMIFS(J$40:J429,H$40:H429,AA23,E$40:E429,"SAM")</f>
        <v>0</v>
      </c>
      <c r="AD23" s="38">
        <f>SUMIFS(J$40:J429,H$40:H429,AA23,E$40:E429,"NE")</f>
        <v>0</v>
      </c>
      <c r="AE23" s="38">
        <f>SUMIFS(J$40:J429,H$40:H429,AA23,E$40:E429,"SAIL")</f>
        <v>0</v>
      </c>
      <c r="AF23" s="39">
        <f t="shared" si="15"/>
        <v>0</v>
      </c>
      <c r="AH23" s="21" t="str">
        <f t="shared" si="16"/>
        <v>Rafaela Ribeiro</v>
      </c>
      <c r="AI23" s="37">
        <f>COUNTIFS(H$40:H429,AH23,E$40:E429,"SAL")</f>
        <v>0</v>
      </c>
      <c r="AJ23" s="38">
        <f t="shared" si="2"/>
        <v>0</v>
      </c>
      <c r="AK23" s="38">
        <f t="shared" si="9"/>
        <v>0</v>
      </c>
      <c r="AL23" s="38">
        <f>COUNTIFS(H$40:H429,AH23,E$40:E429,"SAIL")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COUNTIFS(H$39:H429,U24,K$39:K429,V$4)</f>
        <v>0</v>
      </c>
      <c r="W24" s="14">
        <f>COUNTIFS(H$39:H429,U24,K$39:K429,W$4)</f>
        <v>0</v>
      </c>
      <c r="X24" s="14">
        <f>COUNTIFS(H$39:H429,U24,K$39:K429,X$4)</f>
        <v>0</v>
      </c>
      <c r="Y24" s="15">
        <f t="shared" si="13"/>
        <v>0</v>
      </c>
      <c r="AA24" s="22" t="str">
        <f t="shared" si="14"/>
        <v>Renan Maiato</v>
      </c>
      <c r="AB24" s="30">
        <f>SUMIFS(J$40:J356,H$40:H356,AA24,E$40:E356,"SAL")</f>
        <v>0</v>
      </c>
      <c r="AC24" s="29">
        <f>SUMIFS(J$40:J430,H$40:H430,AA24,E$40:E430,"SAM")</f>
        <v>0</v>
      </c>
      <c r="AD24" s="29">
        <f>SUMIFS(J$40:J430,H$40:H430,AA24,E$40:E430,"NE")</f>
        <v>0</v>
      </c>
      <c r="AE24" s="29">
        <f>SUMIFS(J$40:J430,H$40:H430,AA24,E$40:E430,"SAIL")</f>
        <v>0</v>
      </c>
      <c r="AF24" s="31">
        <f t="shared" si="15"/>
        <v>0</v>
      </c>
      <c r="AH24" s="22" t="str">
        <f t="shared" si="16"/>
        <v>Renan Maiato</v>
      </c>
      <c r="AI24" s="30">
        <f>COUNTIFS(H$40:H430,AH24,E$40:E430,"SAL")</f>
        <v>0</v>
      </c>
      <c r="AJ24" s="29">
        <f t="shared" si="2"/>
        <v>0</v>
      </c>
      <c r="AK24" s="29">
        <f t="shared" si="9"/>
        <v>0</v>
      </c>
      <c r="AL24" s="29">
        <f>COUNTIFS(H$40:H430,AH24,E$40:E430,"SAIL")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COUNTIFS(H$39:H430,U25,K$39:K430,V$4)</f>
        <v>0</v>
      </c>
      <c r="W25" s="18">
        <f>COUNTIFS(H$39:H430,U25,K$39:K430,W$4)</f>
        <v>0</v>
      </c>
      <c r="X25" s="18">
        <f>COUNTIFS(H$39:H430,U25,K$39:K430,X$4)</f>
        <v>0</v>
      </c>
      <c r="Y25" s="19">
        <f t="shared" si="13"/>
        <v>0</v>
      </c>
      <c r="AA25" s="21" t="str">
        <f t="shared" si="14"/>
        <v>Sabrine Neves</v>
      </c>
      <c r="AB25" s="37">
        <f>SUMIFS(J$40:J357,H$40:H357,AA25,E$40:E357,"SAL")</f>
        <v>0</v>
      </c>
      <c r="AC25" s="38">
        <f>SUMIFS(J$40:J431,H$40:H431,AA25,E$40:E431,"SAM")</f>
        <v>0</v>
      </c>
      <c r="AD25" s="38">
        <f>SUMIFS(J$40:J431,H$40:H431,AA25,E$40:E431,"NE")</f>
        <v>0</v>
      </c>
      <c r="AE25" s="38">
        <f>SUMIFS(J$40:J431,H$40:H431,AA25,E$40:E431,"SAIL")</f>
        <v>0</v>
      </c>
      <c r="AF25" s="39">
        <f t="shared" si="15"/>
        <v>0</v>
      </c>
      <c r="AH25" s="21" t="str">
        <f t="shared" si="16"/>
        <v>Sabrine Neves</v>
      </c>
      <c r="AI25" s="37">
        <f>COUNTIFS(H$40:H431,AH25,E$40:E431,"SAL")</f>
        <v>0</v>
      </c>
      <c r="AJ25" s="38">
        <f t="shared" si="2"/>
        <v>0</v>
      </c>
      <c r="AK25" s="38">
        <f t="shared" si="9"/>
        <v>0</v>
      </c>
      <c r="AL25" s="38">
        <f>COUNTIFS(H$40:H431,AH25,E$40:E431,"SAIL")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COUNTIFS(H$39:H431,U26,K$39:K431,V$4)</f>
        <v>0</v>
      </c>
      <c r="W26" s="14">
        <f>COUNTIFS(H$39:H431,U26,K$39:K431,W$4)</f>
        <v>0</v>
      </c>
      <c r="X26" s="14">
        <f>COUNTIFS(H$39:H431,U26,K$39:K431,X$4)</f>
        <v>0</v>
      </c>
      <c r="Y26" s="15">
        <f t="shared" si="13"/>
        <v>0</v>
      </c>
      <c r="AA26" s="22" t="str">
        <f t="shared" si="14"/>
        <v>Victor Ferreira</v>
      </c>
      <c r="AB26" s="30">
        <f>SUMIFS(J$40:J358,H$40:H358,AA26,E$40:E358,"SAL")</f>
        <v>0</v>
      </c>
      <c r="AC26" s="29">
        <f>SUMIFS(J$40:J432,H$40:H432,AA26,E$40:E432,"SAM")</f>
        <v>0</v>
      </c>
      <c r="AD26" s="29">
        <f>SUMIFS(J$40:J432,H$40:H432,AA26,E$40:E432,"NE")</f>
        <v>0</v>
      </c>
      <c r="AE26" s="29">
        <f>SUMIFS(J$40:J432,H$40:H432,AA26,E$40:E432,"SAIL")</f>
        <v>0</v>
      </c>
      <c r="AF26" s="31">
        <f t="shared" si="15"/>
        <v>0</v>
      </c>
      <c r="AH26" s="22" t="str">
        <f t="shared" si="16"/>
        <v>Victor Ferreira</v>
      </c>
      <c r="AI26" s="30">
        <f>COUNTIFS(H$40:H432,AH26,E$40:E432,"SAL")</f>
        <v>0</v>
      </c>
      <c r="AJ26" s="29">
        <f t="shared" si="2"/>
        <v>0</v>
      </c>
      <c r="AK26" s="29">
        <f t="shared" si="9"/>
        <v>0</v>
      </c>
      <c r="AL26" s="29">
        <f>COUNTIFS(H$40:H432,AH26,E$40:E432,"SAIL")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COUNTIFS(H$39:H432,U27,K$39:K432,V$4)</f>
        <v>0</v>
      </c>
      <c r="W27" s="18">
        <f>COUNTIFS(H$39:H432,U27,K$39:K432,W$4)</f>
        <v>0</v>
      </c>
      <c r="X27" s="18">
        <f>COUNTIFS(H$39:H432,U27,K$39:K432,X$4)</f>
        <v>0</v>
      </c>
      <c r="Y27" s="19">
        <f t="shared" si="13"/>
        <v>0</v>
      </c>
      <c r="AA27" s="21" t="str">
        <f t="shared" si="14"/>
        <v>Erick Vicente</v>
      </c>
      <c r="AB27" s="37">
        <f>SUMIFS(J$40:J359,H$40:H359,AA27,E$40:E359,"SAL")</f>
        <v>0</v>
      </c>
      <c r="AC27" s="38">
        <f>SUMIFS(J$40:J433,H$40:H433,AA27,E$40:E433,"SAM")</f>
        <v>0</v>
      </c>
      <c r="AD27" s="38">
        <f>SUMIFS(J$40:J433,H$40:H433,AA27,E$40:E433,"NE")</f>
        <v>0</v>
      </c>
      <c r="AE27" s="38">
        <f>SUMIFS(J$40:J433,H$40:H433,AA27,E$40:E433,"SAIL")</f>
        <v>0</v>
      </c>
      <c r="AF27" s="39">
        <f t="shared" si="15"/>
        <v>0</v>
      </c>
      <c r="AH27" s="21" t="str">
        <f t="shared" si="16"/>
        <v>Erick Vicente</v>
      </c>
      <c r="AI27" s="37">
        <f>COUNTIFS(H$40:H433,AH27,E$40:E433,"SAL")</f>
        <v>0</v>
      </c>
      <c r="AJ27" s="38">
        <f t="shared" si="2"/>
        <v>0</v>
      </c>
      <c r="AK27" s="38">
        <f t="shared" si="9"/>
        <v>0</v>
      </c>
      <c r="AL27" s="38">
        <f>COUNTIFS(H$40:H433,AH27,E$40:E433,"SAIL")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COUNTIFS(H$39:H433,U28,K$39:K433,V$4)</f>
        <v>0</v>
      </c>
      <c r="W28" s="14">
        <f>COUNTIFS(H$39:H433,U28,K$39:K433,W$4)</f>
        <v>0</v>
      </c>
      <c r="X28" s="14">
        <f>COUNTIFS(H$39:H433,U28,K$39:K433,X$4)</f>
        <v>0</v>
      </c>
      <c r="Y28" s="15">
        <f t="shared" si="13"/>
        <v>0</v>
      </c>
      <c r="AA28" s="22" t="str">
        <f t="shared" si="14"/>
        <v>Rafaela Sampaio</v>
      </c>
      <c r="AB28" s="30">
        <f>SUMIFS(J$40:J360,H$40:H360,AA28,E$40:E360,"SAL")</f>
        <v>0</v>
      </c>
      <c r="AC28" s="29">
        <f>SUMIFS(J$40:J434,H$40:H434,AA28,E$40:E434,"SAM")</f>
        <v>0</v>
      </c>
      <c r="AD28" s="29">
        <f>SUMIFS(J$40:J434,H$40:H434,AA28,E$40:E434,"NE")</f>
        <v>0</v>
      </c>
      <c r="AE28" s="29">
        <f>SUMIFS(J$40:J434,H$40:H434,AA28,E$40:E434,"SAIL")</f>
        <v>0</v>
      </c>
      <c r="AF28" s="31">
        <f t="shared" si="15"/>
        <v>0</v>
      </c>
      <c r="AH28" s="22" t="str">
        <f t="shared" si="16"/>
        <v>Rafaela Sampaio</v>
      </c>
      <c r="AI28" s="30">
        <f>COUNTIFS(H$40:H434,AH28,E$40:E434,"SAL")</f>
        <v>0</v>
      </c>
      <c r="AJ28" s="29">
        <f t="shared" si="2"/>
        <v>0</v>
      </c>
      <c r="AK28" s="29">
        <f t="shared" si="9"/>
        <v>0</v>
      </c>
      <c r="AL28" s="29">
        <f>COUNTIFS(H$40:H434,AH28,E$40:E434,"SAIL")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COUNTIFS(H$39:H434,U29,K$39:K434,V$4)</f>
        <v>0</v>
      </c>
      <c r="W29" s="98">
        <f>COUNTIFS(H$39:H434,U29,K$39:K434,W$4)</f>
        <v>0</v>
      </c>
      <c r="X29" s="98">
        <f>COUNTIFS(H$39:H434,U29,K$39:K434,X$4)</f>
        <v>0</v>
      </c>
      <c r="Y29" s="99">
        <f t="shared" si="13"/>
        <v>0</v>
      </c>
      <c r="AA29" s="89" t="str">
        <f t="shared" si="14"/>
        <v>Laysa Gabriela</v>
      </c>
      <c r="AB29" s="90">
        <f>SUMIFS(J$40:J361,H$40:H361,AA29,E$40:E361,"SAL")</f>
        <v>0</v>
      </c>
      <c r="AC29" s="91">
        <f>SUMIFS(J$40:J435,H$40:H435,AA29,E$40:E435,"SAM")</f>
        <v>0</v>
      </c>
      <c r="AD29" s="91">
        <f>SUMIFS(J$40:J435,H$40:H435,AA29,E$40:E435,"NE")</f>
        <v>0</v>
      </c>
      <c r="AE29" s="91">
        <f>SUMIFS(J$40:J435,H$40:H435,AA29,E$40:E435,"SAIL")</f>
        <v>0</v>
      </c>
      <c r="AF29" s="92">
        <f t="shared" si="15"/>
        <v>0</v>
      </c>
      <c r="AH29" s="89" t="str">
        <f t="shared" si="16"/>
        <v>Laysa Gabriela</v>
      </c>
      <c r="AI29" s="90">
        <f>COUNTIFS(H$40:H435,AH29,E$40:E435,"SAL")</f>
        <v>0</v>
      </c>
      <c r="AJ29" s="91">
        <f t="shared" si="2"/>
        <v>0</v>
      </c>
      <c r="AK29" s="91">
        <f t="shared" si="9"/>
        <v>0</v>
      </c>
      <c r="AL29" s="91">
        <f>COUNTIFS(H$40:H435,AH29,E$40:E435,"SAIL")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6</v>
      </c>
      <c r="W30" s="20">
        <f>SUM(W5:W29)</f>
        <v>0</v>
      </c>
      <c r="X30" s="20">
        <f>SUM(X5:X29)</f>
        <v>0</v>
      </c>
      <c r="Y30" s="100">
        <f>SUM(Y5:Y29)</f>
        <v>6</v>
      </c>
      <c r="AA30" s="62" t="s">
        <v>88</v>
      </c>
      <c r="AB30" s="79">
        <f>SUM(AB5:AB29)</f>
        <v>3284</v>
      </c>
      <c r="AC30" s="80">
        <f>SUM(AC5:AC29)</f>
        <v>256</v>
      </c>
      <c r="AD30" s="80">
        <f>SUM(AD5:AD29)</f>
        <v>703</v>
      </c>
      <c r="AE30" s="81">
        <f>SUM(AE5:AE29)</f>
        <v>0</v>
      </c>
      <c r="AF30" s="62">
        <f>SUM(AB30:AE30)</f>
        <v>4243</v>
      </c>
      <c r="AH30" s="62" t="s">
        <v>88</v>
      </c>
      <c r="AI30" s="79">
        <f>SUM(AI5:AI29)</f>
        <v>2</v>
      </c>
      <c r="AJ30" s="80">
        <f>SUM(AJ5:AJ29)</f>
        <v>1</v>
      </c>
      <c r="AK30" s="80">
        <f>SUM(AK5:AK29)</f>
        <v>3</v>
      </c>
      <c r="AL30" s="81">
        <f>SUM(AL5:AL29)</f>
        <v>0</v>
      </c>
      <c r="AM30" s="62">
        <f>SUM(AI30:AL30)</f>
        <v>6</v>
      </c>
      <c r="AO30" s="62" t="s">
        <v>88</v>
      </c>
      <c r="AP30" s="79">
        <f>SUM(AP5:AP29)</f>
        <v>20</v>
      </c>
      <c r="AQ30" s="80">
        <f>SUM(AQ5:AQ29)</f>
        <v>11.5</v>
      </c>
      <c r="AR30" s="80">
        <f>SUM(AR5:AR29)</f>
        <v>4</v>
      </c>
      <c r="AS30" s="81">
        <f>SUM(AS5:AS29)</f>
        <v>0</v>
      </c>
      <c r="AT30" s="62">
        <f>SUM(AT5:AT29)</f>
        <v>35.5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v>46139</v>
      </c>
      <c r="B41">
        <v>130179</v>
      </c>
      <c r="C41" s="4">
        <v>46146</v>
      </c>
      <c r="D41" s="5">
        <v>101561</v>
      </c>
      <c r="E41" s="5" t="s">
        <v>9</v>
      </c>
      <c r="F41" s="5" t="s">
        <v>34</v>
      </c>
      <c r="G41" t="s">
        <v>507</v>
      </c>
      <c r="H41" s="5" t="s">
        <v>52</v>
      </c>
      <c r="I41" s="5" t="s">
        <v>40</v>
      </c>
      <c r="J41" s="5">
        <f>465+545</f>
        <v>1010</v>
      </c>
      <c r="K41" s="5" t="s">
        <v>10</v>
      </c>
      <c r="L41" s="5">
        <v>1</v>
      </c>
      <c r="M41" s="5" t="s">
        <v>29</v>
      </c>
      <c r="N41" s="5" t="s">
        <v>33</v>
      </c>
      <c r="O41" s="5">
        <v>5</v>
      </c>
      <c r="P41" s="5" t="s">
        <v>8</v>
      </c>
      <c r="Q41" s="5">
        <v>10</v>
      </c>
      <c r="R41" s="5">
        <v>2</v>
      </c>
    </row>
    <row r="42" spans="1:18">
      <c r="A42" s="4">
        <v>46049</v>
      </c>
      <c r="B42">
        <v>127063</v>
      </c>
      <c r="C42" s="4">
        <v>46146</v>
      </c>
      <c r="D42" s="5">
        <v>101554</v>
      </c>
      <c r="E42" s="5" t="s">
        <v>18</v>
      </c>
      <c r="F42" s="5" t="s">
        <v>34</v>
      </c>
      <c r="G42" t="s">
        <v>508</v>
      </c>
      <c r="H42" s="5" t="s">
        <v>46</v>
      </c>
      <c r="I42" s="5" t="s">
        <v>40</v>
      </c>
      <c r="J42" s="5">
        <v>256</v>
      </c>
      <c r="K42" s="5" t="s">
        <v>10</v>
      </c>
      <c r="L42" s="5">
        <v>2</v>
      </c>
      <c r="M42" s="5" t="s">
        <v>33</v>
      </c>
      <c r="N42" s="5" t="s">
        <v>33</v>
      </c>
      <c r="O42" s="5">
        <v>69</v>
      </c>
      <c r="P42" s="5" t="s">
        <v>8</v>
      </c>
      <c r="Q42" s="5">
        <v>11.5</v>
      </c>
      <c r="R42" s="5">
        <v>3</v>
      </c>
    </row>
    <row r="43" spans="1:18">
      <c r="A43" s="4">
        <v>46049</v>
      </c>
      <c r="B43" s="5">
        <v>126108</v>
      </c>
      <c r="C43" s="4">
        <v>46146</v>
      </c>
      <c r="D43" s="5">
        <v>101553</v>
      </c>
      <c r="E43" s="5" t="s">
        <v>9</v>
      </c>
      <c r="F43" s="5" t="s">
        <v>34</v>
      </c>
      <c r="G43" t="s">
        <v>509</v>
      </c>
      <c r="H43" s="5" t="s">
        <v>46</v>
      </c>
      <c r="I43" s="5" t="s">
        <v>40</v>
      </c>
      <c r="J43" s="5">
        <f>1261+1013</f>
        <v>2274</v>
      </c>
      <c r="K43" s="5" t="s">
        <v>10</v>
      </c>
      <c r="L43" s="5">
        <v>5</v>
      </c>
      <c r="M43" s="5" t="s">
        <v>33</v>
      </c>
      <c r="N43" s="5" t="s">
        <v>29</v>
      </c>
      <c r="O43" s="5">
        <v>69</v>
      </c>
      <c r="P43" s="5" t="s">
        <v>8</v>
      </c>
      <c r="Q43" s="5">
        <v>10</v>
      </c>
      <c r="R43" s="5">
        <v>3</v>
      </c>
    </row>
    <row r="44" spans="1:18">
      <c r="A44" s="4">
        <v>46091</v>
      </c>
      <c r="B44" s="5">
        <v>128956</v>
      </c>
      <c r="C44" s="4">
        <v>46146</v>
      </c>
      <c r="D44" s="5">
        <v>101551</v>
      </c>
      <c r="E44" s="5" t="s">
        <v>16</v>
      </c>
      <c r="F44" s="5" t="s">
        <v>34</v>
      </c>
      <c r="G44" s="5" t="s">
        <v>510</v>
      </c>
      <c r="H44" s="5" t="s">
        <v>58</v>
      </c>
      <c r="I44" s="5" t="s">
        <v>28</v>
      </c>
      <c r="J44" s="5">
        <v>563</v>
      </c>
      <c r="K44" s="5" t="s">
        <v>10</v>
      </c>
      <c r="L44" s="5">
        <v>4</v>
      </c>
      <c r="M44" s="5" t="s">
        <v>33</v>
      </c>
      <c r="N44" s="5" t="s">
        <v>33</v>
      </c>
      <c r="O44" s="5">
        <v>39</v>
      </c>
      <c r="P44" s="5" t="s">
        <v>8</v>
      </c>
      <c r="Q44" s="5">
        <v>4</v>
      </c>
      <c r="R44" s="5">
        <v>2</v>
      </c>
    </row>
    <row r="45" spans="1:18">
      <c r="A45" s="4">
        <v>46146</v>
      </c>
      <c r="B45" s="5">
        <v>130535</v>
      </c>
      <c r="C45" s="4">
        <v>46146</v>
      </c>
      <c r="D45" s="5">
        <v>101549</v>
      </c>
      <c r="E45" s="5" t="s">
        <v>16</v>
      </c>
      <c r="F45" s="5" t="s">
        <v>34</v>
      </c>
      <c r="G45" s="5" t="s">
        <v>511</v>
      </c>
      <c r="H45" s="5" t="s">
        <v>56</v>
      </c>
      <c r="I45" s="5" t="s">
        <v>28</v>
      </c>
      <c r="J45" s="5">
        <v>43</v>
      </c>
      <c r="K45" s="5" t="s">
        <v>10</v>
      </c>
      <c r="L45" s="5">
        <v>0</v>
      </c>
      <c r="M45" s="5" t="s">
        <v>33</v>
      </c>
      <c r="N45" s="5" t="s">
        <v>33</v>
      </c>
      <c r="O45" s="5">
        <v>0</v>
      </c>
      <c r="P45" s="5" t="s">
        <v>36</v>
      </c>
      <c r="Q45" s="5">
        <v>0</v>
      </c>
      <c r="R45" s="5">
        <v>3</v>
      </c>
    </row>
    <row r="46" spans="1:18">
      <c r="A46" s="4">
        <v>46146</v>
      </c>
      <c r="B46" s="5">
        <v>130513</v>
      </c>
      <c r="C46" s="4">
        <v>46146</v>
      </c>
      <c r="D46" s="5">
        <v>101547</v>
      </c>
      <c r="E46" s="5" t="s">
        <v>16</v>
      </c>
      <c r="F46" s="5" t="s">
        <v>34</v>
      </c>
      <c r="G46" s="5" t="s">
        <v>512</v>
      </c>
      <c r="H46" s="5" t="s">
        <v>56</v>
      </c>
      <c r="I46" s="5" t="s">
        <v>28</v>
      </c>
      <c r="J46" s="5">
        <v>97</v>
      </c>
      <c r="K46" s="5" t="s">
        <v>10</v>
      </c>
      <c r="L46" s="5">
        <v>0</v>
      </c>
      <c r="M46" s="5" t="s">
        <v>33</v>
      </c>
      <c r="N46" s="5" t="s">
        <v>33</v>
      </c>
      <c r="O46" s="5">
        <v>0</v>
      </c>
      <c r="P46" s="5" t="s">
        <v>36</v>
      </c>
      <c r="Q46" s="5">
        <v>0</v>
      </c>
      <c r="R46" s="5">
        <v>3</v>
      </c>
    </row>
    <row r="47" spans="1:18">
      <c r="A47" s="4"/>
      <c r="B47" s="5"/>
      <c r="C47" s="4"/>
      <c r="D47" s="5"/>
      <c r="E47" s="5"/>
      <c r="F47" s="5"/>
      <c r="G47" s="5"/>
      <c r="H47" s="5"/>
      <c r="I47" s="5"/>
      <c r="J47" s="5"/>
      <c r="K47" s="5"/>
      <c r="L47" s="5"/>
      <c r="M47" s="5"/>
      <c r="N47" s="5"/>
      <c r="O47" s="5"/>
      <c r="P47" s="5"/>
      <c r="Q47" s="5"/>
      <c r="R47" s="5"/>
    </row>
    <row r="48" spans="1:18">
      <c r="A48" s="4"/>
      <c r="B48" s="5"/>
      <c r="C48" s="4"/>
      <c r="D48" s="5"/>
      <c r="E48" s="5"/>
      <c r="F48" s="5"/>
      <c r="G48" s="5"/>
      <c r="H48" s="5"/>
      <c r="I48" s="5"/>
      <c r="J48" s="5"/>
      <c r="K48" s="5"/>
      <c r="L48" s="5"/>
      <c r="M48" s="5"/>
      <c r="N48" s="5"/>
      <c r="O48" s="5"/>
      <c r="P48" s="5"/>
      <c r="Q48" s="5"/>
      <c r="R48" s="5"/>
    </row>
    <row r="49" spans="1:18">
      <c r="A49" s="4"/>
      <c r="B49" s="5"/>
      <c r="C49" s="4"/>
      <c r="D49" s="5"/>
      <c r="E49" s="5"/>
      <c r="F49" s="5"/>
      <c r="G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H73" s="5"/>
      <c r="I73" s="5"/>
      <c r="J73" s="5"/>
      <c r="K73" s="5"/>
      <c r="L73" s="5"/>
      <c r="M73" s="5"/>
      <c r="N73" s="5"/>
      <c r="O73" s="5"/>
      <c r="P73" s="5"/>
      <c r="Q73" s="5"/>
      <c r="R73" s="5"/>
    </row>
    <row r="74" spans="1:18">
      <c r="A74" s="4"/>
      <c r="B74" s="5"/>
      <c r="C74" s="4"/>
      <c r="D74" s="5"/>
      <c r="E74" s="5"/>
      <c r="F74" s="5"/>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G79" s="136"/>
      <c r="H79" s="5"/>
      <c r="I79" s="5"/>
      <c r="J79" s="5"/>
      <c r="K79" s="5"/>
      <c r="L79" s="5"/>
      <c r="M79" s="5"/>
      <c r="N79" s="5"/>
      <c r="O79" s="5"/>
      <c r="P79" s="5"/>
      <c r="Q79" s="5"/>
      <c r="R79" s="5"/>
    </row>
    <row r="80" spans="1:18">
      <c r="A80" s="4"/>
      <c r="B80" s="5"/>
      <c r="C80" s="4"/>
      <c r="D80" s="5"/>
      <c r="E80" s="5"/>
      <c r="F80" s="5"/>
      <c r="G80" s="136"/>
      <c r="H80" s="5"/>
      <c r="I80" s="5"/>
      <c r="J80" s="5"/>
      <c r="K80" s="5"/>
      <c r="L80" s="5"/>
      <c r="M80" s="5"/>
      <c r="N80" s="5"/>
      <c r="O80" s="5"/>
      <c r="P80" s="5"/>
      <c r="Q80" s="5"/>
      <c r="R80" s="5"/>
    </row>
    <row r="81" spans="1:18">
      <c r="A81" s="4"/>
      <c r="B81" s="5"/>
      <c r="C81" s="4"/>
      <c r="D81" s="5"/>
      <c r="E81" s="5"/>
      <c r="F81" s="5"/>
      <c r="G81" s="136"/>
      <c r="H81" s="5"/>
      <c r="I81" s="5"/>
      <c r="J81" s="5"/>
      <c r="K81" s="5"/>
      <c r="L81" s="5"/>
      <c r="M81" s="5"/>
      <c r="N81" s="5"/>
      <c r="O81" s="5"/>
      <c r="P81" s="5"/>
      <c r="Q81" s="5"/>
      <c r="R81" s="5"/>
    </row>
    <row r="82" spans="1:18">
      <c r="A82" s="4"/>
      <c r="B82" s="5"/>
      <c r="C82" s="4"/>
      <c r="D82" s="5"/>
      <c r="E82" s="5"/>
      <c r="F82" s="5"/>
      <c r="G82" s="136"/>
      <c r="H82" s="5"/>
      <c r="I82" s="5"/>
      <c r="J82" s="5"/>
      <c r="K82" s="5"/>
      <c r="L82" s="5"/>
      <c r="M82" s="5"/>
      <c r="N82" s="5"/>
      <c r="O82" s="5"/>
      <c r="P82" s="5"/>
      <c r="Q82" s="5"/>
      <c r="R82" s="5"/>
    </row>
    <row r="83" spans="1:18">
      <c r="A83" s="4"/>
      <c r="B83" s="5"/>
      <c r="C83" s="4"/>
      <c r="D83" s="5"/>
      <c r="E83" s="5"/>
      <c r="F83" s="5"/>
      <c r="G83" s="136"/>
      <c r="H83" s="5"/>
      <c r="I83" s="5"/>
      <c r="J83" s="5"/>
      <c r="K83" s="5"/>
      <c r="L83" s="5"/>
      <c r="M83" s="5"/>
      <c r="N83" s="5"/>
      <c r="O83" s="5"/>
      <c r="P83" s="5"/>
      <c r="Q83" s="5"/>
      <c r="R83" s="5"/>
    </row>
    <row r="84" spans="1:18">
      <c r="A84" s="4"/>
      <c r="B84" s="5"/>
      <c r="C84" s="4"/>
      <c r="D84" s="5"/>
      <c r="E84" s="5"/>
      <c r="F84" s="5"/>
      <c r="G84" s="136"/>
      <c r="H84" s="5"/>
      <c r="I84" s="5"/>
      <c r="J84" s="5"/>
      <c r="K84" s="5"/>
      <c r="L84" s="5"/>
      <c r="M84" s="5"/>
      <c r="N84" s="5"/>
      <c r="O84" s="5"/>
      <c r="P84" s="5"/>
      <c r="Q84" s="5"/>
      <c r="R84" s="5"/>
    </row>
    <row r="85" spans="1:18">
      <c r="A85" s="4"/>
      <c r="B85" s="5"/>
      <c r="C85" s="4"/>
      <c r="D85" s="5"/>
      <c r="E85" s="5"/>
      <c r="F85" s="5"/>
      <c r="G85" s="136"/>
      <c r="H85" s="5"/>
      <c r="I85" s="5"/>
      <c r="J85" s="5"/>
      <c r="K85" s="5"/>
      <c r="L85" s="5"/>
      <c r="M85" s="5"/>
      <c r="N85" s="5"/>
      <c r="O85" s="5"/>
      <c r="P85" s="5"/>
      <c r="Q85" s="5"/>
      <c r="R85" s="5"/>
    </row>
    <row r="86" spans="1:18">
      <c r="A86" s="4"/>
      <c r="B86" s="5"/>
      <c r="C86" s="4"/>
      <c r="D86" s="5"/>
      <c r="E86" s="5"/>
      <c r="F86" s="5"/>
      <c r="G86" s="136"/>
      <c r="H86" s="5"/>
      <c r="I86" s="5"/>
      <c r="J86" s="5"/>
      <c r="K86" s="5"/>
      <c r="L86" s="5"/>
      <c r="M86" s="5"/>
      <c r="N86" s="5"/>
      <c r="O86" s="5"/>
      <c r="P86" s="5"/>
      <c r="Q86" s="5"/>
      <c r="R86" s="5"/>
    </row>
    <row r="87" spans="1:18">
      <c r="A87" s="4"/>
      <c r="B87" s="5"/>
      <c r="C87" s="4"/>
      <c r="D87" s="5"/>
      <c r="E87" s="5"/>
      <c r="F87" s="5"/>
      <c r="G87" s="136"/>
      <c r="H87" s="5"/>
      <c r="I87" s="5"/>
      <c r="J87" s="5"/>
      <c r="K87" s="5"/>
      <c r="L87" s="5"/>
      <c r="M87" s="5"/>
      <c r="N87" s="5"/>
      <c r="O87" s="5"/>
      <c r="P87" s="5"/>
      <c r="Q87" s="5"/>
      <c r="R87" s="5"/>
    </row>
    <row r="88" spans="1:18">
      <c r="A88" s="4"/>
      <c r="B88" s="5"/>
      <c r="C88" s="4"/>
      <c r="D88" s="5"/>
      <c r="E88" s="5"/>
      <c r="F88" s="5"/>
      <c r="G88" s="136"/>
      <c r="H88" s="5"/>
      <c r="I88" s="5"/>
      <c r="J88" s="5"/>
      <c r="K88" s="5"/>
      <c r="L88" s="5"/>
      <c r="M88" s="5"/>
      <c r="N88" s="5"/>
      <c r="O88" s="5"/>
      <c r="P88" s="5"/>
      <c r="Q88" s="5"/>
      <c r="R88" s="5"/>
    </row>
    <row r="89" spans="1:18">
      <c r="A89" s="4"/>
      <c r="B89" s="5"/>
      <c r="C89" s="4"/>
      <c r="D89" s="5"/>
      <c r="E89" s="5"/>
      <c r="F89" s="5"/>
      <c r="G89" s="136"/>
      <c r="H89" s="5"/>
      <c r="I89" s="5"/>
      <c r="J89" s="5"/>
      <c r="K89" s="5"/>
      <c r="L89" s="5"/>
      <c r="M89" s="5"/>
      <c r="N89" s="5"/>
      <c r="O89" s="5"/>
      <c r="P89" s="5"/>
      <c r="Q89" s="5"/>
      <c r="R89" s="5"/>
    </row>
    <row r="90" spans="1:18">
      <c r="A90" s="4"/>
      <c r="B90" s="5"/>
      <c r="C90" s="4"/>
      <c r="D90" s="5"/>
      <c r="E90" s="5"/>
      <c r="F90" s="5"/>
      <c r="G90" s="136"/>
      <c r="H90" s="5"/>
      <c r="I90" s="5"/>
      <c r="J90" s="5"/>
      <c r="K90" s="5"/>
      <c r="L90" s="5"/>
      <c r="M90" s="5"/>
      <c r="N90" s="5"/>
      <c r="O90" s="5"/>
      <c r="P90" s="5"/>
      <c r="Q90" s="5"/>
      <c r="R90" s="5"/>
    </row>
    <row r="91" spans="1:18">
      <c r="A91" s="4"/>
      <c r="B91" s="5"/>
      <c r="C91" s="4"/>
      <c r="D91" s="5"/>
      <c r="E91" s="5"/>
      <c r="F91" s="5"/>
      <c r="G91" s="136"/>
      <c r="H91" s="5"/>
      <c r="I91" s="5"/>
      <c r="J91" s="5"/>
      <c r="K91" s="5"/>
      <c r="L91" s="5"/>
      <c r="M91" s="5"/>
      <c r="N91" s="5"/>
      <c r="O91" s="5"/>
      <c r="P91" s="5"/>
      <c r="Q91" s="5"/>
      <c r="R91" s="5"/>
    </row>
    <row r="92" spans="1:18">
      <c r="A92" s="4"/>
      <c r="B92" s="5"/>
      <c r="C92" s="4"/>
      <c r="D92" s="5"/>
      <c r="E92" s="5"/>
      <c r="F92" s="5"/>
      <c r="G92" s="136"/>
      <c r="H92" s="5"/>
      <c r="I92" s="5"/>
      <c r="J92" s="5"/>
      <c r="K92" s="5"/>
      <c r="L92" s="5"/>
      <c r="M92" s="5"/>
      <c r="N92" s="5"/>
      <c r="O92" s="5"/>
      <c r="P92" s="5"/>
      <c r="Q92" s="5"/>
      <c r="R92" s="5"/>
    </row>
    <row r="93" spans="1:18">
      <c r="A93" s="4"/>
      <c r="B93" s="5"/>
      <c r="C93" s="4"/>
      <c r="D93" s="5"/>
      <c r="E93" s="5"/>
      <c r="F93" s="5"/>
      <c r="G93" s="136"/>
      <c r="H93" s="5"/>
      <c r="I93" s="5"/>
      <c r="J93" s="5"/>
      <c r="K93" s="5"/>
      <c r="L93" s="5"/>
      <c r="M93" s="5"/>
      <c r="N93" s="5"/>
      <c r="O93" s="5"/>
      <c r="P93" s="5"/>
      <c r="Q93" s="5"/>
      <c r="R93" s="5"/>
    </row>
    <row r="94" spans="1:18">
      <c r="A94" s="4"/>
      <c r="B94" s="5"/>
      <c r="C94" s="4"/>
      <c r="D94" s="5"/>
      <c r="E94" s="5"/>
      <c r="F94" s="5"/>
      <c r="G94" s="136"/>
      <c r="H94" s="5"/>
      <c r="I94" s="5"/>
      <c r="J94" s="5"/>
      <c r="K94" s="5"/>
      <c r="L94" s="5"/>
      <c r="M94" s="5"/>
      <c r="N94" s="5"/>
      <c r="O94" s="5"/>
      <c r="P94" s="5"/>
      <c r="Q94" s="5"/>
      <c r="R94" s="5"/>
    </row>
    <row r="95" spans="1:18">
      <c r="A95" s="4"/>
      <c r="B95" s="5"/>
      <c r="C95" s="4"/>
      <c r="D95" s="5"/>
      <c r="E95" s="5"/>
      <c r="F95" s="5"/>
      <c r="G95" s="136"/>
      <c r="H95" s="5"/>
      <c r="I95" s="5"/>
      <c r="J95" s="5"/>
      <c r="K95" s="5"/>
      <c r="L95" s="5"/>
      <c r="M95" s="5"/>
      <c r="N95" s="5"/>
      <c r="O95" s="5"/>
      <c r="P95" s="5"/>
      <c r="Q95" s="5"/>
      <c r="R95" s="5"/>
    </row>
    <row r="96" spans="1:18">
      <c r="A96" s="4"/>
      <c r="B96" s="5"/>
      <c r="C96" s="4"/>
      <c r="D96" s="5"/>
      <c r="E96" s="5"/>
      <c r="F96" s="5"/>
      <c r="G96" s="136"/>
      <c r="H96" s="5"/>
      <c r="I96" s="5"/>
      <c r="J96" s="5"/>
      <c r="K96" s="5"/>
      <c r="L96" s="5"/>
      <c r="M96" s="5"/>
      <c r="N96" s="5"/>
      <c r="O96" s="5"/>
      <c r="P96" s="5"/>
      <c r="Q96" s="5"/>
      <c r="R96" s="5"/>
    </row>
    <row r="97" spans="1:18">
      <c r="A97" s="4"/>
      <c r="B97" s="5"/>
      <c r="C97" s="4"/>
      <c r="D97" s="5"/>
      <c r="E97" s="5"/>
      <c r="F97" s="5"/>
      <c r="G97" s="136"/>
      <c r="H97" s="5"/>
      <c r="I97" s="5"/>
      <c r="J97" s="5"/>
      <c r="K97" s="5"/>
      <c r="L97" s="5"/>
      <c r="M97" s="5"/>
      <c r="N97" s="5"/>
      <c r="O97" s="5"/>
      <c r="P97" s="5"/>
      <c r="Q97" s="5"/>
      <c r="R97" s="5"/>
    </row>
    <row r="98" spans="1:18">
      <c r="A98" s="4"/>
      <c r="B98" s="5"/>
      <c r="C98" s="4"/>
      <c r="D98" s="5"/>
      <c r="E98" s="5"/>
      <c r="F98" s="5"/>
      <c r="G98" s="173"/>
      <c r="H98" s="5"/>
      <c r="I98" s="5"/>
      <c r="J98" s="5"/>
      <c r="K98" s="5"/>
      <c r="L98" s="5"/>
      <c r="M98" s="5"/>
      <c r="N98" s="5"/>
      <c r="O98" s="5"/>
      <c r="P98" s="5"/>
      <c r="Q98" s="5"/>
      <c r="R98" s="5"/>
    </row>
    <row r="99" spans="1:18">
      <c r="A99" s="4"/>
      <c r="B99" s="5"/>
      <c r="C99" s="4"/>
      <c r="D99" s="5"/>
      <c r="E99" s="5"/>
      <c r="F99" s="5"/>
      <c r="G99" s="136"/>
      <c r="H99" s="5"/>
      <c r="I99" s="5"/>
      <c r="J99" s="5"/>
      <c r="K99" s="5"/>
      <c r="L99" s="5"/>
      <c r="M99" s="5"/>
      <c r="N99" s="5"/>
      <c r="O99" s="5"/>
      <c r="P99" s="5"/>
      <c r="Q99" s="5"/>
      <c r="R99" s="5"/>
    </row>
    <row r="100" spans="1:18">
      <c r="A100" s="4"/>
      <c r="B100" s="5"/>
      <c r="C100" s="4"/>
      <c r="D100" s="5"/>
      <c r="E100" s="5"/>
      <c r="F100" s="5"/>
      <c r="H100" s="5"/>
      <c r="I100" s="5"/>
      <c r="J100" s="5"/>
      <c r="K100" s="5"/>
      <c r="L100" s="5"/>
      <c r="M100" s="5"/>
      <c r="N100" s="5"/>
      <c r="O100" s="5"/>
      <c r="P100" s="5"/>
      <c r="Q100" s="5"/>
      <c r="R100" s="5"/>
    </row>
    <row r="101" spans="1:18">
      <c r="A101" s="4"/>
      <c r="B101" s="5"/>
      <c r="C101" s="4"/>
      <c r="D101" s="5"/>
      <c r="E101" s="5"/>
      <c r="F101" s="5"/>
      <c r="H101" s="5"/>
      <c r="I101" s="5"/>
      <c r="J101" s="5"/>
      <c r="K101" s="5"/>
      <c r="L101" s="5"/>
      <c r="M101" s="5"/>
      <c r="N101" s="5"/>
      <c r="O101" s="5"/>
      <c r="P101" s="5"/>
      <c r="Q101" s="5"/>
      <c r="R101" s="5"/>
    </row>
    <row r="102" spans="1:18">
      <c r="A102" s="4"/>
      <c r="B102" s="5"/>
      <c r="C102" s="4"/>
      <c r="D102" s="5"/>
      <c r="E102" s="5"/>
      <c r="F102" s="5"/>
      <c r="H102" s="5"/>
      <c r="I102" s="5"/>
      <c r="J102" s="5"/>
      <c r="K102" s="5"/>
      <c r="L102" s="5"/>
      <c r="M102" s="5"/>
      <c r="N102" s="5"/>
      <c r="O102" s="5"/>
      <c r="P102" s="5"/>
      <c r="Q102" s="5"/>
      <c r="R102" s="5"/>
    </row>
    <row r="103" spans="1:18">
      <c r="A103" s="4"/>
      <c r="B103" s="5"/>
      <c r="C103" s="4"/>
      <c r="D103" s="5"/>
      <c r="E103" s="5"/>
      <c r="F103" s="5"/>
      <c r="H103" s="5"/>
      <c r="I103" s="5"/>
      <c r="J103" s="5"/>
      <c r="K103" s="5"/>
      <c r="L103" s="5"/>
      <c r="M103" s="5"/>
      <c r="N103" s="5"/>
      <c r="O103" s="5"/>
      <c r="P103" s="5"/>
      <c r="Q103" s="5"/>
      <c r="R103" s="5"/>
    </row>
    <row r="104" spans="1:18">
      <c r="A104" s="4"/>
      <c r="B104" s="5"/>
      <c r="C104" s="4"/>
      <c r="D104" s="5"/>
      <c r="E104" s="5"/>
      <c r="F104" s="5"/>
      <c r="G104" s="136"/>
      <c r="H104" s="5"/>
      <c r="I104" s="5"/>
      <c r="J104" s="5"/>
      <c r="K104" s="5"/>
      <c r="L104" s="5"/>
      <c r="M104" s="5"/>
      <c r="N104" s="5"/>
      <c r="O104" s="5"/>
      <c r="P104" s="5"/>
      <c r="Q104" s="5"/>
      <c r="R104" s="5"/>
    </row>
    <row r="105" spans="1:18">
      <c r="A105" s="4"/>
      <c r="B105" s="5"/>
      <c r="C105" s="4"/>
      <c r="D105" s="5"/>
      <c r="E105" s="5"/>
      <c r="F105" s="5"/>
      <c r="G105" s="5"/>
      <c r="H105" s="5"/>
      <c r="I105" s="5"/>
      <c r="J105" s="5"/>
      <c r="K105" s="5"/>
      <c r="L105" s="5"/>
      <c r="M105" s="5"/>
      <c r="N105" s="5"/>
      <c r="O105" s="5"/>
      <c r="P105" s="5"/>
      <c r="Q105" s="5"/>
      <c r="R105" s="5"/>
    </row>
    <row r="106" spans="1:18">
      <c r="A106" s="4"/>
      <c r="B106" s="5"/>
      <c r="C106" s="4"/>
      <c r="D106" s="5"/>
      <c r="E106" s="5"/>
      <c r="F106" s="5"/>
      <c r="G106" s="5"/>
      <c r="H106" s="5"/>
      <c r="I106" s="5"/>
      <c r="J106" s="5"/>
      <c r="K106" s="5"/>
      <c r="L106" s="5"/>
      <c r="M106" s="5"/>
      <c r="N106" s="5"/>
      <c r="O106" s="5"/>
      <c r="P106" s="5"/>
      <c r="Q106" s="5"/>
      <c r="R106" s="5"/>
    </row>
    <row r="107" spans="1:18">
      <c r="A107" s="4"/>
      <c r="B107" s="5"/>
      <c r="C107" s="4"/>
      <c r="D107" s="5"/>
      <c r="E107" s="5"/>
      <c r="F107" s="5"/>
      <c r="G107" s="5"/>
      <c r="H107" s="5"/>
      <c r="I107" s="5"/>
      <c r="J107" s="5"/>
      <c r="K107" s="5"/>
      <c r="L107" s="5"/>
      <c r="M107" s="5"/>
      <c r="N107" s="5"/>
      <c r="O107" s="5"/>
      <c r="P107" s="5"/>
      <c r="Q107" s="5"/>
      <c r="R107" s="5"/>
    </row>
    <row r="108" spans="1:18">
      <c r="A108" s="4"/>
      <c r="B108" s="5"/>
      <c r="C108" s="4"/>
      <c r="D108" s="5"/>
      <c r="E108" s="5"/>
      <c r="F108" s="5"/>
      <c r="G108" s="5"/>
      <c r="H108" s="5"/>
      <c r="I108" s="5"/>
      <c r="J108" s="5"/>
      <c r="K108" s="5"/>
      <c r="L108" s="5"/>
      <c r="M108" s="5"/>
      <c r="N108" s="5"/>
      <c r="O108" s="5"/>
      <c r="P108" s="5"/>
      <c r="Q108" s="5"/>
      <c r="R108" s="5"/>
    </row>
    <row r="109" spans="1:18">
      <c r="A109" s="4"/>
      <c r="B109" s="5"/>
      <c r="C109" s="4"/>
      <c r="D109" s="5"/>
      <c r="E109" s="5"/>
      <c r="F109" s="5"/>
      <c r="G109" s="5"/>
      <c r="H109" s="5"/>
      <c r="I109" s="5"/>
      <c r="J109" s="5"/>
      <c r="K109" s="5"/>
      <c r="L109" s="5"/>
      <c r="M109" s="5"/>
      <c r="N109" s="5"/>
      <c r="O109" s="5"/>
      <c r="P109" s="5"/>
      <c r="Q109" s="5"/>
      <c r="R109" s="5"/>
    </row>
    <row r="110" spans="1:18">
      <c r="A110" s="4"/>
      <c r="B110" s="5"/>
      <c r="C110" s="4"/>
      <c r="D110" s="5"/>
      <c r="E110" s="5"/>
      <c r="F110" s="5"/>
      <c r="G110" s="5"/>
      <c r="H110" s="5"/>
      <c r="I110" s="5"/>
      <c r="J110" s="5"/>
      <c r="K110" s="5"/>
      <c r="L110" s="5"/>
      <c r="M110" s="5"/>
      <c r="N110" s="5"/>
      <c r="O110" s="5"/>
      <c r="P110" s="5"/>
      <c r="Q110" s="5"/>
      <c r="R110" s="5"/>
    </row>
    <row r="111" spans="1:18">
      <c r="A111" s="4"/>
      <c r="B111" s="5"/>
      <c r="C111" s="4"/>
      <c r="D111" s="5"/>
      <c r="E111" s="5"/>
      <c r="F111" s="5"/>
      <c r="G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G126" s="4"/>
      <c r="H126" s="5"/>
      <c r="I126" s="5"/>
      <c r="J126" s="5"/>
      <c r="K126" s="5"/>
      <c r="L126" s="5"/>
      <c r="M126" s="5"/>
      <c r="N126" s="5"/>
      <c r="O126" s="5"/>
      <c r="P126" s="5"/>
      <c r="Q126" s="5"/>
      <c r="R126" s="5"/>
    </row>
    <row r="127" spans="1:18">
      <c r="A127" s="4"/>
      <c r="B127" s="5"/>
      <c r="C127" s="4"/>
      <c r="D127" s="5"/>
      <c r="E127" s="5"/>
      <c r="F127" s="5"/>
      <c r="G127" s="4"/>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G130" s="9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133"/>
    </row>
  </sheetData>
  <autoFilter ref="A39:R147" xr:uid="{3391BC7C-A472-4CA2-BDE0-26E2F8CDD43B}"/>
  <mergeCells count="5">
    <mergeCell ref="AH3:AM3"/>
    <mergeCell ref="AO3:AT3"/>
    <mergeCell ref="U1:X1"/>
    <mergeCell ref="U3:Y3"/>
    <mergeCell ref="AA3:AF3"/>
  </mergeCells>
  <dataValidations count="4">
    <dataValidation showInputMessage="1" showErrorMessage="1" sqref="F33:F35 K33 P41:R146" xr:uid="{204BDBAE-90B2-4DBF-8548-069EC2C3DDA5}"/>
    <dataValidation type="custom" showInputMessage="1" showErrorMessage="1" sqref="K34:K35" xr:uid="{331B58C7-9464-4593-BA4D-80DB27D99A85}">
      <formula1>_xlfn.DAYS(H214,F214)</formula1>
    </dataValidation>
    <dataValidation type="custom" allowBlank="1" showInputMessage="1" showErrorMessage="1" sqref="AE38 O38" xr:uid="{F3AC0270-2AE5-4EEA-BE41-DE8E8E602AFD}">
      <formula1>_xlfn.DAYS(L217,J217)</formula1>
    </dataValidation>
    <dataValidation type="custom" showInputMessage="1" showErrorMessage="1" sqref="AF38 P38" xr:uid="{EF056759-9FD8-4E9F-ADB0-2959E79ADF7B}">
      <formula1>_xlfn.DAYS(M216,K216)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FED4D49-3CBC-4191-9808-A50DEF308581}">
          <x14:formula1>
            <xm:f>Cadastros!$F$12:$F$25</xm:f>
          </x14:formula1>
          <xm:sqref>G38 K24 AM38 F23 F41:F146</xm:sqref>
        </x14:dataValidation>
        <x14:dataValidation type="list" allowBlank="1" showInputMessage="1" showErrorMessage="1" xr:uid="{E94A4718-4480-4FEB-8581-5038D02E18A4}">
          <x14:formula1>
            <xm:f>Cadastros!$Q$12:$Q$17</xm:f>
          </x14:formula1>
          <xm:sqref>K38 AA38 K28 F28 K41:K146</xm:sqref>
        </x14:dataValidation>
        <x14:dataValidation type="list" allowBlank="1" showInputMessage="1" showErrorMessage="1" xr:uid="{FF22A393-9EB0-41D8-8DEC-80B48DCD13B7}">
          <x14:formula1>
            <xm:f>Cadastros!$N$12:$N$16</xm:f>
          </x14:formula1>
          <xm:sqref>I38 Y38 K26</xm:sqref>
        </x14:dataValidation>
        <x14:dataValidation type="list" allowBlank="1" showInputMessage="1" showErrorMessage="1" xr:uid="{74589F73-21CA-4FDE-92F2-ECB5664E795A}">
          <x14:formula1>
            <xm:f>Cadastros!$S$12:$S$13</xm:f>
          </x14:formula1>
          <xm:sqref>M38:N38 AC38:AD38 K30:K31 F30:F31 M41:N146</xm:sqref>
        </x14:dataValidation>
        <x14:dataValidation type="list" errorStyle="information" allowBlank="1" showInputMessage="1" showErrorMessage="1" xr:uid="{14CEDF0A-17A8-4903-AE7E-A45C9248079C}">
          <x14:formula1>
            <xm:f>Cadastros!$I$12:$I$21</xm:f>
          </x14:formula1>
          <xm:sqref>H38 K25</xm:sqref>
        </x14:dataValidation>
        <x14:dataValidation type="list" showInputMessage="1" showErrorMessage="1" xr:uid="{990A0DE8-5D10-4B4D-9B01-1CC73984E1F3}">
          <x14:formula1>
            <xm:f>Cadastros!$C$12:$C$16</xm:f>
          </x14:formula1>
          <xm:sqref>K22 AK38 F22 E38 E41:E146</xm:sqref>
        </x14:dataValidation>
        <x14:dataValidation type="list" errorStyle="information" allowBlank="1" showInputMessage="1" showErrorMessage="1" xr:uid="{78077651-9BFA-4425-B888-FFCAE3F37E00}">
          <x14:formula1>
            <xm:f>Cadastros!$I$12:$I$36</xm:f>
          </x14:formula1>
          <xm:sqref>F25 H41:H146</xm:sqref>
        </x14:dataValidation>
        <x14:dataValidation type="list" allowBlank="1" showInputMessage="1" showErrorMessage="1" xr:uid="{9B90C403-12D8-46A7-AC93-424E0BEFEB38}">
          <x14:formula1>
            <xm:f>Cadastros!$N$12:$N$19</xm:f>
          </x14:formula1>
          <xm:sqref>F26 I41:I146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6B75-9BC2-4ADA-A688-02B09E64290C}">
  <sheetPr codeName="Planilha9"/>
  <dimension ref="A1:AT141"/>
  <sheetViews>
    <sheetView topLeftCell="A18" workbookViewId="0">
      <selection activeCell="N125" sqref="N12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63"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COUNTA(B$102:B291)</f>
        <v>39</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COUNTIFS(H$39:H409,U5,K$39:K409,V4)</f>
        <v>3</v>
      </c>
      <c r="W5" s="147">
        <f>COUNTIFS(H$39:H409,U5,K$39:K409,W4)</f>
        <v>2</v>
      </c>
      <c r="X5" s="147">
        <f>COUNTIFS(H$39:H409,U5,K$39:K409,X4)</f>
        <v>0</v>
      </c>
      <c r="Y5" s="148">
        <f t="shared" ref="Y5:Y11" si="0">SUM(V5:X5)</f>
        <v>5</v>
      </c>
      <c r="Z5" s="13"/>
      <c r="AA5" s="88" t="str">
        <f>U5</f>
        <v>Bárbara Leite</v>
      </c>
      <c r="AB5" s="33">
        <f>SUMIFS(J$102:J330,H$102:H330,AA5,E$102:E330,"SAL")</f>
        <v>1857</v>
      </c>
      <c r="AC5" s="34">
        <f>SUMIFS(J$102:J404,H$102:H404,AA5,E$102:E404,"SAM")</f>
        <v>165</v>
      </c>
      <c r="AD5" s="34">
        <f>SUMIFS(J$102:J404,H$102:H404,AA5,E$102:E404,"NE")</f>
        <v>0</v>
      </c>
      <c r="AE5" s="34">
        <f>SUMIFS(J$102:J404,H$102:H404,AA5,E$102:E404,"SAIL")</f>
        <v>3778</v>
      </c>
      <c r="AF5" s="35">
        <f t="shared" ref="AF5:AF12" si="1">SUBTOTAL(9,AB5:AE5)</f>
        <v>5800</v>
      </c>
      <c r="AH5" s="88" t="str">
        <f>U5</f>
        <v>Bárbara Leite</v>
      </c>
      <c r="AI5" s="33">
        <f>COUNTIFS(H$102:H404,AH5,E$102:E404,"SAL")</f>
        <v>1</v>
      </c>
      <c r="AJ5" s="34">
        <f t="shared" ref="AJ5:AJ29" si="2">COUNTIFS(H$102:H$404,AH5,E$102:E$404,"SAM")</f>
        <v>1</v>
      </c>
      <c r="AK5" s="34">
        <f>COUNTIFS(H$102:H404,AH5,E$102:E$404,"NE")</f>
        <v>0</v>
      </c>
      <c r="AL5" s="34">
        <f>COUNTIFS(H$102:H404,AH5,E$102:E404,"SAIL")</f>
        <v>1</v>
      </c>
      <c r="AM5" s="35">
        <f t="shared" ref="AM5:AM29" si="3">SUBTOTAL(9,AI5:AL5)</f>
        <v>3</v>
      </c>
      <c r="AO5" s="88" t="str">
        <f>U5</f>
        <v>Bárbara Leite</v>
      </c>
      <c r="AP5" s="33">
        <f t="shared" ref="AP5:AP29" si="4">SUMIFS(Q$102:Q$329,H$102:H$329,AO5,E$102:E$329,"SAL")</f>
        <v>20</v>
      </c>
      <c r="AQ5" s="34">
        <f t="shared" ref="AQ5:AQ29" si="5">SUMIFS(Q$102:Q$329,H$102:H$329,AO5,E$102:E$329,"SAM")</f>
        <v>11.5</v>
      </c>
      <c r="AR5" s="34">
        <f t="shared" ref="AR5:AR29" si="6">SUMIFS(Q$102:Q$329,H$102:H$329,AO5,E$102:E$329,"NE")</f>
        <v>0</v>
      </c>
      <c r="AS5" s="34">
        <f t="shared" ref="AS5:AS29" si="7">SUMIFS(Q$102:Q$329,H$102:H$329,AO5,E$102:E$329,"SAIL")</f>
        <v>40</v>
      </c>
      <c r="AT5" s="35">
        <f t="shared" ref="AT5:AT29" si="8">SUBTOTAL(9,AP5:AS5)</f>
        <v>71.5</v>
      </c>
    </row>
    <row r="6" spans="21:46" ht="15.75" thickBot="1">
      <c r="U6" s="87" t="str">
        <f>Cadastros!I13</f>
        <v>Bárbara Teixeira</v>
      </c>
      <c r="V6" s="85">
        <f>COUNTIFS(H$39:H409,U6,K$39:K409,V4)</f>
        <v>0</v>
      </c>
      <c r="W6" s="18">
        <f>COUNTIFS(H$39:H409,U6,K$39:K409,W4)</f>
        <v>1</v>
      </c>
      <c r="X6" s="18">
        <f>COUNTIFS(H$39:H409,U6,K$39:K409,X4)</f>
        <v>0</v>
      </c>
      <c r="Y6" s="19">
        <f t="shared" si="0"/>
        <v>1</v>
      </c>
      <c r="Z6" s="13"/>
      <c r="AA6" s="22" t="str">
        <f>U6</f>
        <v>Bárbara Teixeira</v>
      </c>
      <c r="AB6" s="30">
        <f>SUMIFS(J$102:J331,H$102:H331,AA6,E$102:E331,"SAL")</f>
        <v>0</v>
      </c>
      <c r="AC6" s="29">
        <f>SUMIFS(J$102:J405,H$102:H405,AA6,E$102:E405,"SAM")</f>
        <v>0</v>
      </c>
      <c r="AD6" s="29">
        <f>SUMIFS(J$102:J405,H$102:H405,AA6,E$102:E405,"NE")</f>
        <v>0</v>
      </c>
      <c r="AE6" s="29">
        <f>SUMIFS(J$102:J405,H$102:H405,AA6,E$102:E405,"SAIL")</f>
        <v>0</v>
      </c>
      <c r="AF6" s="31">
        <f t="shared" si="1"/>
        <v>0</v>
      </c>
      <c r="AH6" s="22" t="str">
        <f>U6</f>
        <v>Bárbara Teixeira</v>
      </c>
      <c r="AI6" s="30">
        <f>COUNTIFS(H$102:H405,AH6,E$102:E405,"SAL")</f>
        <v>0</v>
      </c>
      <c r="AJ6" s="29">
        <f t="shared" si="2"/>
        <v>0</v>
      </c>
      <c r="AK6" s="29">
        <f t="shared" ref="AK6:AK29" si="9">COUNTIFS(H$102:H$404,AH6,E$102:E$404,"NE")</f>
        <v>0</v>
      </c>
      <c r="AL6" s="29">
        <f>COUNTIFS(H$102:H405,AH6,E$102:E405,"SAIL")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COUNTIFS(H$39:H409,U7,K$39:K409,V4)</f>
        <v>4</v>
      </c>
      <c r="W7" s="14">
        <f>COUNTIFS(H$39:H409,U7,K$39:K409,W4)</f>
        <v>0</v>
      </c>
      <c r="X7" s="14">
        <f>COUNTIFS(H$39:H409,U7,K$39:K409,X4)</f>
        <v>0</v>
      </c>
      <c r="Y7" s="15">
        <f t="shared" si="0"/>
        <v>4</v>
      </c>
      <c r="Z7" s="13"/>
      <c r="AA7" s="21" t="str">
        <f t="shared" ref="AA7:AA11" si="10">U7</f>
        <v>Bruna Ferro</v>
      </c>
      <c r="AB7" s="37">
        <f>SUMIFS(J$102:J332,H$102:H332,AA7,E$102:E332,"SAL")</f>
        <v>0</v>
      </c>
      <c r="AC7" s="38">
        <f>SUMIFS(J$102:J406,H$102:H406,AA7,E$102:E406,"SAM")</f>
        <v>0</v>
      </c>
      <c r="AD7" s="38">
        <f>SUMIFS(J$102:J406,H$102:H406,AA7,E$102:E406,"NE")</f>
        <v>0</v>
      </c>
      <c r="AE7" s="38">
        <f>SUMIFS(J$102:J406,H$102:H406,AA7,E$102:E406,"SAIL")</f>
        <v>0</v>
      </c>
      <c r="AF7" s="39">
        <f t="shared" si="1"/>
        <v>0</v>
      </c>
      <c r="AH7" s="21" t="str">
        <f t="shared" ref="AH7:AH11" si="11">U7</f>
        <v>Bruna Ferro</v>
      </c>
      <c r="AI7" s="37">
        <f>COUNTIFS(H$102:H406,AH7,E$102:E406,"SAL")</f>
        <v>0</v>
      </c>
      <c r="AJ7" s="38">
        <f t="shared" si="2"/>
        <v>0</v>
      </c>
      <c r="AK7" s="38">
        <f t="shared" si="9"/>
        <v>0</v>
      </c>
      <c r="AL7" s="38">
        <f>COUNTIFS(H$102:H406,AH7,E$102:E406,"SAIL")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COUNTIFS(H$39:H409,U8,K$39:K409,V4)</f>
        <v>17</v>
      </c>
      <c r="W8" s="18">
        <f>COUNTIFS(H$39:H409,U8,K$39:K409,W4)</f>
        <v>0</v>
      </c>
      <c r="X8" s="18">
        <f>COUNTIFS(H$39:H409,U8,K$39:K409,X4)</f>
        <v>0</v>
      </c>
      <c r="Y8" s="19">
        <f t="shared" si="0"/>
        <v>17</v>
      </c>
      <c r="Z8" s="13"/>
      <c r="AA8" s="22" t="str">
        <f t="shared" si="10"/>
        <v>Carolina Esmeraldino</v>
      </c>
      <c r="AB8" s="30">
        <f>SUMIFS(J$102:J333,H$102:H333,AA8,E$102:E333,"SAL")</f>
        <v>0</v>
      </c>
      <c r="AC8" s="29">
        <f>SUMIFS(J$102:J407,H$102:H407,AA8,E$102:E407,"SAM")</f>
        <v>405</v>
      </c>
      <c r="AD8" s="29">
        <f>SUMIFS(J$102:J407,H$102:H407,AA8,E$102:E407,"NE")</f>
        <v>668</v>
      </c>
      <c r="AE8" s="29">
        <f>SUMIFS(J$102:J407,H$102:H407,AA8,E$102:E407,"SAIL")</f>
        <v>0</v>
      </c>
      <c r="AF8" s="31">
        <f t="shared" si="1"/>
        <v>1073</v>
      </c>
      <c r="AH8" s="22" t="str">
        <f t="shared" si="11"/>
        <v>Carolina Esmeraldino</v>
      </c>
      <c r="AI8" s="30">
        <f>COUNTIFS(H$102:H407,AH8,E$102:E407,"SAL")</f>
        <v>0</v>
      </c>
      <c r="AJ8" s="29">
        <f t="shared" si="2"/>
        <v>1</v>
      </c>
      <c r="AK8" s="29">
        <f t="shared" si="9"/>
        <v>5</v>
      </c>
      <c r="AL8" s="29">
        <f>COUNTIFS(H$102:H407,AH8,E$102:E407,"SAIL")</f>
        <v>0</v>
      </c>
      <c r="AM8" s="31">
        <f t="shared" si="3"/>
        <v>6</v>
      </c>
      <c r="AO8" s="22" t="str">
        <f>U8</f>
        <v>Carolina Esmeraldino</v>
      </c>
      <c r="AP8" s="30">
        <f t="shared" si="4"/>
        <v>0</v>
      </c>
      <c r="AQ8" s="29">
        <f t="shared" si="5"/>
        <v>10</v>
      </c>
      <c r="AR8" s="29">
        <f t="shared" si="6"/>
        <v>15</v>
      </c>
      <c r="AS8" s="29">
        <f t="shared" si="7"/>
        <v>0</v>
      </c>
      <c r="AT8" s="31">
        <f t="shared" si="8"/>
        <v>25</v>
      </c>
    </row>
    <row r="9" spans="21:46" ht="15.75" thickBot="1">
      <c r="U9" s="87" t="str">
        <f>Cadastros!I16</f>
        <v>Claudia Savois</v>
      </c>
      <c r="V9" s="86">
        <f>COUNTIFS(H$39:H409,U9,K$39:K409,V4)</f>
        <v>0</v>
      </c>
      <c r="W9" s="14">
        <f>COUNTIFS(H$39:H409,U9,K$39:K409,W4)</f>
        <v>0</v>
      </c>
      <c r="X9" s="14">
        <f>COUNTIFS(H$39:H409,U9,K$39:K409,X4)</f>
        <v>0</v>
      </c>
      <c r="Y9" s="15">
        <f t="shared" si="0"/>
        <v>0</v>
      </c>
      <c r="Z9" s="13"/>
      <c r="AA9" s="21" t="str">
        <f t="shared" si="10"/>
        <v>Claudia Savois</v>
      </c>
      <c r="AB9" s="37">
        <f>SUMIFS(J$102:J334,H$102:H334,AA9,E$102:E334,"SAL")</f>
        <v>0</v>
      </c>
      <c r="AC9" s="38">
        <f>SUMIFS(J$102:J408,H$102:H408,AA9,E$102:E408,"SAM")</f>
        <v>0</v>
      </c>
      <c r="AD9" s="38">
        <f>SUMIFS(J$102:J408,H$102:H408,AA9,E$102:E408,"NE")</f>
        <v>0</v>
      </c>
      <c r="AE9" s="38">
        <f>SUMIFS(J$102:J408,H$102:H408,AA9,E$102:E408,"SAIL")</f>
        <v>0</v>
      </c>
      <c r="AF9" s="39">
        <f t="shared" si="1"/>
        <v>0</v>
      </c>
      <c r="AH9" s="21" t="str">
        <f t="shared" si="11"/>
        <v>Claudia Savois</v>
      </c>
      <c r="AI9" s="37">
        <f>COUNTIFS(H$102:H408,AH9,E$102:E408,"SAL")</f>
        <v>0</v>
      </c>
      <c r="AJ9" s="38">
        <f t="shared" si="2"/>
        <v>0</v>
      </c>
      <c r="AK9" s="38">
        <f t="shared" si="9"/>
        <v>0</v>
      </c>
      <c r="AL9" s="38">
        <f>COUNTIFS(H$102:H408,AH9,E$102:E408,"SAIL")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COUNTIFS(H$39:H410,U10,K$39:K410,V4)</f>
        <v>1</v>
      </c>
      <c r="W10" s="14">
        <f>COUNTIFS(H$39:H410,U10,K$39:K410,W4)</f>
        <v>1</v>
      </c>
      <c r="X10" s="14">
        <f>COUNTIFS(H$39:H410,U10,K$39:K410,X4)</f>
        <v>0</v>
      </c>
      <c r="Y10" s="15">
        <f t="shared" si="0"/>
        <v>2</v>
      </c>
      <c r="Z10" s="13"/>
      <c r="AA10" s="22" t="str">
        <f t="shared" si="10"/>
        <v>Daniela Stupp</v>
      </c>
      <c r="AB10" s="30">
        <f>SUMIFS(J$102:J335,H$102:H335,AA10,E$102:E335,"SAL")</f>
        <v>0</v>
      </c>
      <c r="AC10" s="29">
        <f>SUMIFS(J$102:J409,H$102:H409,AA10,E$102:E409,"SAM")</f>
        <v>2025</v>
      </c>
      <c r="AD10" s="29">
        <f>SUMIFS(J$102:J409,H$102:H409,AA10,E$102:E409,"NE")</f>
        <v>0</v>
      </c>
      <c r="AE10" s="29">
        <f>SUMIFS(J$102:J409,H$102:H409,AA10,E$102:E409,"SAIL")</f>
        <v>0</v>
      </c>
      <c r="AF10" s="31">
        <f t="shared" si="1"/>
        <v>2025</v>
      </c>
      <c r="AH10" s="22" t="str">
        <f t="shared" si="11"/>
        <v>Daniela Stupp</v>
      </c>
      <c r="AI10" s="30">
        <f>COUNTIFS(H$102:H409,AH10,E$102:E409,"SAL")</f>
        <v>0</v>
      </c>
      <c r="AJ10" s="29">
        <f t="shared" si="2"/>
        <v>2</v>
      </c>
      <c r="AK10" s="29">
        <f t="shared" si="9"/>
        <v>0</v>
      </c>
      <c r="AL10" s="29">
        <f>COUNTIFS(H$102:H409,AH10,E$102:E409,"SAIL")</f>
        <v>0</v>
      </c>
      <c r="AM10" s="31">
        <f t="shared" si="3"/>
        <v>2</v>
      </c>
      <c r="AO10" s="22" t="str">
        <f t="shared" si="12"/>
        <v>Daniela Stupp</v>
      </c>
      <c r="AP10" s="30">
        <f t="shared" si="4"/>
        <v>0</v>
      </c>
      <c r="AQ10" s="29">
        <f t="shared" si="5"/>
        <v>30</v>
      </c>
      <c r="AR10" s="29">
        <f t="shared" si="6"/>
        <v>0</v>
      </c>
      <c r="AS10" s="29">
        <f t="shared" si="7"/>
        <v>0</v>
      </c>
      <c r="AT10" s="31">
        <f t="shared" si="8"/>
        <v>30</v>
      </c>
    </row>
    <row r="11" spans="21:46" ht="15.75" thickBot="1">
      <c r="U11" s="87" t="str">
        <f>Cadastros!I18</f>
        <v>Gabriely</v>
      </c>
      <c r="V11" s="85">
        <f>COUNTIFS(H$39:H409,U11,K$39:K409,V4)</f>
        <v>0</v>
      </c>
      <c r="W11" s="18">
        <f>COUNTIFS(H$39:H409,U11,K$39:K409,W4)</f>
        <v>0</v>
      </c>
      <c r="X11" s="18">
        <f>COUNTIFS(H$39:H409,U11,K$39:K409,X4)</f>
        <v>0</v>
      </c>
      <c r="Y11" s="19">
        <f t="shared" si="0"/>
        <v>0</v>
      </c>
      <c r="Z11" s="13"/>
      <c r="AA11" s="21" t="str">
        <f t="shared" si="10"/>
        <v>Gabriely</v>
      </c>
      <c r="AB11" s="37">
        <f>SUMIFS(J$102:J336,H$102:H336,AA11,E$102:E336,"SAL")</f>
        <v>0</v>
      </c>
      <c r="AC11" s="38">
        <f>SUMIFS(J$102:J410,H$102:H410,AA11,E$102:E410,"SAM")</f>
        <v>0</v>
      </c>
      <c r="AD11" s="38">
        <f>SUMIFS(J$102:J410,H$102:H410,AA11,E$102:E410,"NE")</f>
        <v>0</v>
      </c>
      <c r="AE11" s="38">
        <f>SUMIFS(J$102:J410,H$102:H410,AA11,E$102:E410,"SAIL")</f>
        <v>0</v>
      </c>
      <c r="AF11" s="39">
        <f t="shared" si="1"/>
        <v>0</v>
      </c>
      <c r="AH11" s="21" t="str">
        <f t="shared" si="11"/>
        <v>Gabriely</v>
      </c>
      <c r="AI11" s="37">
        <f>COUNTIFS(H$102:H410,AH11,E$102:E410,"SAL")</f>
        <v>0</v>
      </c>
      <c r="AJ11" s="38">
        <f t="shared" si="2"/>
        <v>0</v>
      </c>
      <c r="AK11" s="38">
        <f t="shared" si="9"/>
        <v>0</v>
      </c>
      <c r="AL11" s="38">
        <f>COUNTIFS(H$102:H410,AH11,E$102:E410,"SAIL")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COUNTIFS(H$39:H410,U12,K$39:K410,V4)</f>
        <v>4</v>
      </c>
      <c r="W12" s="14">
        <f>COUNTIFS(H$39:H410,U12,K$39:K410,W4)</f>
        <v>1</v>
      </c>
      <c r="X12" s="14">
        <f>COUNTIFS(H$39:H410,U12,K$39:K410,X4)</f>
        <v>0</v>
      </c>
      <c r="Y12" s="15">
        <f t="shared" ref="Y12:Y29" si="13">SUM(V12:X12)</f>
        <v>5</v>
      </c>
      <c r="AA12" s="22" t="str">
        <f>U12</f>
        <v>Fabio Sasso</v>
      </c>
      <c r="AB12" s="30">
        <f>SUMIFS(J$102:J337,H$102:H337,AA12,E$102:E337,"SAL")</f>
        <v>0</v>
      </c>
      <c r="AC12" s="29">
        <f>SUMIFS(J$102:J411,H$102:H411,AA12,E$102:E411,"SAM")</f>
        <v>0</v>
      </c>
      <c r="AD12" s="29">
        <f>SUMIFS(J$102:J411,H$102:H411,AA12,E$102:E411,"NE")</f>
        <v>0</v>
      </c>
      <c r="AE12" s="29">
        <f>SUMIFS(J$102:J411,H$102:H411,AA12,E$102:E411,"SAIL")</f>
        <v>0</v>
      </c>
      <c r="AF12" s="31">
        <f t="shared" si="1"/>
        <v>0</v>
      </c>
      <c r="AH12" s="22" t="str">
        <f>U12</f>
        <v>Fabio Sasso</v>
      </c>
      <c r="AI12" s="30">
        <f>COUNTIFS(H$102:H411,AH12,E$102:E411,"SAL")</f>
        <v>0</v>
      </c>
      <c r="AJ12" s="29">
        <f t="shared" si="2"/>
        <v>0</v>
      </c>
      <c r="AK12" s="29">
        <f t="shared" si="9"/>
        <v>0</v>
      </c>
      <c r="AL12" s="29">
        <f>COUNTIFS(H$102:H411,AH12,E$102:E411,"SAIL")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COUNTIFS(H$39:H411,U13,K$39:K411,V$4)</f>
        <v>2</v>
      </c>
      <c r="W13" s="18">
        <f>COUNTIFS(H$39:H411,U13,K$39:K411,W$4)</f>
        <v>2</v>
      </c>
      <c r="X13" s="18">
        <f>COUNTIFS(H$39:H411,U13,K$39:K411,X$4)</f>
        <v>0</v>
      </c>
      <c r="Y13" s="19">
        <f t="shared" si="13"/>
        <v>4</v>
      </c>
      <c r="AA13" s="21" t="str">
        <f t="shared" ref="AA13:AA29" si="14">U13</f>
        <v>Felipi Ferreira</v>
      </c>
      <c r="AB13" s="37">
        <f>SUMIFS(J$102:J338,H$102:H338,AA13,E$102:E338,"SAL")</f>
        <v>289</v>
      </c>
      <c r="AC13" s="38">
        <f>SUMIFS(J$102:J412,H$102:H412,AA13,E$102:E412,"SAM")</f>
        <v>0</v>
      </c>
      <c r="AD13" s="38">
        <f>SUMIFS(J$102:J412,H$102:H412,AA13,E$102:E412,"NE")</f>
        <v>0</v>
      </c>
      <c r="AE13" s="38">
        <f>SUMIFS(J$102:J412,H$102:H412,AA13,E$102:E412,"SAIL")</f>
        <v>0</v>
      </c>
      <c r="AF13" s="39">
        <f t="shared" ref="AF13:AF29" si="15">SUBTOTAL(9,AB13:AE13)</f>
        <v>289</v>
      </c>
      <c r="AH13" s="21" t="str">
        <f t="shared" ref="AH13:AH29" si="16">U13</f>
        <v>Felipi Ferreira</v>
      </c>
      <c r="AI13" s="37">
        <f>COUNTIFS(H$102:H412,AH13,E$102:E412,"SAL")</f>
        <v>1</v>
      </c>
      <c r="AJ13" s="38">
        <f t="shared" si="2"/>
        <v>0</v>
      </c>
      <c r="AK13" s="38">
        <f t="shared" si="9"/>
        <v>0</v>
      </c>
      <c r="AL13" s="38">
        <f>COUNTIFS(H$102:H412,AH13,E$102:E412,"SAIL")</f>
        <v>0</v>
      </c>
      <c r="AM13" s="39">
        <f t="shared" si="3"/>
        <v>1</v>
      </c>
      <c r="AO13" s="21" t="str">
        <f t="shared" si="12"/>
        <v>Felipi Ferreira</v>
      </c>
      <c r="AP13" s="37">
        <f t="shared" si="4"/>
        <v>10</v>
      </c>
      <c r="AQ13" s="139">
        <f t="shared" si="5"/>
        <v>0</v>
      </c>
      <c r="AR13" s="139">
        <f t="shared" si="6"/>
        <v>0</v>
      </c>
      <c r="AS13" s="38">
        <f t="shared" si="7"/>
        <v>0</v>
      </c>
      <c r="AT13" s="39">
        <f t="shared" si="8"/>
        <v>10</v>
      </c>
    </row>
    <row r="14" spans="21:46" ht="15.75" thickBot="1">
      <c r="U14" s="87" t="str">
        <f>Cadastros!I21</f>
        <v>Flávia Cardoso</v>
      </c>
      <c r="V14" s="86">
        <f>COUNTIFS(H$39:H412,U14,K$39:K412,V$4)</f>
        <v>0</v>
      </c>
      <c r="W14" s="14">
        <f>COUNTIFS(H$39:H412,U14,K$39:K412,W$4)</f>
        <v>0</v>
      </c>
      <c r="X14" s="14">
        <f>COUNTIFS(H$39:H412,U14,K$39:K412,X$4)</f>
        <v>0</v>
      </c>
      <c r="Y14" s="15">
        <f t="shared" si="13"/>
        <v>0</v>
      </c>
      <c r="AA14" s="22" t="str">
        <f t="shared" si="14"/>
        <v>Flávia Cardoso</v>
      </c>
      <c r="AB14" s="30">
        <f>SUMIFS(J$102:J339,H$102:H339,AA14,E$102:E339,"SAL")</f>
        <v>0</v>
      </c>
      <c r="AC14" s="29">
        <f>SUMIFS(J$102:J413,H$102:H413,AA14,E$102:E413,"SAM")</f>
        <v>0</v>
      </c>
      <c r="AD14" s="29">
        <f>SUMIFS(J$102:J413,H$102:H413,AA14,E$102:E413,"NE")</f>
        <v>0</v>
      </c>
      <c r="AE14" s="29">
        <f>SUMIFS(J$102:J413,H$102:H413,AA14,E$102:E413,"SAIL")</f>
        <v>0</v>
      </c>
      <c r="AF14" s="31">
        <f t="shared" si="15"/>
        <v>0</v>
      </c>
      <c r="AH14" s="22" t="str">
        <f t="shared" si="16"/>
        <v>Flávia Cardoso</v>
      </c>
      <c r="AI14" s="30">
        <f>COUNTIFS(H$102:H413,AH14,E$102:E413,"SAL")</f>
        <v>0</v>
      </c>
      <c r="AJ14" s="29">
        <f t="shared" si="2"/>
        <v>0</v>
      </c>
      <c r="AK14" s="29">
        <f t="shared" si="9"/>
        <v>0</v>
      </c>
      <c r="AL14" s="29">
        <f>COUNTIFS(H$102:H413,AH14,E$102:E413,"SAIL")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COUNTIFS(H$39:H413,U15,K$39:K413,V$4)</f>
        <v>3</v>
      </c>
      <c r="W15" s="18">
        <f>COUNTIFS(H$39:H413,U15,K$39:K413,W$4)</f>
        <v>0</v>
      </c>
      <c r="X15" s="18">
        <f>COUNTIFS(H$39:H413,U15,K$39:K413,X$4)</f>
        <v>0</v>
      </c>
      <c r="Y15" s="19">
        <f t="shared" si="13"/>
        <v>3</v>
      </c>
      <c r="AA15" s="21" t="str">
        <f t="shared" si="14"/>
        <v>Giovani cunha</v>
      </c>
      <c r="AB15" s="37">
        <f>SUMIFS(J$102:J340,H$102:H340,AA15,E$102:E340,"SAL")</f>
        <v>0</v>
      </c>
      <c r="AC15" s="38">
        <f>SUMIFS(J$102:J414,H$102:H414,AA15,E$102:E414,"SAM")</f>
        <v>1007</v>
      </c>
      <c r="AD15" s="38">
        <f>SUMIFS(J$102:J414,H$102:H414,AA15,E$102:E414,"NE")</f>
        <v>48</v>
      </c>
      <c r="AE15" s="38">
        <f>SUMIFS(J$102:J414,H$102:H414,AA15,E$102:E414,"SAIL")</f>
        <v>0</v>
      </c>
      <c r="AF15" s="39">
        <f t="shared" si="15"/>
        <v>1055</v>
      </c>
      <c r="AH15" s="21" t="str">
        <f t="shared" si="16"/>
        <v>Giovani cunha</v>
      </c>
      <c r="AI15" s="37">
        <f>COUNTIFS(H$102:H414,AH15,E$102:E414,"SAL")</f>
        <v>0</v>
      </c>
      <c r="AJ15" s="38">
        <f t="shared" si="2"/>
        <v>1</v>
      </c>
      <c r="AK15" s="38">
        <f t="shared" si="9"/>
        <v>1</v>
      </c>
      <c r="AL15" s="38">
        <f>COUNTIFS(H$102:H414,AH15,E$102:E414,"SAIL")</f>
        <v>0</v>
      </c>
      <c r="AM15" s="39">
        <f t="shared" si="3"/>
        <v>2</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COUNTIFS(H$39:H414,U16,K$39:K414,V$4)</f>
        <v>31</v>
      </c>
      <c r="W16" s="14">
        <f>COUNTIFS(H$39:H414,U16,K$39:K414,W$4)</f>
        <v>0</v>
      </c>
      <c r="X16" s="14">
        <f>COUNTIFS(H$39:H414,U16,K$39:K414,X$4)</f>
        <v>0</v>
      </c>
      <c r="Y16" s="15">
        <f t="shared" si="13"/>
        <v>31</v>
      </c>
      <c r="AA16" s="22" t="str">
        <f t="shared" si="14"/>
        <v>Jennifer Rodrigues</v>
      </c>
      <c r="AB16" s="30">
        <f>SUMIFS(J$102:J341,H$102:H341,AA16,E$102:E341,"SAL")</f>
        <v>0</v>
      </c>
      <c r="AC16" s="29">
        <f>SUMIFS(J$102:J415,H$102:H415,AA16,E$102:E415,"SAM")</f>
        <v>0</v>
      </c>
      <c r="AD16" s="29">
        <f>SUMIFS(J$102:J415,H$102:H415,AA16,E$102:E415,"NE")</f>
        <v>1911</v>
      </c>
      <c r="AE16" s="29">
        <f>SUMIFS(J$102:J415,H$102:H415,AA16,E$102:E415,"SAIL")</f>
        <v>0</v>
      </c>
      <c r="AF16" s="31">
        <f t="shared" si="15"/>
        <v>1911</v>
      </c>
      <c r="AH16" s="22" t="str">
        <f t="shared" si="16"/>
        <v>Jennifer Rodrigues</v>
      </c>
      <c r="AI16" s="30">
        <f>COUNTIFS(H$102:H415,AH16,E$102:E415,"SAL")</f>
        <v>0</v>
      </c>
      <c r="AJ16" s="29">
        <f t="shared" si="2"/>
        <v>0</v>
      </c>
      <c r="AK16" s="29">
        <f t="shared" si="9"/>
        <v>12</v>
      </c>
      <c r="AL16" s="29">
        <f>COUNTIFS(H$102:H415,AH16,E$102:E415,"SAIL")</f>
        <v>0</v>
      </c>
      <c r="AM16" s="31">
        <f t="shared" si="3"/>
        <v>12</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COUNTIFS(H$39:H415,U17,K$39:K415,V$4)</f>
        <v>0</v>
      </c>
      <c r="W17" s="18">
        <f>COUNTIFS(H$39:H415,U17,K$39:K415,W$4)</f>
        <v>0</v>
      </c>
      <c r="X17" s="18">
        <f>COUNTIFS(H$39:H415,U17,K$39:K415,X$4)</f>
        <v>0</v>
      </c>
      <c r="Y17" s="19">
        <f t="shared" si="13"/>
        <v>0</v>
      </c>
      <c r="AA17" s="21" t="str">
        <f t="shared" si="14"/>
        <v>Juliana Guizoni</v>
      </c>
      <c r="AB17" s="37">
        <f>SUMIFS(J$102:J342,H$102:H342,AA17,E$102:E342,"SAL")</f>
        <v>0</v>
      </c>
      <c r="AC17" s="38">
        <f>SUMIFS(J$102:J416,H$102:H416,AA17,E$102:E416,"SAM")</f>
        <v>0</v>
      </c>
      <c r="AD17" s="38">
        <f>SUMIFS(J$102:J416,H$102:H416,AA17,E$102:E416,"NE")</f>
        <v>0</v>
      </c>
      <c r="AE17" s="38">
        <f>SUMIFS(J$102:J416,H$102:H416,AA17,E$102:E416,"SAIL")</f>
        <v>0</v>
      </c>
      <c r="AF17" s="39">
        <f t="shared" si="15"/>
        <v>0</v>
      </c>
      <c r="AH17" s="21" t="str">
        <f t="shared" si="16"/>
        <v>Juliana Guizoni</v>
      </c>
      <c r="AI17" s="37">
        <f>COUNTIFS(H$102:H416,AH17,E$102:E416,"SAL")</f>
        <v>0</v>
      </c>
      <c r="AJ17" s="38">
        <f t="shared" si="2"/>
        <v>0</v>
      </c>
      <c r="AK17" s="38">
        <f t="shared" si="9"/>
        <v>0</v>
      </c>
      <c r="AL17" s="38">
        <f>COUNTIFS(H$102:H416,AH17,E$102:E416,"SAIL")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COUNTIFS(H$39:H416,U18,K$39:K416,V$4)</f>
        <v>0</v>
      </c>
      <c r="W18" s="14">
        <f>COUNTIFS(H$39:H416,U18,K$39:K416,W$4)</f>
        <v>0</v>
      </c>
      <c r="X18" s="14">
        <f>COUNTIFS(H$39:H416,U18,K$39:K416,X$4)</f>
        <v>0</v>
      </c>
      <c r="Y18" s="15">
        <f t="shared" si="13"/>
        <v>0</v>
      </c>
      <c r="AA18" s="22" t="str">
        <f t="shared" si="14"/>
        <v>Vinicyos Maguns</v>
      </c>
      <c r="AB18" s="30">
        <f>SUMIFS(J$102:J343,H$102:H343,AA18,E$102:E343,"SAL")</f>
        <v>0</v>
      </c>
      <c r="AC18" s="29">
        <f>SUMIFS(J$102:J417,H$102:H417,AA18,E$102:E417,"SAM")</f>
        <v>0</v>
      </c>
      <c r="AD18" s="29">
        <f>SUMIFS(J$102:J417,H$102:H417,AA18,E$102:E417,"NE")</f>
        <v>0</v>
      </c>
      <c r="AE18" s="29">
        <f>SUMIFS(J$102:J417,H$102:H417,AA18,E$102:E417,"SAIL")</f>
        <v>0</v>
      </c>
      <c r="AF18" s="31">
        <f t="shared" si="15"/>
        <v>0</v>
      </c>
      <c r="AH18" s="22" t="str">
        <f t="shared" si="16"/>
        <v>Vinicyos Maguns</v>
      </c>
      <c r="AI18" s="30">
        <f>COUNTIFS(H$102:H417,AH18,E$102:E417,"SAL")</f>
        <v>0</v>
      </c>
      <c r="AJ18" s="29">
        <f t="shared" si="2"/>
        <v>0</v>
      </c>
      <c r="AK18" s="29">
        <f t="shared" si="9"/>
        <v>0</v>
      </c>
      <c r="AL18" s="29">
        <f>COUNTIFS(H$102:H417,AH18,E$102:E417,"SAIL")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VLOOKUP(F19,B102:B243,1,0)</f>
        <v>#N/A</v>
      </c>
      <c r="C19" s="45" t="e">
        <f>VLOOKUP(F21,D102:D243,1,0)</f>
        <v>#N/A</v>
      </c>
      <c r="D19" s="10"/>
      <c r="E19" s="74" t="s">
        <v>79</v>
      </c>
      <c r="F19" s="5"/>
      <c r="G19" s="11"/>
      <c r="K19" s="5"/>
      <c r="U19" s="87" t="str">
        <f>Cadastros!I26</f>
        <v>Laís Andrade</v>
      </c>
      <c r="V19" s="85">
        <f>COUNTIFS(H$39:H417,U19,K$39:K417,V$4)</f>
        <v>0</v>
      </c>
      <c r="W19" s="18">
        <f>COUNTIFS(H$39:H417,U19,K$39:K417,W$4)</f>
        <v>0</v>
      </c>
      <c r="X19" s="18">
        <f>COUNTIFS(H$39:H417,U19,K$39:K417,X$4)</f>
        <v>0</v>
      </c>
      <c r="Y19" s="19">
        <f t="shared" si="13"/>
        <v>0</v>
      </c>
      <c r="AA19" s="21" t="str">
        <f t="shared" si="14"/>
        <v>Laís Andrade</v>
      </c>
      <c r="AB19" s="37">
        <f>SUMIFS(J$102:J344,H$102:H344,AA19,E$102:E344,"SAL")</f>
        <v>0</v>
      </c>
      <c r="AC19" s="38">
        <f>SUMIFS(J$102:J418,H$102:H418,AA19,E$102:E418,"SAM")</f>
        <v>0</v>
      </c>
      <c r="AD19" s="38">
        <f>SUMIFS(J$102:J418,H$102:H418,AA19,E$102:E418,"NE")</f>
        <v>0</v>
      </c>
      <c r="AE19" s="38">
        <f>SUMIFS(J$102:J418,H$102:H418,AA19,E$102:E418,"SAIL")</f>
        <v>0</v>
      </c>
      <c r="AF19" s="39">
        <f t="shared" si="15"/>
        <v>0</v>
      </c>
      <c r="AH19" s="21" t="str">
        <f t="shared" si="16"/>
        <v>Laís Andrade</v>
      </c>
      <c r="AI19" s="37">
        <f>COUNTIFS(H$102:H418,AH19,E$102:E418,"SAL")</f>
        <v>0</v>
      </c>
      <c r="AJ19" s="38">
        <f t="shared" si="2"/>
        <v>0</v>
      </c>
      <c r="AK19" s="38">
        <f t="shared" si="9"/>
        <v>0</v>
      </c>
      <c r="AL19" s="38">
        <f>COUNTIFS(H$102:H418,AH19,E$102:E418,"SAIL")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COUNTIFS(H$39:H418,U20,K$39:K418,V$4)</f>
        <v>0</v>
      </c>
      <c r="W20" s="14">
        <f>COUNTIFS(H$39:H418,U20,K$39:K418,W$4)</f>
        <v>0</v>
      </c>
      <c r="X20" s="14">
        <f>COUNTIFS(H$39:H418,U20,K$39:K418,X$4)</f>
        <v>0</v>
      </c>
      <c r="Y20" s="15">
        <f t="shared" si="13"/>
        <v>0</v>
      </c>
      <c r="AA20" s="22" t="str">
        <f t="shared" si="14"/>
        <v>Luciana Mercante</v>
      </c>
      <c r="AB20" s="30">
        <f>SUMIFS(J$102:J345,H$102:H345,AA20,E$102:E345,"SAL")</f>
        <v>0</v>
      </c>
      <c r="AC20" s="29">
        <f>SUMIFS(J$102:J419,H$102:H419,AA20,E$102:E419,"SAM")</f>
        <v>0</v>
      </c>
      <c r="AD20" s="29">
        <f>SUMIFS(J$102:J419,H$102:H419,AA20,E$102:E419,"NE")</f>
        <v>0</v>
      </c>
      <c r="AE20" s="29">
        <f>SUMIFS(J$102:J419,H$102:H419,AA20,E$102:E419,"SAIL")</f>
        <v>0</v>
      </c>
      <c r="AF20" s="31">
        <f t="shared" si="15"/>
        <v>0</v>
      </c>
      <c r="AH20" s="22" t="str">
        <f t="shared" si="16"/>
        <v>Luciana Mercante</v>
      </c>
      <c r="AI20" s="30">
        <f>COUNTIFS(H$102:H419,AH20,E$102:E419,"SAL")</f>
        <v>0</v>
      </c>
      <c r="AJ20" s="29">
        <f t="shared" si="2"/>
        <v>0</v>
      </c>
      <c r="AK20" s="29">
        <f t="shared" si="9"/>
        <v>0</v>
      </c>
      <c r="AL20" s="29">
        <f>COUNTIFS(H$102:H419,AH20,E$102:E419,"SAIL")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COUNTIFS(H$39:H419,U21,K$39:K419,V$4)</f>
        <v>4</v>
      </c>
      <c r="W21" s="18">
        <f>COUNTIFS(H$39:H419,U21,K$39:K419,W$4)</f>
        <v>0</v>
      </c>
      <c r="X21" s="18">
        <f>COUNTIFS(H$39:H419,U21,K$39:K419,X$4)</f>
        <v>0</v>
      </c>
      <c r="Y21" s="19">
        <f t="shared" si="13"/>
        <v>4</v>
      </c>
      <c r="AA21" s="21" t="str">
        <f t="shared" si="14"/>
        <v>Mateus Alves</v>
      </c>
      <c r="AB21" s="37">
        <f>SUMIFS(J$102:J346,H$102:H346,AA21,E$102:E346,"SAL")</f>
        <v>0</v>
      </c>
      <c r="AC21" s="38">
        <f>SUMIFS(J$102:J420,H$102:H420,AA21,E$102:E420,"SAM")</f>
        <v>355</v>
      </c>
      <c r="AD21" s="38">
        <f>SUMIFS(J$102:J420,H$102:H420,AA21,E$102:E420,"NE")</f>
        <v>0</v>
      </c>
      <c r="AE21" s="38">
        <f>SUMIFS(J$102:J420,H$102:H420,AA21,E$102:E420,"SAIL")</f>
        <v>0</v>
      </c>
      <c r="AF21" s="39">
        <f t="shared" si="15"/>
        <v>355</v>
      </c>
      <c r="AH21" s="21" t="str">
        <f t="shared" si="16"/>
        <v>Mateus Alves</v>
      </c>
      <c r="AI21" s="37">
        <f>COUNTIFS(H$102:H420,AH21,E$102:E420,"SAL")</f>
        <v>0</v>
      </c>
      <c r="AJ21" s="38">
        <f t="shared" si="2"/>
        <v>2</v>
      </c>
      <c r="AK21" s="38">
        <f t="shared" si="9"/>
        <v>0</v>
      </c>
      <c r="AL21" s="38">
        <f>COUNTIFS(H$102:H420,AH21,E$102:E420,"SAIL")</f>
        <v>0</v>
      </c>
      <c r="AM21" s="39">
        <f t="shared" si="3"/>
        <v>2</v>
      </c>
      <c r="AO21" s="21" t="str">
        <f t="shared" si="12"/>
        <v>Mateus Alves</v>
      </c>
      <c r="AP21" s="140">
        <f t="shared" si="4"/>
        <v>0</v>
      </c>
      <c r="AQ21" s="139">
        <f t="shared" si="5"/>
        <v>23</v>
      </c>
      <c r="AR21" s="38">
        <f t="shared" si="6"/>
        <v>0</v>
      </c>
      <c r="AS21" s="38">
        <f t="shared" si="7"/>
        <v>0</v>
      </c>
      <c r="AT21" s="39">
        <f t="shared" si="8"/>
        <v>23</v>
      </c>
    </row>
    <row r="22" spans="2:46" ht="15.75" thickBot="1">
      <c r="D22" s="10"/>
      <c r="E22" s="74" t="s">
        <v>81</v>
      </c>
      <c r="F22" s="5"/>
      <c r="G22" s="11"/>
      <c r="K22" s="5"/>
      <c r="U22" s="87" t="str">
        <f>Cadastros!I29</f>
        <v>Patricia Costa</v>
      </c>
      <c r="V22" s="86">
        <f>COUNTIFS(H$39:H420,U22,K$39:K420,V$4)</f>
        <v>0</v>
      </c>
      <c r="W22" s="14">
        <f>COUNTIFS(H$39:H420,U22,K$39:K420,W$4)</f>
        <v>0</v>
      </c>
      <c r="X22" s="14">
        <f>COUNTIFS(H$39:H420,U22,K$39:K420,X$4)</f>
        <v>0</v>
      </c>
      <c r="Y22" s="15">
        <f t="shared" si="13"/>
        <v>0</v>
      </c>
      <c r="AA22" s="22" t="str">
        <f t="shared" si="14"/>
        <v>Patricia Costa</v>
      </c>
      <c r="AB22" s="30">
        <f>SUMIFS(J$102:J347,H$102:H347,AA22,E$102:E347,"SAL")</f>
        <v>0</v>
      </c>
      <c r="AC22" s="29">
        <f>SUMIFS(J$102:J421,H$102:H421,AA22,E$102:E421,"SAM")</f>
        <v>0</v>
      </c>
      <c r="AD22" s="29">
        <f>SUMIFS(J$102:J421,H$102:H421,AA22,E$102:E421,"NE")</f>
        <v>0</v>
      </c>
      <c r="AE22" s="29">
        <f>SUMIFS(J$102:J421,H$102:H421,AA22,E$102:E421,"SAIL")</f>
        <v>0</v>
      </c>
      <c r="AF22" s="31">
        <f t="shared" si="15"/>
        <v>0</v>
      </c>
      <c r="AH22" s="22" t="str">
        <f t="shared" si="16"/>
        <v>Patricia Costa</v>
      </c>
      <c r="AI22" s="30">
        <f>COUNTIFS(H$102:H421,AH22,E$102:E421,"SAL")</f>
        <v>0</v>
      </c>
      <c r="AJ22" s="29">
        <f t="shared" si="2"/>
        <v>0</v>
      </c>
      <c r="AK22" s="29">
        <f t="shared" si="9"/>
        <v>0</v>
      </c>
      <c r="AL22" s="29">
        <f>COUNTIFS(H$102:H421,AH22,E$102:E421,"SAIL")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COUNTIFS(H$39:H421,U23,K$39:K421,V$4)</f>
        <v>0</v>
      </c>
      <c r="W23" s="18">
        <f>COUNTIFS(H$39:H421,U23,K$39:K421,W$4)</f>
        <v>0</v>
      </c>
      <c r="X23" s="18">
        <f>COUNTIFS(H$39:H421,U23,K$39:K421,X$4)</f>
        <v>0</v>
      </c>
      <c r="Y23" s="19">
        <f t="shared" si="13"/>
        <v>0</v>
      </c>
      <c r="AA23" s="21" t="str">
        <f t="shared" si="14"/>
        <v>Rafaela Ribeiro</v>
      </c>
      <c r="AB23" s="37">
        <f>SUMIFS(J$102:J348,H$102:H348,AA23,E$102:E348,"SAL")</f>
        <v>0</v>
      </c>
      <c r="AC23" s="38">
        <f>SUMIFS(J$102:J422,H$102:H422,AA23,E$102:E422,"SAM")</f>
        <v>0</v>
      </c>
      <c r="AD23" s="38">
        <f>SUMIFS(J$102:J422,H$102:H422,AA23,E$102:E422,"NE")</f>
        <v>0</v>
      </c>
      <c r="AE23" s="38">
        <f>SUMIFS(J$102:J422,H$102:H422,AA23,E$102:E422,"SAIL")</f>
        <v>0</v>
      </c>
      <c r="AF23" s="39">
        <f t="shared" si="15"/>
        <v>0</v>
      </c>
      <c r="AH23" s="21" t="str">
        <f t="shared" si="16"/>
        <v>Rafaela Ribeiro</v>
      </c>
      <c r="AI23" s="37">
        <f>COUNTIFS(H$102:H422,AH23,E$102:E422,"SAL")</f>
        <v>0</v>
      </c>
      <c r="AJ23" s="38">
        <f t="shared" si="2"/>
        <v>0</v>
      </c>
      <c r="AK23" s="38">
        <f t="shared" si="9"/>
        <v>0</v>
      </c>
      <c r="AL23" s="38">
        <f>COUNTIFS(H$102:H422,AH23,E$102:E422,"SAIL")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COUNTIFS(H$39:H422,U24,K$39:K422,V$4)</f>
        <v>1</v>
      </c>
      <c r="W24" s="14">
        <f>COUNTIFS(H$39:H422,U24,K$39:K422,W$4)</f>
        <v>0</v>
      </c>
      <c r="X24" s="14">
        <f>COUNTIFS(H$39:H422,U24,K$39:K422,X$4)</f>
        <v>0</v>
      </c>
      <c r="Y24" s="15">
        <f t="shared" si="13"/>
        <v>1</v>
      </c>
      <c r="AA24" s="22" t="str">
        <f t="shared" si="14"/>
        <v>Renan Maiato</v>
      </c>
      <c r="AB24" s="30">
        <f>SUMIFS(J$102:J349,H$102:H349,AA24,E$102:E349,"SAL")</f>
        <v>0</v>
      </c>
      <c r="AC24" s="29">
        <f>SUMIFS(J$102:J423,H$102:H423,AA24,E$102:E423,"SAM")</f>
        <v>864</v>
      </c>
      <c r="AD24" s="29">
        <f>SUMIFS(J$102:J423,H$102:H423,AA24,E$102:E423,"NE")</f>
        <v>0</v>
      </c>
      <c r="AE24" s="29">
        <f>SUMIFS(J$102:J423,H$102:H423,AA24,E$102:E423,"SAIL")</f>
        <v>0</v>
      </c>
      <c r="AF24" s="31">
        <f t="shared" si="15"/>
        <v>864</v>
      </c>
      <c r="AH24" s="22" t="str">
        <f t="shared" si="16"/>
        <v>Renan Maiato</v>
      </c>
      <c r="AI24" s="30">
        <f>COUNTIFS(H$102:H423,AH24,E$102:E423,"SAL")</f>
        <v>0</v>
      </c>
      <c r="AJ24" s="29">
        <f t="shared" si="2"/>
        <v>1</v>
      </c>
      <c r="AK24" s="29">
        <f t="shared" si="9"/>
        <v>0</v>
      </c>
      <c r="AL24" s="29">
        <f>COUNTIFS(H$102:H423,AH24,E$102:E423,"SAIL")</f>
        <v>0</v>
      </c>
      <c r="AM24" s="31">
        <f t="shared" si="3"/>
        <v>1</v>
      </c>
      <c r="AO24" s="22" t="str">
        <f t="shared" si="12"/>
        <v>Renan Maiato</v>
      </c>
      <c r="AP24" s="30">
        <f t="shared" si="4"/>
        <v>0</v>
      </c>
      <c r="AQ24" s="29">
        <f t="shared" si="5"/>
        <v>11.5</v>
      </c>
      <c r="AR24" s="29">
        <f t="shared" si="6"/>
        <v>0</v>
      </c>
      <c r="AS24" s="29">
        <f t="shared" si="7"/>
        <v>0</v>
      </c>
      <c r="AT24" s="31">
        <f t="shared" si="8"/>
        <v>11.5</v>
      </c>
    </row>
    <row r="25" spans="2:46" ht="15.75" thickBot="1">
      <c r="D25" s="10"/>
      <c r="E25" s="74" t="s">
        <v>84</v>
      </c>
      <c r="F25" s="5"/>
      <c r="G25" s="11"/>
      <c r="K25" s="5"/>
      <c r="U25" s="87" t="str">
        <f>Cadastros!I32</f>
        <v>Sabrine Neves</v>
      </c>
      <c r="V25" s="85">
        <f>COUNTIFS(H$39:H423,U25,K$39:K423,V$4)</f>
        <v>3</v>
      </c>
      <c r="W25" s="18">
        <f>COUNTIFS(H$39:H423,U25,K$39:K423,W$4)</f>
        <v>1</v>
      </c>
      <c r="X25" s="18">
        <f>COUNTIFS(H$39:H423,U25,K$39:K423,X$4)</f>
        <v>0</v>
      </c>
      <c r="Y25" s="19">
        <f t="shared" si="13"/>
        <v>4</v>
      </c>
      <c r="AA25" s="21" t="str">
        <f t="shared" si="14"/>
        <v>Sabrine Neves</v>
      </c>
      <c r="AB25" s="37">
        <f>SUMIFS(J$102:J350,H$102:H350,AA25,E$102:E350,"SAL")</f>
        <v>851</v>
      </c>
      <c r="AC25" s="38">
        <f>SUMIFS(J$102:J424,H$102:H424,AA25,E$102:E424,"SAM")</f>
        <v>598</v>
      </c>
      <c r="AD25" s="38">
        <f>SUMIFS(J$102:J424,H$102:H424,AA25,E$102:E424,"NE")</f>
        <v>0</v>
      </c>
      <c r="AE25" s="38">
        <f>SUMIFS(J$102:J424,H$102:H424,AA25,E$102:E424,"SAIL")</f>
        <v>0</v>
      </c>
      <c r="AF25" s="39">
        <f t="shared" si="15"/>
        <v>1449</v>
      </c>
      <c r="AH25" s="21" t="str">
        <f t="shared" si="16"/>
        <v>Sabrine Neves</v>
      </c>
      <c r="AI25" s="37">
        <f>COUNTIFS(H$102:H424,AH25,E$102:E424,"SAL")</f>
        <v>1</v>
      </c>
      <c r="AJ25" s="38">
        <f t="shared" si="2"/>
        <v>1</v>
      </c>
      <c r="AK25" s="38">
        <f t="shared" si="9"/>
        <v>0</v>
      </c>
      <c r="AL25" s="38">
        <f>COUNTIFS(H$102:H424,AH25,E$102:E424,"SAIL")</f>
        <v>0</v>
      </c>
      <c r="AM25" s="39">
        <f t="shared" si="3"/>
        <v>2</v>
      </c>
      <c r="AO25" s="21" t="str">
        <f t="shared" si="12"/>
        <v>Sabrine Neves</v>
      </c>
      <c r="AP25" s="140">
        <f t="shared" si="4"/>
        <v>10</v>
      </c>
      <c r="AQ25" s="139">
        <f t="shared" si="5"/>
        <v>11.5</v>
      </c>
      <c r="AR25" s="38">
        <f t="shared" si="6"/>
        <v>0</v>
      </c>
      <c r="AS25" s="38">
        <f t="shared" si="7"/>
        <v>0</v>
      </c>
      <c r="AT25" s="39">
        <f t="shared" si="8"/>
        <v>21.5</v>
      </c>
    </row>
    <row r="26" spans="2:46" ht="15.75" thickBot="1">
      <c r="D26" s="10"/>
      <c r="E26" s="74" t="s">
        <v>24</v>
      </c>
      <c r="F26" s="5"/>
      <c r="G26" s="11"/>
      <c r="K26" s="5"/>
      <c r="U26" s="87" t="str">
        <f>Cadastros!I33</f>
        <v>Victor Ferreira</v>
      </c>
      <c r="V26" s="86">
        <f>COUNTIFS(H$39:H424,U26,K$39:K424,V$4)</f>
        <v>7</v>
      </c>
      <c r="W26" s="14">
        <f>COUNTIFS(H$39:H424,U26,K$39:K424,W$4)</f>
        <v>1</v>
      </c>
      <c r="X26" s="14">
        <f>COUNTIFS(H$39:H424,U26,K$39:K424,X$4)</f>
        <v>0</v>
      </c>
      <c r="Y26" s="15">
        <f t="shared" si="13"/>
        <v>8</v>
      </c>
      <c r="AA26" s="22" t="str">
        <f t="shared" si="14"/>
        <v>Victor Ferreira</v>
      </c>
      <c r="AB26" s="30">
        <f>SUMIFS(J$102:J351,H$102:H351,AA26,E$102:E351,"SAL")</f>
        <v>0</v>
      </c>
      <c r="AC26" s="29">
        <f>SUMIFS(J$102:J425,H$102:H425,AA26,E$102:E425,"SAM")</f>
        <v>70</v>
      </c>
      <c r="AD26" s="29">
        <f>SUMIFS(J$102:J425,H$102:H425,AA26,E$102:E425,"NE")</f>
        <v>0</v>
      </c>
      <c r="AE26" s="29">
        <f>SUMIFS(J$102:J425,H$102:H425,AA26,E$102:E425,"SAIL")</f>
        <v>0</v>
      </c>
      <c r="AF26" s="31">
        <f t="shared" si="15"/>
        <v>70</v>
      </c>
      <c r="AH26" s="22" t="str">
        <f t="shared" si="16"/>
        <v>Victor Ferreira</v>
      </c>
      <c r="AI26" s="30">
        <f>COUNTIFS(H$102:H425,AH26,E$102:E425,"SAL")</f>
        <v>0</v>
      </c>
      <c r="AJ26" s="29">
        <f t="shared" si="2"/>
        <v>5</v>
      </c>
      <c r="AK26" s="29">
        <f t="shared" si="9"/>
        <v>0</v>
      </c>
      <c r="AL26" s="29">
        <f>COUNTIFS(H$102:H425,AH26,E$102:E425,"SAIL")</f>
        <v>0</v>
      </c>
      <c r="AM26" s="31">
        <f t="shared" si="3"/>
        <v>5</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COUNTIFS(H$39:H425,U27,K$39:K425,V$4)</f>
        <v>8</v>
      </c>
      <c r="W27" s="18">
        <f>COUNTIFS(H$39:H425,U27,K$39:K425,W$4)</f>
        <v>0</v>
      </c>
      <c r="X27" s="18">
        <f>COUNTIFS(H$39:H425,U27,K$39:K425,X$4)</f>
        <v>0</v>
      </c>
      <c r="Y27" s="19">
        <f t="shared" si="13"/>
        <v>8</v>
      </c>
      <c r="AA27" s="21" t="str">
        <f t="shared" si="14"/>
        <v>Erick Vicente</v>
      </c>
      <c r="AB27" s="37">
        <f>SUMIFS(J$102:J352,H$102:H352,AA27,E$102:E352,"SAL")</f>
        <v>0</v>
      </c>
      <c r="AC27" s="38">
        <f>SUMIFS(J$102:J426,H$102:H426,AA27,E$102:E426,"SAM")</f>
        <v>387</v>
      </c>
      <c r="AD27" s="38">
        <f>SUMIFS(J$102:J426,H$102:H426,AA27,E$102:E426,"NE")</f>
        <v>0</v>
      </c>
      <c r="AE27" s="38">
        <f>SUMIFS(J$102:J426,H$102:H426,AA27,E$102:E426,"SAIL")</f>
        <v>0</v>
      </c>
      <c r="AF27" s="39">
        <f t="shared" si="15"/>
        <v>387</v>
      </c>
      <c r="AH27" s="21" t="str">
        <f t="shared" si="16"/>
        <v>Erick Vicente</v>
      </c>
      <c r="AI27" s="37">
        <f>COUNTIFS(H$102:H426,AH27,E$102:E426,"SAL")</f>
        <v>0</v>
      </c>
      <c r="AJ27" s="38">
        <f t="shared" si="2"/>
        <v>2</v>
      </c>
      <c r="AK27" s="38">
        <f t="shared" si="9"/>
        <v>0</v>
      </c>
      <c r="AL27" s="38">
        <f>COUNTIFS(H$102:H426,AH27,E$102:E426,"SAIL")</f>
        <v>0</v>
      </c>
      <c r="AM27" s="39">
        <f t="shared" si="3"/>
        <v>2</v>
      </c>
      <c r="AO27" s="21" t="str">
        <f t="shared" si="12"/>
        <v>Erick Vicente</v>
      </c>
      <c r="AP27" s="140">
        <f t="shared" si="4"/>
        <v>0</v>
      </c>
      <c r="AQ27" s="139">
        <f t="shared" si="5"/>
        <v>23</v>
      </c>
      <c r="AR27" s="38">
        <f t="shared" si="6"/>
        <v>0</v>
      </c>
      <c r="AS27" s="38">
        <f t="shared" si="7"/>
        <v>0</v>
      </c>
      <c r="AT27" s="39">
        <f t="shared" si="8"/>
        <v>23</v>
      </c>
    </row>
    <row r="28" spans="2:46" ht="15.75" thickBot="1">
      <c r="D28" s="10"/>
      <c r="E28" s="74" t="s">
        <v>25</v>
      </c>
      <c r="F28" s="5"/>
      <c r="G28" s="11"/>
      <c r="K28" s="5"/>
      <c r="U28" s="87" t="str">
        <f>Cadastros!I35</f>
        <v>Rafaela Sampaio</v>
      </c>
      <c r="V28" s="86">
        <f>COUNTIFS(H$39:H426,U28,K$39:K426,V$4)</f>
        <v>3</v>
      </c>
      <c r="W28" s="14">
        <f>COUNTIFS(H$39:H426,U28,K$39:K426,W$4)</f>
        <v>0</v>
      </c>
      <c r="X28" s="14">
        <f>COUNTIFS(H$39:H426,U28,K$39:K426,X$4)</f>
        <v>0</v>
      </c>
      <c r="Y28" s="15">
        <f t="shared" si="13"/>
        <v>3</v>
      </c>
      <c r="AA28" s="22" t="str">
        <f t="shared" si="14"/>
        <v>Rafaela Sampaio</v>
      </c>
      <c r="AB28" s="30">
        <f>SUMIFS(J$102:J353,H$102:H353,AA28,E$102:E353,"SAL")</f>
        <v>2898</v>
      </c>
      <c r="AC28" s="29">
        <f>SUMIFS(J$102:J427,H$102:H427,AA28,E$102:E427,"SAM")</f>
        <v>0</v>
      </c>
      <c r="AD28" s="29">
        <f>SUMIFS(J$102:J427,H$102:H427,AA28,E$102:E427,"NE")</f>
        <v>0</v>
      </c>
      <c r="AE28" s="29">
        <f>SUMIFS(J$102:J427,H$102:H427,AA28,E$102:E427,"SAIL")</f>
        <v>0</v>
      </c>
      <c r="AF28" s="31">
        <f t="shared" si="15"/>
        <v>2898</v>
      </c>
      <c r="AH28" s="22" t="str">
        <f t="shared" si="16"/>
        <v>Rafaela Sampaio</v>
      </c>
      <c r="AI28" s="30">
        <f>COUNTIFS(H$102:H427,AH28,E$102:E427,"SAL")</f>
        <v>1</v>
      </c>
      <c r="AJ28" s="29">
        <f t="shared" si="2"/>
        <v>0</v>
      </c>
      <c r="AK28" s="29">
        <f t="shared" si="9"/>
        <v>0</v>
      </c>
      <c r="AL28" s="29">
        <f>COUNTIFS(H$102:H427,AH28,E$102:E427,"SAIL")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COUNTIFS(H$39:H427,U29,K$39:K427,V$4)</f>
        <v>0</v>
      </c>
      <c r="W29" s="98">
        <f>COUNTIFS(H$39:H427,U29,K$39:K427,W$4)</f>
        <v>0</v>
      </c>
      <c r="X29" s="98">
        <f>COUNTIFS(H$39:H427,U29,K$39:K427,X$4)</f>
        <v>0</v>
      </c>
      <c r="Y29" s="99">
        <f t="shared" si="13"/>
        <v>0</v>
      </c>
      <c r="AA29" s="89" t="str">
        <f t="shared" si="14"/>
        <v>Laysa Gabriela</v>
      </c>
      <c r="AB29" s="90">
        <f>SUMIFS(J$102:J354,H$102:H354,AA29,E$102:E354,"SAL")</f>
        <v>0</v>
      </c>
      <c r="AC29" s="91">
        <f>SUMIFS(J$102:J428,H$102:H428,AA29,E$102:E428,"SAM")</f>
        <v>0</v>
      </c>
      <c r="AD29" s="91">
        <f>SUMIFS(J$102:J428,H$102:H428,AA29,E$102:E428,"NE")</f>
        <v>0</v>
      </c>
      <c r="AE29" s="91">
        <f>SUMIFS(J$102:J428,H$102:H428,AA29,E$102:E428,"SAIL")</f>
        <v>0</v>
      </c>
      <c r="AF29" s="92">
        <f t="shared" si="15"/>
        <v>0</v>
      </c>
      <c r="AH29" s="89" t="str">
        <f t="shared" si="16"/>
        <v>Laysa Gabriela</v>
      </c>
      <c r="AI29" s="90">
        <f>COUNTIFS(H$102:H428,AH29,E$102:E428,"SAL")</f>
        <v>0</v>
      </c>
      <c r="AJ29" s="91">
        <f t="shared" si="2"/>
        <v>0</v>
      </c>
      <c r="AK29" s="91">
        <f t="shared" si="9"/>
        <v>0</v>
      </c>
      <c r="AL29" s="91">
        <f>COUNTIFS(H$102:H428,AH29,E$102:E428,"SAIL")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91</v>
      </c>
      <c r="W30" s="20">
        <f>SUM(W5:W29)</f>
        <v>9</v>
      </c>
      <c r="X30" s="20">
        <f>SUM(X5:X29)</f>
        <v>0</v>
      </c>
      <c r="Y30" s="100">
        <f>SUM(Y5:Y29)</f>
        <v>100</v>
      </c>
      <c r="AA30" s="62" t="s">
        <v>88</v>
      </c>
      <c r="AB30" s="79">
        <f>SUM(AB5:AB29)</f>
        <v>5895</v>
      </c>
      <c r="AC30" s="80">
        <f>SUM(AC5:AC29)</f>
        <v>5876</v>
      </c>
      <c r="AD30" s="80">
        <f>SUM(AD5:AD29)</f>
        <v>2627</v>
      </c>
      <c r="AE30" s="81">
        <f>SUM(AE5:AE29)</f>
        <v>3778</v>
      </c>
      <c r="AF30" s="62">
        <f>SUM(AB30:AE30)</f>
        <v>18176</v>
      </c>
      <c r="AH30" s="62" t="s">
        <v>88</v>
      </c>
      <c r="AI30" s="79">
        <f>SUM(AI5:AI29)</f>
        <v>4</v>
      </c>
      <c r="AJ30" s="80">
        <f>SUM(AJ5:AJ29)</f>
        <v>16</v>
      </c>
      <c r="AK30" s="80">
        <f>SUM(AK5:AK29)</f>
        <v>18</v>
      </c>
      <c r="AL30" s="81">
        <f>SUM(AL5:AL29)</f>
        <v>1</v>
      </c>
      <c r="AM30" s="62">
        <f>SUM(AI30:AL30)</f>
        <v>39</v>
      </c>
      <c r="AO30" s="62" t="s">
        <v>88</v>
      </c>
      <c r="AP30" s="79">
        <f>SUM(AP5:AP29)</f>
        <v>50</v>
      </c>
      <c r="AQ30" s="80">
        <f>SUM(AQ5:AQ29)</f>
        <v>120.5</v>
      </c>
      <c r="AR30" s="80">
        <f>SUM(AR5:AR29)</f>
        <v>15</v>
      </c>
      <c r="AS30" s="81">
        <f>SUM(AS5:AS29)</f>
        <v>40</v>
      </c>
      <c r="AT30" s="62">
        <f>SUM(AT5:AT29)</f>
        <v>225.5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v>45812</v>
      </c>
      <c r="B40" s="5">
        <v>118384</v>
      </c>
      <c r="C40" s="4">
        <v>45821</v>
      </c>
      <c r="D40" s="5">
        <v>94824</v>
      </c>
      <c r="E40" s="5" t="s">
        <v>9</v>
      </c>
      <c r="F40" s="5" t="s">
        <v>34</v>
      </c>
      <c r="G40" t="s">
        <v>513</v>
      </c>
      <c r="H40" s="5" t="s">
        <v>61</v>
      </c>
      <c r="I40" s="5" t="s">
        <v>28</v>
      </c>
      <c r="J40" s="5">
        <v>887</v>
      </c>
      <c r="K40" s="5" t="s">
        <v>10</v>
      </c>
      <c r="L40" s="5">
        <v>2</v>
      </c>
      <c r="M40" s="5" t="s">
        <v>33</v>
      </c>
      <c r="N40" s="5" t="s">
        <v>33</v>
      </c>
      <c r="O40" s="5">
        <v>7</v>
      </c>
      <c r="P40" s="5" t="s">
        <v>8</v>
      </c>
      <c r="Q40" s="5">
        <v>10</v>
      </c>
      <c r="R40" s="5">
        <v>2</v>
      </c>
    </row>
    <row r="41" spans="1:18">
      <c r="A41" s="4">
        <v>45848</v>
      </c>
      <c r="B41" s="5">
        <v>120662</v>
      </c>
      <c r="C41" s="4">
        <v>45848</v>
      </c>
      <c r="D41" s="5">
        <v>95351</v>
      </c>
      <c r="E41" s="5" t="s">
        <v>16</v>
      </c>
      <c r="F41" s="5" t="s">
        <v>34</v>
      </c>
      <c r="G41" t="s">
        <v>514</v>
      </c>
      <c r="H41" s="5" t="s">
        <v>56</v>
      </c>
      <c r="I41" s="5" t="s">
        <v>28</v>
      </c>
      <c r="J41" s="5">
        <v>39</v>
      </c>
      <c r="K41" s="5" t="s">
        <v>10</v>
      </c>
      <c r="L41" s="5">
        <v>0</v>
      </c>
      <c r="M41" s="5" t="s">
        <v>29</v>
      </c>
      <c r="N41" s="5" t="s">
        <v>33</v>
      </c>
      <c r="O41" s="5">
        <v>0</v>
      </c>
      <c r="P41" s="5" t="s">
        <v>36</v>
      </c>
      <c r="Q41" s="5">
        <v>0</v>
      </c>
      <c r="R41" s="5">
        <v>3</v>
      </c>
    </row>
    <row r="42" spans="1:18">
      <c r="A42" s="4">
        <v>45838</v>
      </c>
      <c r="B42" s="5">
        <v>120419</v>
      </c>
      <c r="C42" s="4">
        <v>45838</v>
      </c>
      <c r="D42" s="5">
        <v>95109</v>
      </c>
      <c r="E42" s="5" t="s">
        <v>16</v>
      </c>
      <c r="F42" s="5" t="s">
        <v>34</v>
      </c>
      <c r="G42" t="s">
        <v>515</v>
      </c>
      <c r="H42" s="5" t="s">
        <v>56</v>
      </c>
      <c r="I42" s="5" t="s">
        <v>28</v>
      </c>
      <c r="J42" s="5">
        <v>106</v>
      </c>
      <c r="K42" s="5" t="s">
        <v>10</v>
      </c>
      <c r="L42" s="5">
        <v>0</v>
      </c>
      <c r="M42" s="5" t="s">
        <v>33</v>
      </c>
      <c r="N42" s="5" t="s">
        <v>33</v>
      </c>
      <c r="O42" s="5">
        <v>0</v>
      </c>
      <c r="P42" s="5" t="s">
        <v>36</v>
      </c>
      <c r="Q42" s="5">
        <v>0</v>
      </c>
      <c r="R42" s="5">
        <v>3</v>
      </c>
    </row>
    <row r="43" spans="1:18">
      <c r="A43" s="4">
        <v>45825</v>
      </c>
      <c r="B43" s="5">
        <v>115963</v>
      </c>
      <c r="C43" s="4">
        <v>45838</v>
      </c>
      <c r="D43" s="5">
        <v>95110</v>
      </c>
      <c r="E43" s="5" t="s">
        <v>18</v>
      </c>
      <c r="F43" s="5" t="s">
        <v>38</v>
      </c>
      <c r="G43" t="s">
        <v>516</v>
      </c>
      <c r="H43" s="5" t="s">
        <v>39</v>
      </c>
      <c r="I43" s="5" t="s">
        <v>43</v>
      </c>
      <c r="J43" s="5">
        <v>205</v>
      </c>
      <c r="K43" s="5" t="s">
        <v>10</v>
      </c>
      <c r="L43" s="5">
        <v>0</v>
      </c>
      <c r="M43" s="5" t="s">
        <v>33</v>
      </c>
      <c r="N43" s="5" t="s">
        <v>33</v>
      </c>
      <c r="O43" s="5">
        <v>9</v>
      </c>
      <c r="P43" s="5" t="s">
        <v>14</v>
      </c>
      <c r="Q43" s="5">
        <v>10</v>
      </c>
      <c r="R43" s="5">
        <v>3</v>
      </c>
    </row>
    <row r="44" spans="1:18">
      <c r="A44" s="4">
        <v>45820</v>
      </c>
      <c r="B44" s="5">
        <v>120062</v>
      </c>
      <c r="C44" s="4">
        <v>45838</v>
      </c>
      <c r="D44" s="5">
        <v>95108</v>
      </c>
      <c r="E44" s="5" t="s">
        <v>9</v>
      </c>
      <c r="F44" s="5" t="s">
        <v>34</v>
      </c>
      <c r="G44" t="s">
        <v>517</v>
      </c>
      <c r="H44" s="5" t="s">
        <v>518</v>
      </c>
      <c r="I44" s="5" t="s">
        <v>32</v>
      </c>
      <c r="J44" s="5">
        <v>227</v>
      </c>
      <c r="K44" s="5" t="s">
        <v>10</v>
      </c>
      <c r="L44" s="5">
        <v>2</v>
      </c>
      <c r="M44" s="5" t="s">
        <v>33</v>
      </c>
      <c r="N44" s="5" t="s">
        <v>33</v>
      </c>
      <c r="O44" s="5">
        <v>12</v>
      </c>
      <c r="P44" s="5" t="s">
        <v>14</v>
      </c>
      <c r="Q44" s="5">
        <v>8</v>
      </c>
      <c r="R44" s="5">
        <v>3</v>
      </c>
    </row>
    <row r="45" spans="1:18">
      <c r="A45" s="4">
        <v>45833</v>
      </c>
      <c r="B45" s="5">
        <v>119008</v>
      </c>
      <c r="C45" s="4">
        <v>45838</v>
      </c>
      <c r="D45" s="5">
        <v>95101</v>
      </c>
      <c r="E45" s="5" t="s">
        <v>16</v>
      </c>
      <c r="F45" s="5" t="s">
        <v>34</v>
      </c>
      <c r="G45" t="s">
        <v>519</v>
      </c>
      <c r="H45" s="5" t="s">
        <v>56</v>
      </c>
      <c r="I45" s="5" t="s">
        <v>28</v>
      </c>
      <c r="J45" s="5">
        <v>173</v>
      </c>
      <c r="K45" s="5" t="s">
        <v>10</v>
      </c>
      <c r="L45" s="5">
        <v>0</v>
      </c>
      <c r="M45" s="5" t="s">
        <v>29</v>
      </c>
      <c r="N45" s="5" t="s">
        <v>33</v>
      </c>
      <c r="O45" s="5">
        <v>3</v>
      </c>
      <c r="P45" s="5" t="s">
        <v>36</v>
      </c>
      <c r="Q45" s="5">
        <v>0</v>
      </c>
      <c r="R45" s="5">
        <v>3</v>
      </c>
    </row>
    <row r="46" spans="1:18">
      <c r="A46" s="4">
        <v>45832</v>
      </c>
      <c r="B46" s="5">
        <v>120234</v>
      </c>
      <c r="C46" s="4">
        <v>45838</v>
      </c>
      <c r="D46" s="5">
        <v>95100</v>
      </c>
      <c r="E46" s="5" t="s">
        <v>16</v>
      </c>
      <c r="F46" s="5" t="s">
        <v>34</v>
      </c>
      <c r="G46" t="s">
        <v>520</v>
      </c>
      <c r="H46" s="5" t="s">
        <v>56</v>
      </c>
      <c r="I46" s="5" t="s">
        <v>28</v>
      </c>
      <c r="J46" s="5">
        <v>90</v>
      </c>
      <c r="K46" s="5" t="s">
        <v>10</v>
      </c>
      <c r="L46" s="5">
        <v>0</v>
      </c>
      <c r="M46" s="5" t="s">
        <v>33</v>
      </c>
      <c r="N46" s="5" t="s">
        <v>33</v>
      </c>
      <c r="O46" s="5">
        <v>4</v>
      </c>
      <c r="P46" s="5" t="s">
        <v>36</v>
      </c>
      <c r="Q46" s="5">
        <v>0</v>
      </c>
      <c r="R46" s="5">
        <v>3</v>
      </c>
    </row>
    <row r="47" spans="1:18">
      <c r="A47" s="4">
        <v>45834</v>
      </c>
      <c r="B47" s="5">
        <v>120319</v>
      </c>
      <c r="C47" s="4">
        <v>45838</v>
      </c>
      <c r="D47" s="5">
        <v>95105</v>
      </c>
      <c r="E47" s="5" t="s">
        <v>16</v>
      </c>
      <c r="F47" s="5" t="s">
        <v>34</v>
      </c>
      <c r="G47" t="s">
        <v>521</v>
      </c>
      <c r="H47" s="5" t="s">
        <v>56</v>
      </c>
      <c r="I47" s="5" t="s">
        <v>28</v>
      </c>
      <c r="J47" s="5">
        <v>212</v>
      </c>
      <c r="K47" s="5" t="s">
        <v>10</v>
      </c>
      <c r="L47" s="5">
        <v>0</v>
      </c>
      <c r="M47" s="5" t="s">
        <v>33</v>
      </c>
      <c r="N47" s="5" t="s">
        <v>33</v>
      </c>
      <c r="O47" s="5">
        <v>2</v>
      </c>
      <c r="P47" s="5" t="s">
        <v>36</v>
      </c>
      <c r="Q47" s="5">
        <v>0</v>
      </c>
      <c r="R47" s="5">
        <v>3</v>
      </c>
    </row>
    <row r="48" spans="1:18">
      <c r="A48" s="4">
        <v>45835</v>
      </c>
      <c r="B48" s="5">
        <v>120370</v>
      </c>
      <c r="C48" s="4">
        <v>45838</v>
      </c>
      <c r="D48" s="5">
        <v>95104</v>
      </c>
      <c r="E48" s="5" t="s">
        <v>16</v>
      </c>
      <c r="F48" s="5" t="s">
        <v>34</v>
      </c>
      <c r="G48" t="s">
        <v>522</v>
      </c>
      <c r="H48" s="5" t="s">
        <v>56</v>
      </c>
      <c r="I48" s="5" t="s">
        <v>28</v>
      </c>
      <c r="J48" s="5">
        <v>98</v>
      </c>
      <c r="K48" s="5" t="s">
        <v>10</v>
      </c>
      <c r="L48" s="5">
        <v>0</v>
      </c>
      <c r="M48" s="5" t="s">
        <v>33</v>
      </c>
      <c r="N48" s="5" t="s">
        <v>33</v>
      </c>
      <c r="O48" s="5">
        <v>1</v>
      </c>
      <c r="P48" s="5" t="s">
        <v>36</v>
      </c>
      <c r="Q48" s="5">
        <v>0</v>
      </c>
      <c r="R48" s="5">
        <v>3</v>
      </c>
    </row>
    <row r="49" spans="1:18">
      <c r="A49" s="4">
        <v>45835</v>
      </c>
      <c r="B49" s="5">
        <v>120369</v>
      </c>
      <c r="C49" s="4">
        <v>45838</v>
      </c>
      <c r="D49" s="5">
        <v>95103</v>
      </c>
      <c r="E49" s="5" t="s">
        <v>16</v>
      </c>
      <c r="F49" s="5" t="s">
        <v>34</v>
      </c>
      <c r="G49" t="s">
        <v>523</v>
      </c>
      <c r="H49" s="5" t="s">
        <v>56</v>
      </c>
      <c r="I49" s="5" t="s">
        <v>28</v>
      </c>
      <c r="J49" s="5">
        <v>92</v>
      </c>
      <c r="K49" s="5" t="s">
        <v>10</v>
      </c>
      <c r="L49" s="5">
        <v>0</v>
      </c>
      <c r="M49" s="5" t="s">
        <v>33</v>
      </c>
      <c r="N49" s="5" t="s">
        <v>33</v>
      </c>
      <c r="O49" s="5">
        <v>1</v>
      </c>
      <c r="P49" s="5" t="s">
        <v>36</v>
      </c>
      <c r="Q49" s="5">
        <v>0</v>
      </c>
      <c r="R49" s="5">
        <v>3</v>
      </c>
    </row>
    <row r="50" spans="1:18">
      <c r="A50" s="4">
        <v>45834</v>
      </c>
      <c r="B50" s="5">
        <v>120131</v>
      </c>
      <c r="C50" s="4">
        <v>45838</v>
      </c>
      <c r="D50" s="5">
        <v>95102</v>
      </c>
      <c r="E50" s="5" t="s">
        <v>16</v>
      </c>
      <c r="F50" s="5" t="s">
        <v>34</v>
      </c>
      <c r="G50" t="s">
        <v>524</v>
      </c>
      <c r="H50" s="5" t="s">
        <v>56</v>
      </c>
      <c r="I50" s="5" t="s">
        <v>28</v>
      </c>
      <c r="J50" s="5">
        <v>215</v>
      </c>
      <c r="K50" s="5" t="s">
        <v>10</v>
      </c>
      <c r="L50" s="5">
        <v>0</v>
      </c>
      <c r="M50" s="5" t="s">
        <v>33</v>
      </c>
      <c r="N50" s="5" t="s">
        <v>33</v>
      </c>
      <c r="O50" s="5">
        <v>2</v>
      </c>
      <c r="P50" s="5" t="s">
        <v>36</v>
      </c>
      <c r="Q50" s="5">
        <v>0</v>
      </c>
      <c r="R50" s="5">
        <v>3</v>
      </c>
    </row>
    <row r="51" spans="1:18">
      <c r="A51" s="4">
        <v>45835</v>
      </c>
      <c r="B51" s="5">
        <v>120327</v>
      </c>
      <c r="C51" s="4">
        <v>45835</v>
      </c>
      <c r="D51" s="5">
        <v>95094</v>
      </c>
      <c r="E51" s="5" t="s">
        <v>16</v>
      </c>
      <c r="F51" s="5" t="s">
        <v>30</v>
      </c>
      <c r="G51" t="s">
        <v>525</v>
      </c>
      <c r="H51" s="5" t="s">
        <v>67</v>
      </c>
      <c r="I51" s="5" t="s">
        <v>43</v>
      </c>
      <c r="J51" s="5">
        <v>297</v>
      </c>
      <c r="K51" s="5" t="s">
        <v>10</v>
      </c>
      <c r="L51" s="5">
        <v>1</v>
      </c>
      <c r="M51" s="5" t="s">
        <v>33</v>
      </c>
      <c r="N51" s="5" t="s">
        <v>33</v>
      </c>
      <c r="O51" s="5">
        <v>0</v>
      </c>
      <c r="P51" s="5" t="s">
        <v>8</v>
      </c>
      <c r="Q51" s="5">
        <v>4</v>
      </c>
      <c r="R51" s="5">
        <v>3</v>
      </c>
    </row>
    <row r="52" spans="1:18">
      <c r="A52" s="4">
        <v>45505</v>
      </c>
      <c r="B52" s="5">
        <v>111563</v>
      </c>
      <c r="C52" s="4">
        <v>45835</v>
      </c>
      <c r="D52" s="5">
        <v>95092</v>
      </c>
      <c r="E52" s="5" t="s">
        <v>17</v>
      </c>
      <c r="F52" s="5" t="s">
        <v>34</v>
      </c>
      <c r="G52" t="s">
        <v>526</v>
      </c>
      <c r="H52" s="5" t="s">
        <v>518</v>
      </c>
      <c r="I52" s="5" t="s">
        <v>35</v>
      </c>
      <c r="J52" s="5">
        <v>807</v>
      </c>
      <c r="K52" s="5" t="s">
        <v>10</v>
      </c>
      <c r="L52" s="5">
        <v>1</v>
      </c>
      <c r="M52" s="5" t="s">
        <v>33</v>
      </c>
      <c r="N52" s="5" t="s">
        <v>33</v>
      </c>
      <c r="O52" s="5">
        <v>236</v>
      </c>
      <c r="P52" s="5" t="s">
        <v>14</v>
      </c>
      <c r="Q52" s="5">
        <v>20</v>
      </c>
      <c r="R52" s="5">
        <v>3</v>
      </c>
    </row>
    <row r="53" spans="1:18">
      <c r="A53" s="4">
        <v>45835</v>
      </c>
      <c r="B53" s="5">
        <v>44079</v>
      </c>
      <c r="C53" s="4">
        <v>45835</v>
      </c>
      <c r="D53" s="5">
        <v>95084</v>
      </c>
      <c r="E53" s="5" t="s">
        <v>18</v>
      </c>
      <c r="F53" s="5" t="s">
        <v>38</v>
      </c>
      <c r="G53" t="s">
        <v>527</v>
      </c>
      <c r="H53" s="5" t="s">
        <v>39</v>
      </c>
      <c r="I53" s="5" t="s">
        <v>43</v>
      </c>
      <c r="J53" s="5">
        <v>282</v>
      </c>
      <c r="K53" s="5" t="s">
        <v>10</v>
      </c>
      <c r="L53" s="5">
        <v>1</v>
      </c>
      <c r="M53" s="5" t="s">
        <v>33</v>
      </c>
      <c r="N53" s="5" t="s">
        <v>33</v>
      </c>
      <c r="O53" s="5">
        <v>0</v>
      </c>
      <c r="P53" s="5" t="s">
        <v>14</v>
      </c>
      <c r="Q53" s="5">
        <v>10</v>
      </c>
      <c r="R53" s="5">
        <v>3</v>
      </c>
    </row>
    <row r="54" spans="1:18">
      <c r="A54" s="4">
        <v>45824</v>
      </c>
      <c r="B54" s="5">
        <v>64378</v>
      </c>
      <c r="C54" s="4">
        <v>45835</v>
      </c>
      <c r="D54" s="5">
        <v>95082</v>
      </c>
      <c r="E54" s="5" t="s">
        <v>18</v>
      </c>
      <c r="F54" s="5" t="s">
        <v>38</v>
      </c>
      <c r="G54" t="s">
        <v>528</v>
      </c>
      <c r="H54" s="5" t="s">
        <v>67</v>
      </c>
      <c r="I54" s="5" t="s">
        <v>43</v>
      </c>
      <c r="J54" s="5">
        <v>1124</v>
      </c>
      <c r="K54" s="5" t="s">
        <v>10</v>
      </c>
      <c r="L54" s="5">
        <v>1</v>
      </c>
      <c r="M54" s="5" t="s">
        <v>33</v>
      </c>
      <c r="N54" s="5" t="s">
        <v>33</v>
      </c>
      <c r="O54" s="5">
        <v>9</v>
      </c>
      <c r="P54" s="5" t="s">
        <v>8</v>
      </c>
      <c r="Q54" s="5">
        <v>11.5</v>
      </c>
      <c r="R54" s="5">
        <v>3</v>
      </c>
    </row>
    <row r="55" spans="1:18">
      <c r="A55" s="4">
        <v>45805</v>
      </c>
      <c r="B55" s="5">
        <v>81635</v>
      </c>
      <c r="C55" s="4">
        <v>45835</v>
      </c>
      <c r="D55" s="5">
        <v>95072</v>
      </c>
      <c r="E55" s="5" t="s">
        <v>18</v>
      </c>
      <c r="F55" s="5" t="s">
        <v>38</v>
      </c>
      <c r="G55" t="s">
        <v>529</v>
      </c>
      <c r="H55" s="5" t="s">
        <v>47</v>
      </c>
      <c r="I55" s="5" t="s">
        <v>40</v>
      </c>
      <c r="J55" s="5">
        <v>390</v>
      </c>
      <c r="K55" s="5" t="s">
        <v>10</v>
      </c>
      <c r="L55" s="5">
        <v>1</v>
      </c>
      <c r="M55" s="5" t="s">
        <v>33</v>
      </c>
      <c r="N55" s="5" t="s">
        <v>33</v>
      </c>
      <c r="O55" s="5">
        <v>22</v>
      </c>
      <c r="P55" s="5" t="s">
        <v>14</v>
      </c>
      <c r="Q55" s="5">
        <v>10</v>
      </c>
      <c r="R55" s="5">
        <v>2</v>
      </c>
    </row>
    <row r="56" spans="1:18">
      <c r="A56" s="4">
        <v>45805</v>
      </c>
      <c r="B56" s="5">
        <v>118235</v>
      </c>
      <c r="C56" s="4">
        <v>45835</v>
      </c>
      <c r="D56" s="5">
        <v>95071</v>
      </c>
      <c r="E56" s="5" t="s">
        <v>9</v>
      </c>
      <c r="F56" s="5" t="s">
        <v>34</v>
      </c>
      <c r="G56" t="s">
        <v>530</v>
      </c>
      <c r="H56" s="5" t="s">
        <v>47</v>
      </c>
      <c r="I56" s="5" t="s">
        <v>40</v>
      </c>
      <c r="J56" s="5">
        <f>157+1050</f>
        <v>1207</v>
      </c>
      <c r="K56" s="5" t="s">
        <v>11</v>
      </c>
      <c r="L56" s="5">
        <v>2</v>
      </c>
      <c r="M56" s="5" t="s">
        <v>33</v>
      </c>
      <c r="N56" s="5" t="s">
        <v>29</v>
      </c>
      <c r="O56" s="5">
        <v>22</v>
      </c>
      <c r="P56" s="5" t="s">
        <v>14</v>
      </c>
      <c r="Q56" s="5">
        <v>13</v>
      </c>
      <c r="R56" s="5">
        <v>2</v>
      </c>
    </row>
    <row r="57" spans="1:18">
      <c r="A57" s="4">
        <v>45834</v>
      </c>
      <c r="B57" s="5">
        <v>120373</v>
      </c>
      <c r="C57" s="4">
        <v>45834</v>
      </c>
      <c r="D57" s="5">
        <v>95063</v>
      </c>
      <c r="E57" s="5" t="s">
        <v>16</v>
      </c>
      <c r="F57" s="5" t="s">
        <v>38</v>
      </c>
      <c r="G57" t="s">
        <v>531</v>
      </c>
      <c r="H57" s="5" t="s">
        <v>39</v>
      </c>
      <c r="I57" s="5" t="s">
        <v>45</v>
      </c>
      <c r="J57" s="5">
        <v>120</v>
      </c>
      <c r="K57" s="5" t="s">
        <v>10</v>
      </c>
      <c r="L57" s="5">
        <v>0</v>
      </c>
      <c r="M57" s="5" t="s">
        <v>33</v>
      </c>
      <c r="N57" s="5" t="s">
        <v>33</v>
      </c>
      <c r="O57" s="5">
        <v>0</v>
      </c>
      <c r="P57" s="5" t="s">
        <v>14</v>
      </c>
      <c r="Q57" s="5">
        <v>3</v>
      </c>
      <c r="R57" s="5">
        <v>3</v>
      </c>
    </row>
    <row r="58" spans="1:18">
      <c r="A58" s="4">
        <v>45817</v>
      </c>
      <c r="B58" s="5">
        <v>119943</v>
      </c>
      <c r="C58" s="4">
        <v>45834</v>
      </c>
      <c r="D58" s="5">
        <v>95062</v>
      </c>
      <c r="E58" s="5" t="s">
        <v>16</v>
      </c>
      <c r="F58" s="5" t="s">
        <v>38</v>
      </c>
      <c r="G58" t="s">
        <v>532</v>
      </c>
      <c r="H58" s="5" t="s">
        <v>39</v>
      </c>
      <c r="I58" s="5" t="s">
        <v>45</v>
      </c>
      <c r="J58" s="5">
        <v>127</v>
      </c>
      <c r="K58" s="5" t="s">
        <v>10</v>
      </c>
      <c r="L58" s="5">
        <v>0</v>
      </c>
      <c r="M58" s="5" t="s">
        <v>33</v>
      </c>
      <c r="N58" s="5" t="s">
        <v>33</v>
      </c>
      <c r="O58" s="5">
        <v>13</v>
      </c>
      <c r="P58" s="5" t="s">
        <v>14</v>
      </c>
      <c r="Q58" s="5">
        <v>3</v>
      </c>
      <c r="R58" s="5">
        <v>3</v>
      </c>
    </row>
    <row r="59" spans="1:18">
      <c r="A59" s="4">
        <v>45834</v>
      </c>
      <c r="B59" s="5">
        <v>120168</v>
      </c>
      <c r="C59" s="4">
        <v>45834</v>
      </c>
      <c r="D59" s="5">
        <v>95058</v>
      </c>
      <c r="E59" s="5" t="s">
        <v>16</v>
      </c>
      <c r="F59" s="5" t="s">
        <v>34</v>
      </c>
      <c r="G59" t="s">
        <v>533</v>
      </c>
      <c r="H59" s="5" t="s">
        <v>56</v>
      </c>
      <c r="I59" s="5" t="s">
        <v>28</v>
      </c>
      <c r="J59" s="5">
        <v>209</v>
      </c>
      <c r="K59" s="5" t="s">
        <v>10</v>
      </c>
      <c r="L59" s="5">
        <v>0</v>
      </c>
      <c r="M59" s="5" t="s">
        <v>33</v>
      </c>
      <c r="N59" s="5" t="s">
        <v>33</v>
      </c>
      <c r="O59" s="5">
        <v>0</v>
      </c>
      <c r="P59" s="5" t="s">
        <v>36</v>
      </c>
      <c r="Q59" s="5">
        <v>0</v>
      </c>
      <c r="R59" s="5">
        <v>3</v>
      </c>
    </row>
    <row r="60" spans="1:18">
      <c r="A60" s="4">
        <v>45817</v>
      </c>
      <c r="B60" s="5">
        <v>84332</v>
      </c>
      <c r="C60" s="4">
        <v>45834</v>
      </c>
      <c r="D60" s="5">
        <v>95055</v>
      </c>
      <c r="E60" s="5" t="s">
        <v>18</v>
      </c>
      <c r="F60" s="5" t="s">
        <v>38</v>
      </c>
      <c r="G60" t="s">
        <v>534</v>
      </c>
      <c r="H60" s="5" t="s">
        <v>67</v>
      </c>
      <c r="I60" s="5" t="s">
        <v>43</v>
      </c>
      <c r="J60" s="5">
        <v>689</v>
      </c>
      <c r="K60" s="5" t="s">
        <v>10</v>
      </c>
      <c r="L60" s="5">
        <v>2</v>
      </c>
      <c r="M60" s="5" t="s">
        <v>33</v>
      </c>
      <c r="N60" s="5" t="s">
        <v>33</v>
      </c>
      <c r="O60" s="5">
        <v>13</v>
      </c>
      <c r="P60" s="5" t="s">
        <v>8</v>
      </c>
      <c r="Q60" s="5">
        <v>11.5</v>
      </c>
      <c r="R60" s="5">
        <v>3</v>
      </c>
    </row>
    <row r="61" spans="1:18">
      <c r="A61" s="4">
        <v>45833</v>
      </c>
      <c r="B61" s="5">
        <v>120341</v>
      </c>
      <c r="C61" s="4">
        <v>45834</v>
      </c>
      <c r="D61" s="5">
        <v>95047</v>
      </c>
      <c r="E61" s="5" t="s">
        <v>16</v>
      </c>
      <c r="F61" s="5" t="s">
        <v>38</v>
      </c>
      <c r="G61" t="s">
        <v>535</v>
      </c>
      <c r="H61" s="5" t="s">
        <v>39</v>
      </c>
      <c r="I61" s="5" t="s">
        <v>45</v>
      </c>
      <c r="J61" s="5">
        <v>120</v>
      </c>
      <c r="K61" s="5" t="s">
        <v>10</v>
      </c>
      <c r="L61" s="5">
        <v>0</v>
      </c>
      <c r="M61" s="5" t="s">
        <v>33</v>
      </c>
      <c r="N61" s="5" t="s">
        <v>33</v>
      </c>
      <c r="O61" s="5">
        <v>1</v>
      </c>
      <c r="P61" s="5" t="s">
        <v>14</v>
      </c>
      <c r="Q61" s="5">
        <v>3</v>
      </c>
      <c r="R61" s="5">
        <v>3</v>
      </c>
    </row>
    <row r="62" spans="1:18">
      <c r="A62" s="4">
        <v>45833</v>
      </c>
      <c r="B62" s="5">
        <v>120294</v>
      </c>
      <c r="C62" s="4">
        <v>45834</v>
      </c>
      <c r="D62" s="5">
        <v>95045</v>
      </c>
      <c r="E62" s="5" t="s">
        <v>9</v>
      </c>
      <c r="F62" s="5" t="s">
        <v>34</v>
      </c>
      <c r="G62" t="s">
        <v>536</v>
      </c>
      <c r="H62" s="5" t="s">
        <v>65</v>
      </c>
      <c r="I62" s="5" t="s">
        <v>40</v>
      </c>
      <c r="J62" s="5">
        <f>54+253</f>
        <v>307</v>
      </c>
      <c r="K62" s="5" t="s">
        <v>10</v>
      </c>
      <c r="L62" s="5">
        <v>1</v>
      </c>
      <c r="M62" s="5" t="s">
        <v>33</v>
      </c>
      <c r="N62" s="5" t="s">
        <v>33</v>
      </c>
      <c r="O62" s="5">
        <v>1</v>
      </c>
      <c r="P62" s="5" t="s">
        <v>8</v>
      </c>
      <c r="Q62" s="5">
        <v>10</v>
      </c>
      <c r="R62" s="5">
        <v>2</v>
      </c>
    </row>
    <row r="63" spans="1:18">
      <c r="A63" s="4">
        <v>45820</v>
      </c>
      <c r="B63" s="5">
        <v>120081</v>
      </c>
      <c r="C63" s="4">
        <v>45833</v>
      </c>
      <c r="D63" s="5">
        <v>95034</v>
      </c>
      <c r="E63" s="5" t="s">
        <v>16</v>
      </c>
      <c r="F63" s="5" t="s">
        <v>38</v>
      </c>
      <c r="G63" t="s">
        <v>537</v>
      </c>
      <c r="H63" s="5" t="s">
        <v>39</v>
      </c>
      <c r="I63" s="5" t="s">
        <v>45</v>
      </c>
      <c r="J63" s="5">
        <v>206</v>
      </c>
      <c r="K63" s="5" t="s">
        <v>10</v>
      </c>
      <c r="L63" s="5">
        <v>0</v>
      </c>
      <c r="M63" s="5" t="s">
        <v>33</v>
      </c>
      <c r="N63" s="5" t="s">
        <v>33</v>
      </c>
      <c r="O63" s="5">
        <v>9</v>
      </c>
      <c r="P63" s="5" t="s">
        <v>14</v>
      </c>
      <c r="Q63" s="5">
        <v>3</v>
      </c>
      <c r="R63" s="5">
        <v>3</v>
      </c>
    </row>
    <row r="64" spans="1:18">
      <c r="A64" s="4">
        <v>45824</v>
      </c>
      <c r="B64" s="5">
        <v>120130</v>
      </c>
      <c r="C64" s="4">
        <v>45832</v>
      </c>
      <c r="D64" s="5">
        <v>95006</v>
      </c>
      <c r="E64" s="5" t="s">
        <v>16</v>
      </c>
      <c r="F64" s="5" t="s">
        <v>38</v>
      </c>
      <c r="G64" t="s">
        <v>538</v>
      </c>
      <c r="H64" s="5" t="s">
        <v>39</v>
      </c>
      <c r="I64" s="5" t="s">
        <v>45</v>
      </c>
      <c r="J64" s="5">
        <v>180</v>
      </c>
      <c r="K64" s="5" t="s">
        <v>10</v>
      </c>
      <c r="L64" s="5">
        <v>0</v>
      </c>
      <c r="M64" s="5" t="s">
        <v>33</v>
      </c>
      <c r="N64" s="5" t="s">
        <v>33</v>
      </c>
      <c r="O64" s="5">
        <v>6</v>
      </c>
      <c r="P64" s="5" t="s">
        <v>14</v>
      </c>
      <c r="Q64" s="5">
        <v>3</v>
      </c>
      <c r="R64" s="5">
        <v>3</v>
      </c>
    </row>
    <row r="65" spans="1:18">
      <c r="A65" s="4">
        <v>45826</v>
      </c>
      <c r="B65" s="5">
        <v>120190</v>
      </c>
      <c r="C65" s="4">
        <v>45832</v>
      </c>
      <c r="D65" s="5">
        <v>94997</v>
      </c>
      <c r="E65" s="5" t="s">
        <v>18</v>
      </c>
      <c r="F65" s="5" t="s">
        <v>34</v>
      </c>
      <c r="G65" t="s">
        <v>539</v>
      </c>
      <c r="H65" s="5" t="s">
        <v>27</v>
      </c>
      <c r="I65" s="5" t="s">
        <v>35</v>
      </c>
      <c r="J65" s="5">
        <v>851</v>
      </c>
      <c r="K65" s="5" t="s">
        <v>10</v>
      </c>
      <c r="L65" s="5">
        <v>1</v>
      </c>
      <c r="M65" s="5" t="s">
        <v>33</v>
      </c>
      <c r="N65" s="5" t="s">
        <v>33</v>
      </c>
      <c r="O65" s="5">
        <v>4</v>
      </c>
      <c r="P65" s="5" t="s">
        <v>8</v>
      </c>
      <c r="Q65" s="5">
        <v>11.5</v>
      </c>
      <c r="R65" s="5">
        <v>3</v>
      </c>
    </row>
    <row r="66" spans="1:18">
      <c r="A66" s="4">
        <v>45829</v>
      </c>
      <c r="B66" s="5">
        <v>120137</v>
      </c>
      <c r="C66" s="4">
        <v>45832</v>
      </c>
      <c r="D66" s="5">
        <v>94982</v>
      </c>
      <c r="E66" s="5" t="s">
        <v>18</v>
      </c>
      <c r="F66" s="5" t="s">
        <v>34</v>
      </c>
      <c r="G66" t="s">
        <v>540</v>
      </c>
      <c r="H66" s="5" t="s">
        <v>50</v>
      </c>
      <c r="I66" s="5" t="s">
        <v>40</v>
      </c>
      <c r="J66" s="5">
        <f>507+306</f>
        <v>813</v>
      </c>
      <c r="K66" s="5" t="s">
        <v>11</v>
      </c>
      <c r="L66" s="5">
        <v>0</v>
      </c>
      <c r="M66" s="5" t="s">
        <v>33</v>
      </c>
      <c r="N66" s="5" t="s">
        <v>29</v>
      </c>
      <c r="O66" s="5">
        <v>1</v>
      </c>
      <c r="P66" s="5" t="s">
        <v>8</v>
      </c>
      <c r="Q66" s="5">
        <v>26.5</v>
      </c>
      <c r="R66" s="5">
        <v>2</v>
      </c>
    </row>
    <row r="67" spans="1:18">
      <c r="A67" s="4">
        <v>45828</v>
      </c>
      <c r="B67" s="5">
        <v>118388</v>
      </c>
      <c r="C67" s="4">
        <v>45832</v>
      </c>
      <c r="D67" s="5">
        <v>94981</v>
      </c>
      <c r="E67" s="5" t="s">
        <v>9</v>
      </c>
      <c r="F67" s="5" t="s">
        <v>34</v>
      </c>
      <c r="G67" t="s">
        <v>541</v>
      </c>
      <c r="H67" s="5" t="s">
        <v>50</v>
      </c>
      <c r="I67" s="5" t="s">
        <v>40</v>
      </c>
      <c r="J67" s="5">
        <f>1632+531</f>
        <v>2163</v>
      </c>
      <c r="K67" s="5" t="s">
        <v>11</v>
      </c>
      <c r="L67" s="5">
        <v>1</v>
      </c>
      <c r="M67" s="5" t="s">
        <v>29</v>
      </c>
      <c r="N67" s="5" t="s">
        <v>29</v>
      </c>
      <c r="O67" s="5">
        <v>2</v>
      </c>
      <c r="P67" s="5" t="s">
        <v>8</v>
      </c>
      <c r="Q67" s="5">
        <v>20</v>
      </c>
      <c r="R67" s="5">
        <v>2</v>
      </c>
    </row>
    <row r="68" spans="1:18">
      <c r="A68" s="4">
        <v>45825</v>
      </c>
      <c r="B68" s="5">
        <v>119295</v>
      </c>
      <c r="C68" s="4">
        <v>45832</v>
      </c>
      <c r="D68" s="5">
        <v>94989</v>
      </c>
      <c r="E68" s="5" t="s">
        <v>9</v>
      </c>
      <c r="F68" s="5" t="s">
        <v>34</v>
      </c>
      <c r="G68" t="s">
        <v>542</v>
      </c>
      <c r="H68" s="5" t="s">
        <v>68</v>
      </c>
      <c r="I68" s="5" t="s">
        <v>40</v>
      </c>
      <c r="J68" s="5">
        <f>497+1597</f>
        <v>2094</v>
      </c>
      <c r="K68" s="5" t="s">
        <v>10</v>
      </c>
      <c r="L68" s="5">
        <v>1</v>
      </c>
      <c r="M68" s="5" t="s">
        <v>33</v>
      </c>
      <c r="N68" s="5" t="s">
        <v>33</v>
      </c>
      <c r="O68" s="5">
        <v>5</v>
      </c>
      <c r="P68" s="5" t="s">
        <v>8</v>
      </c>
      <c r="Q68" s="5">
        <v>10</v>
      </c>
      <c r="R68" s="5">
        <v>2</v>
      </c>
    </row>
    <row r="69" spans="1:18">
      <c r="A69" s="4">
        <v>45831</v>
      </c>
      <c r="B69" s="5">
        <v>120247</v>
      </c>
      <c r="C69" s="4">
        <v>45831</v>
      </c>
      <c r="D69" s="5">
        <v>94967</v>
      </c>
      <c r="E69" s="5" t="s">
        <v>18</v>
      </c>
      <c r="F69" s="5" t="s">
        <v>38</v>
      </c>
      <c r="G69" t="s">
        <v>543</v>
      </c>
      <c r="H69" s="5" t="s">
        <v>27</v>
      </c>
      <c r="I69" s="5" t="s">
        <v>35</v>
      </c>
      <c r="J69" s="5">
        <v>45</v>
      </c>
      <c r="K69" s="5" t="s">
        <v>10</v>
      </c>
      <c r="L69" s="5">
        <v>0</v>
      </c>
      <c r="M69" s="5" t="s">
        <v>33</v>
      </c>
      <c r="N69" s="5" t="s">
        <v>33</v>
      </c>
      <c r="O69" s="5">
        <v>0</v>
      </c>
      <c r="P69" s="5" t="s">
        <v>8</v>
      </c>
      <c r="Q69" s="5">
        <v>11.5</v>
      </c>
      <c r="R69" s="5">
        <v>3</v>
      </c>
    </row>
    <row r="70" spans="1:18">
      <c r="A70" s="4">
        <v>45831</v>
      </c>
      <c r="B70" s="5">
        <v>120258</v>
      </c>
      <c r="C70" s="4">
        <v>45831</v>
      </c>
      <c r="D70" s="5">
        <v>94965</v>
      </c>
      <c r="E70" s="5" t="s">
        <v>18</v>
      </c>
      <c r="F70" s="5" t="s">
        <v>34</v>
      </c>
      <c r="G70" t="s">
        <v>544</v>
      </c>
      <c r="H70" s="5" t="s">
        <v>35</v>
      </c>
      <c r="I70" s="5" t="s">
        <v>35</v>
      </c>
      <c r="J70" s="5">
        <v>20</v>
      </c>
      <c r="K70" s="5" t="s">
        <v>10</v>
      </c>
      <c r="L70" s="5">
        <v>0</v>
      </c>
      <c r="M70" s="5" t="s">
        <v>33</v>
      </c>
      <c r="N70" s="5" t="s">
        <v>33</v>
      </c>
      <c r="O70" s="5">
        <v>0</v>
      </c>
      <c r="P70" s="5" t="s">
        <v>36</v>
      </c>
      <c r="Q70" s="5">
        <v>0</v>
      </c>
      <c r="R70" s="5">
        <v>1</v>
      </c>
    </row>
    <row r="71" spans="1:18">
      <c r="A71" s="4">
        <v>45826</v>
      </c>
      <c r="B71" s="5">
        <v>120196</v>
      </c>
      <c r="C71" s="4">
        <v>45826</v>
      </c>
      <c r="D71" s="5">
        <v>94902</v>
      </c>
      <c r="E71" s="5" t="s">
        <v>18</v>
      </c>
      <c r="F71" s="5" t="s">
        <v>34</v>
      </c>
      <c r="G71" t="s">
        <v>545</v>
      </c>
      <c r="H71" s="5" t="s">
        <v>35</v>
      </c>
      <c r="I71" s="5" t="s">
        <v>35</v>
      </c>
      <c r="J71" s="5">
        <v>20</v>
      </c>
      <c r="K71" s="5" t="s">
        <v>10</v>
      </c>
      <c r="L71" s="5">
        <v>0</v>
      </c>
      <c r="M71" s="5" t="s">
        <v>33</v>
      </c>
      <c r="N71" s="5" t="s">
        <v>33</v>
      </c>
      <c r="O71" s="5">
        <v>0</v>
      </c>
      <c r="P71" s="5" t="s">
        <v>36</v>
      </c>
      <c r="Q71" s="5">
        <v>0</v>
      </c>
      <c r="R71" s="5">
        <v>1</v>
      </c>
    </row>
    <row r="72" spans="1:18">
      <c r="A72" s="4">
        <v>45820</v>
      </c>
      <c r="B72" s="5">
        <v>120083</v>
      </c>
      <c r="C72" s="4">
        <v>45820</v>
      </c>
      <c r="D72" s="5">
        <v>94790</v>
      </c>
      <c r="E72" s="5" t="s">
        <v>18</v>
      </c>
      <c r="F72" s="5" t="s">
        <v>34</v>
      </c>
      <c r="G72" t="s">
        <v>546</v>
      </c>
      <c r="H72" s="5" t="s">
        <v>35</v>
      </c>
      <c r="I72" s="5" t="s">
        <v>35</v>
      </c>
      <c r="J72" s="5">
        <v>20</v>
      </c>
      <c r="K72" s="5" t="s">
        <v>10</v>
      </c>
      <c r="L72" s="5">
        <v>0</v>
      </c>
      <c r="M72" s="5" t="s">
        <v>33</v>
      </c>
      <c r="N72" s="5" t="s">
        <v>33</v>
      </c>
      <c r="O72" s="5">
        <v>0</v>
      </c>
      <c r="P72" s="5" t="s">
        <v>36</v>
      </c>
      <c r="Q72" s="5">
        <v>0</v>
      </c>
      <c r="R72" s="5">
        <v>1</v>
      </c>
    </row>
    <row r="73" spans="1:18">
      <c r="A73" s="4">
        <v>45831</v>
      </c>
      <c r="B73" s="5">
        <v>120257</v>
      </c>
      <c r="C73" s="4">
        <v>45831</v>
      </c>
      <c r="D73" s="5">
        <v>94964</v>
      </c>
      <c r="E73" s="5" t="s">
        <v>16</v>
      </c>
      <c r="F73" s="5" t="s">
        <v>38</v>
      </c>
      <c r="G73" t="s">
        <v>547</v>
      </c>
      <c r="H73" s="5" t="s">
        <v>39</v>
      </c>
      <c r="I73" s="5" t="s">
        <v>45</v>
      </c>
      <c r="J73" s="5">
        <v>100</v>
      </c>
      <c r="K73" s="5" t="s">
        <v>10</v>
      </c>
      <c r="L73" s="5">
        <v>0</v>
      </c>
      <c r="M73" s="5" t="s">
        <v>33</v>
      </c>
      <c r="N73" s="5" t="s">
        <v>33</v>
      </c>
      <c r="O73" s="5">
        <v>0</v>
      </c>
      <c r="P73" s="5" t="s">
        <v>14</v>
      </c>
      <c r="Q73" s="5">
        <v>3</v>
      </c>
      <c r="R73" s="5">
        <v>3</v>
      </c>
    </row>
    <row r="74" spans="1:18">
      <c r="A74" s="4">
        <v>45831</v>
      </c>
      <c r="B74" s="5">
        <v>120246</v>
      </c>
      <c r="C74" s="4">
        <v>45831</v>
      </c>
      <c r="D74" s="5">
        <v>94957</v>
      </c>
      <c r="E74" s="5" t="s">
        <v>18</v>
      </c>
      <c r="F74" s="5" t="s">
        <v>38</v>
      </c>
      <c r="G74" t="s">
        <v>548</v>
      </c>
      <c r="H74" s="5" t="s">
        <v>66</v>
      </c>
      <c r="I74" s="5" t="s">
        <v>43</v>
      </c>
      <c r="J74" s="5">
        <v>10</v>
      </c>
      <c r="K74" s="5" t="s">
        <v>10</v>
      </c>
      <c r="L74" s="5">
        <v>0</v>
      </c>
      <c r="M74" s="5" t="s">
        <v>33</v>
      </c>
      <c r="N74" s="5" t="s">
        <v>33</v>
      </c>
      <c r="O74" s="5">
        <v>0</v>
      </c>
      <c r="P74" s="5" t="s">
        <v>36</v>
      </c>
      <c r="Q74" s="5">
        <v>0</v>
      </c>
      <c r="R74" s="5">
        <v>3</v>
      </c>
    </row>
    <row r="75" spans="1:18">
      <c r="A75" s="4">
        <v>45828</v>
      </c>
      <c r="B75" s="5">
        <v>120236</v>
      </c>
      <c r="C75" s="4">
        <v>45831</v>
      </c>
      <c r="D75" s="5">
        <v>94949</v>
      </c>
      <c r="E75" s="5" t="s">
        <v>16</v>
      </c>
      <c r="F75" s="5" t="s">
        <v>30</v>
      </c>
      <c r="G75" t="s">
        <v>549</v>
      </c>
      <c r="H75" s="5" t="s">
        <v>67</v>
      </c>
      <c r="I75" s="5" t="s">
        <v>43</v>
      </c>
      <c r="J75" s="5">
        <v>135</v>
      </c>
      <c r="K75" s="5" t="s">
        <v>10</v>
      </c>
      <c r="L75" s="5">
        <v>0</v>
      </c>
      <c r="M75" s="5" t="s">
        <v>33</v>
      </c>
      <c r="N75" s="5" t="s">
        <v>33</v>
      </c>
      <c r="O75" s="5">
        <v>1</v>
      </c>
      <c r="P75" s="5" t="s">
        <v>8</v>
      </c>
      <c r="Q75" s="5">
        <v>4</v>
      </c>
      <c r="R75" s="5">
        <v>3</v>
      </c>
    </row>
    <row r="76" spans="1:18">
      <c r="A76" s="4">
        <v>45828</v>
      </c>
      <c r="B76" s="5">
        <v>119790</v>
      </c>
      <c r="C76" s="4">
        <v>45831</v>
      </c>
      <c r="D76" s="5">
        <v>94946</v>
      </c>
      <c r="E76" s="5" t="s">
        <v>16</v>
      </c>
      <c r="F76" s="5" t="s">
        <v>34</v>
      </c>
      <c r="G76" t="s">
        <v>550</v>
      </c>
      <c r="H76" s="5" t="s">
        <v>56</v>
      </c>
      <c r="I76" s="5" t="s">
        <v>28</v>
      </c>
      <c r="J76" s="5">
        <v>306</v>
      </c>
      <c r="K76" s="5" t="s">
        <v>10</v>
      </c>
      <c r="L76" s="5">
        <v>0</v>
      </c>
      <c r="M76" s="5" t="s">
        <v>33</v>
      </c>
      <c r="N76" s="5" t="s">
        <v>33</v>
      </c>
      <c r="O76" s="5">
        <v>1</v>
      </c>
      <c r="P76" s="5" t="s">
        <v>36</v>
      </c>
      <c r="Q76" s="5">
        <v>0</v>
      </c>
      <c r="R76" s="5">
        <v>3</v>
      </c>
    </row>
    <row r="77" spans="1:18">
      <c r="A77" s="4">
        <v>45824</v>
      </c>
      <c r="B77" s="5">
        <v>120078</v>
      </c>
      <c r="C77" s="4">
        <v>45831</v>
      </c>
      <c r="D77" s="5">
        <v>94947</v>
      </c>
      <c r="E77" s="5" t="s">
        <v>16</v>
      </c>
      <c r="F77" s="5" t="s">
        <v>34</v>
      </c>
      <c r="G77" t="s">
        <v>551</v>
      </c>
      <c r="H77" s="5" t="s">
        <v>56</v>
      </c>
      <c r="I77" s="5" t="s">
        <v>28</v>
      </c>
      <c r="J77" s="5">
        <v>110</v>
      </c>
      <c r="K77" s="5" t="s">
        <v>10</v>
      </c>
      <c r="L77" s="5">
        <v>0</v>
      </c>
      <c r="M77" s="5" t="s">
        <v>33</v>
      </c>
      <c r="N77" s="5" t="s">
        <v>33</v>
      </c>
      <c r="O77" s="5">
        <v>5</v>
      </c>
      <c r="P77" s="5" t="s">
        <v>36</v>
      </c>
      <c r="Q77" s="5">
        <v>0</v>
      </c>
      <c r="R77" s="5">
        <v>3</v>
      </c>
    </row>
    <row r="78" spans="1:18">
      <c r="A78" s="4">
        <v>45826</v>
      </c>
      <c r="B78" s="5">
        <v>120199</v>
      </c>
      <c r="C78" s="4">
        <v>45828</v>
      </c>
      <c r="D78" s="5">
        <v>94935</v>
      </c>
      <c r="E78" s="5" t="s">
        <v>16</v>
      </c>
      <c r="F78" s="5" t="s">
        <v>38</v>
      </c>
      <c r="G78" t="s">
        <v>552</v>
      </c>
      <c r="H78" s="5" t="s">
        <v>67</v>
      </c>
      <c r="I78" s="5" t="s">
        <v>45</v>
      </c>
      <c r="J78" s="5">
        <v>245</v>
      </c>
      <c r="K78" s="5" t="s">
        <v>10</v>
      </c>
      <c r="L78" s="5">
        <v>0</v>
      </c>
      <c r="M78" s="5" t="s">
        <v>33</v>
      </c>
      <c r="N78" s="5" t="s">
        <v>33</v>
      </c>
      <c r="O78" s="5">
        <v>2</v>
      </c>
      <c r="P78" s="5" t="s">
        <v>14</v>
      </c>
      <c r="Q78" s="5">
        <v>3</v>
      </c>
      <c r="R78" s="5">
        <v>3</v>
      </c>
    </row>
    <row r="79" spans="1:18">
      <c r="A79" s="4">
        <v>45825</v>
      </c>
      <c r="B79" s="5">
        <v>120135</v>
      </c>
      <c r="C79" s="4">
        <v>45828</v>
      </c>
      <c r="D79" s="5">
        <v>94924</v>
      </c>
      <c r="E79" s="5" t="s">
        <v>9</v>
      </c>
      <c r="F79" s="5" t="s">
        <v>34</v>
      </c>
      <c r="G79" t="s">
        <v>553</v>
      </c>
      <c r="H79" s="5" t="s">
        <v>61</v>
      </c>
      <c r="I79" s="5" t="s">
        <v>40</v>
      </c>
      <c r="J79" s="5">
        <f>138+57</f>
        <v>195</v>
      </c>
      <c r="K79" s="5" t="s">
        <v>10</v>
      </c>
      <c r="L79" s="5">
        <v>1</v>
      </c>
      <c r="M79" s="5" t="s">
        <v>33</v>
      </c>
      <c r="N79" s="5" t="s">
        <v>33</v>
      </c>
      <c r="O79" s="5">
        <v>3</v>
      </c>
      <c r="P79" s="5" t="s">
        <v>8</v>
      </c>
      <c r="Q79" s="5">
        <v>10</v>
      </c>
      <c r="R79" s="5">
        <v>2</v>
      </c>
    </row>
    <row r="80" spans="1:18">
      <c r="A80" s="4">
        <v>45820</v>
      </c>
      <c r="B80" s="5">
        <v>120082</v>
      </c>
      <c r="C80" s="4">
        <v>45825</v>
      </c>
      <c r="D80" s="5">
        <v>94870</v>
      </c>
      <c r="E80" s="5" t="s">
        <v>9</v>
      </c>
      <c r="F80" s="5" t="s">
        <v>34</v>
      </c>
      <c r="G80" t="s">
        <v>554</v>
      </c>
      <c r="H80" s="5" t="s">
        <v>47</v>
      </c>
      <c r="I80" s="5" t="s">
        <v>40</v>
      </c>
      <c r="J80" s="5">
        <v>100</v>
      </c>
      <c r="K80" s="5" t="s">
        <v>10</v>
      </c>
      <c r="L80" s="5">
        <v>1</v>
      </c>
      <c r="M80" s="5" t="s">
        <v>33</v>
      </c>
      <c r="N80" s="5" t="s">
        <v>33</v>
      </c>
      <c r="O80" s="5">
        <v>3</v>
      </c>
      <c r="P80" s="5" t="s">
        <v>14</v>
      </c>
      <c r="Q80" s="5">
        <v>8</v>
      </c>
      <c r="R80" s="5">
        <v>2</v>
      </c>
    </row>
    <row r="81" spans="1:18">
      <c r="A81" s="4">
        <v>45825</v>
      </c>
      <c r="B81" s="5">
        <v>119960</v>
      </c>
      <c r="C81" s="4">
        <v>45825</v>
      </c>
      <c r="D81" s="5">
        <v>94868</v>
      </c>
      <c r="E81" s="5" t="s">
        <v>16</v>
      </c>
      <c r="F81" s="5" t="s">
        <v>34</v>
      </c>
      <c r="G81" s="5" t="s">
        <v>555</v>
      </c>
      <c r="H81" s="5" t="s">
        <v>56</v>
      </c>
      <c r="I81" s="5" t="s">
        <v>28</v>
      </c>
      <c r="J81" s="5">
        <v>173</v>
      </c>
      <c r="K81" s="5" t="s">
        <v>10</v>
      </c>
      <c r="L81" s="5">
        <v>0</v>
      </c>
      <c r="M81" s="5" t="s">
        <v>33</v>
      </c>
      <c r="N81" s="5" t="s">
        <v>33</v>
      </c>
      <c r="O81" s="5">
        <v>0</v>
      </c>
      <c r="P81" s="5" t="s">
        <v>36</v>
      </c>
      <c r="Q81" s="5">
        <v>0</v>
      </c>
      <c r="R81" s="5">
        <v>3</v>
      </c>
    </row>
    <row r="82" spans="1:18">
      <c r="A82" s="4">
        <v>45825</v>
      </c>
      <c r="B82" s="5">
        <v>120138</v>
      </c>
      <c r="C82" s="4">
        <v>45825</v>
      </c>
      <c r="D82" s="5">
        <v>94858</v>
      </c>
      <c r="E82" s="5" t="s">
        <v>16</v>
      </c>
      <c r="F82" s="5" t="s">
        <v>34</v>
      </c>
      <c r="G82" s="5" t="s">
        <v>556</v>
      </c>
      <c r="H82" s="5" t="s">
        <v>56</v>
      </c>
      <c r="I82" s="5" t="s">
        <v>28</v>
      </c>
      <c r="J82" s="5">
        <v>184</v>
      </c>
      <c r="K82" s="5" t="s">
        <v>10</v>
      </c>
      <c r="L82" s="5">
        <v>0</v>
      </c>
      <c r="M82" s="5" t="s">
        <v>33</v>
      </c>
      <c r="N82" s="5" t="s">
        <v>29</v>
      </c>
      <c r="O82" s="5">
        <v>0</v>
      </c>
      <c r="P82" s="5" t="s">
        <v>36</v>
      </c>
      <c r="Q82" s="5">
        <v>0</v>
      </c>
      <c r="R82" s="5">
        <v>3</v>
      </c>
    </row>
    <row r="83" spans="1:18">
      <c r="A83" s="4">
        <v>45789</v>
      </c>
      <c r="B83" s="5">
        <v>119165</v>
      </c>
      <c r="C83" s="4">
        <v>45825</v>
      </c>
      <c r="D83" s="5">
        <v>94851</v>
      </c>
      <c r="E83" s="5" t="s">
        <v>17</v>
      </c>
      <c r="F83" s="5" t="s">
        <v>34</v>
      </c>
      <c r="G83" s="168" t="s">
        <v>557</v>
      </c>
      <c r="H83" s="5" t="s">
        <v>31</v>
      </c>
      <c r="I83" s="5" t="s">
        <v>37</v>
      </c>
      <c r="J83" s="5"/>
      <c r="K83" s="5" t="s">
        <v>11</v>
      </c>
      <c r="L83" s="5">
        <v>2</v>
      </c>
      <c r="M83" s="5" t="s">
        <v>33</v>
      </c>
      <c r="N83" s="5" t="s">
        <v>33</v>
      </c>
      <c r="O83" s="5">
        <v>26</v>
      </c>
      <c r="P83" s="5" t="s">
        <v>8</v>
      </c>
      <c r="Q83" s="5">
        <v>40</v>
      </c>
      <c r="R83" s="5">
        <v>3</v>
      </c>
    </row>
    <row r="84" spans="1:18">
      <c r="A84" s="4">
        <v>45821</v>
      </c>
      <c r="B84" s="5">
        <v>103971</v>
      </c>
      <c r="C84" s="4">
        <v>45824</v>
      </c>
      <c r="D84" s="5">
        <v>94840</v>
      </c>
      <c r="E84" s="5" t="s">
        <v>18</v>
      </c>
      <c r="F84" s="5" t="s">
        <v>38</v>
      </c>
      <c r="G84" t="s">
        <v>558</v>
      </c>
      <c r="H84" s="5" t="s">
        <v>39</v>
      </c>
      <c r="I84" s="5" t="s">
        <v>43</v>
      </c>
      <c r="J84" s="5">
        <v>605</v>
      </c>
      <c r="K84" s="5" t="s">
        <v>10</v>
      </c>
      <c r="L84" s="5">
        <v>2</v>
      </c>
      <c r="M84" s="5" t="s">
        <v>33</v>
      </c>
      <c r="N84" s="5" t="s">
        <v>33</v>
      </c>
      <c r="O84" s="5">
        <v>1</v>
      </c>
      <c r="P84" s="5" t="s">
        <v>14</v>
      </c>
      <c r="Q84" s="5">
        <v>10</v>
      </c>
      <c r="R84" s="5">
        <v>3</v>
      </c>
    </row>
    <row r="85" spans="1:18">
      <c r="A85" s="4">
        <v>45824</v>
      </c>
      <c r="B85" s="5">
        <v>119895</v>
      </c>
      <c r="C85" s="4">
        <v>45824</v>
      </c>
      <c r="D85" s="5">
        <v>94838</v>
      </c>
      <c r="E85" s="5" t="s">
        <v>18</v>
      </c>
      <c r="F85" s="5" t="s">
        <v>38</v>
      </c>
      <c r="G85" t="s">
        <v>559</v>
      </c>
      <c r="H85" s="5" t="s">
        <v>47</v>
      </c>
      <c r="I85" s="5" t="s">
        <v>28</v>
      </c>
      <c r="J85" s="5">
        <v>137</v>
      </c>
      <c r="K85" s="5" t="s">
        <v>10</v>
      </c>
      <c r="L85" s="5">
        <v>1</v>
      </c>
      <c r="M85" s="5" t="s">
        <v>33</v>
      </c>
      <c r="N85" s="5" t="s">
        <v>33</v>
      </c>
      <c r="O85" s="5">
        <v>0</v>
      </c>
      <c r="P85" s="5" t="s">
        <v>14</v>
      </c>
      <c r="Q85" s="5">
        <v>10</v>
      </c>
      <c r="R85" s="5">
        <v>2</v>
      </c>
    </row>
    <row r="86" spans="1:18">
      <c r="A86" s="4">
        <v>45821</v>
      </c>
      <c r="B86" s="5">
        <v>119656</v>
      </c>
      <c r="C86" s="4">
        <v>45824</v>
      </c>
      <c r="D86" s="5">
        <v>94837</v>
      </c>
      <c r="E86" s="5" t="s">
        <v>9</v>
      </c>
      <c r="F86" s="5" t="s">
        <v>34</v>
      </c>
      <c r="G86" t="s">
        <v>560</v>
      </c>
      <c r="H86" s="5" t="s">
        <v>47</v>
      </c>
      <c r="I86" s="5" t="s">
        <v>28</v>
      </c>
      <c r="J86" s="5">
        <v>485</v>
      </c>
      <c r="K86" s="5" t="s">
        <v>10</v>
      </c>
      <c r="L86" s="5">
        <v>1</v>
      </c>
      <c r="M86" s="5" t="s">
        <v>33</v>
      </c>
      <c r="N86" s="5" t="s">
        <v>33</v>
      </c>
      <c r="O86" s="5">
        <v>1</v>
      </c>
      <c r="P86" s="5" t="s">
        <v>14</v>
      </c>
      <c r="Q86" s="5">
        <v>8</v>
      </c>
      <c r="R86" s="5">
        <v>2</v>
      </c>
    </row>
    <row r="87" spans="1:18">
      <c r="A87" s="4">
        <v>45821</v>
      </c>
      <c r="B87" s="5">
        <v>120087</v>
      </c>
      <c r="C87" s="4">
        <v>45824</v>
      </c>
      <c r="D87" s="5">
        <v>94384</v>
      </c>
      <c r="E87" s="5" t="s">
        <v>18</v>
      </c>
      <c r="F87" s="5" t="s">
        <v>34</v>
      </c>
      <c r="G87" t="s">
        <v>561</v>
      </c>
      <c r="H87" s="5" t="s">
        <v>54</v>
      </c>
      <c r="I87" s="5" t="s">
        <v>32</v>
      </c>
      <c r="J87" s="5">
        <v>166</v>
      </c>
      <c r="K87" s="5" t="s">
        <v>10</v>
      </c>
      <c r="L87" s="5">
        <v>0</v>
      </c>
      <c r="M87" s="5" t="s">
        <v>33</v>
      </c>
      <c r="N87" s="5" t="s">
        <v>33</v>
      </c>
      <c r="O87" s="5">
        <v>1</v>
      </c>
      <c r="P87" s="5" t="s">
        <v>36</v>
      </c>
      <c r="Q87" s="5">
        <v>0</v>
      </c>
      <c r="R87" s="5">
        <v>3</v>
      </c>
    </row>
    <row r="88" spans="1:18">
      <c r="A88" s="4">
        <v>45821</v>
      </c>
      <c r="B88" s="5">
        <v>120006</v>
      </c>
      <c r="C88" s="4">
        <v>45821</v>
      </c>
      <c r="D88" s="5">
        <v>94823</v>
      </c>
      <c r="E88" s="5" t="s">
        <v>16</v>
      </c>
      <c r="F88" s="5" t="s">
        <v>34</v>
      </c>
      <c r="G88" t="s">
        <v>562</v>
      </c>
      <c r="H88" s="5" t="s">
        <v>56</v>
      </c>
      <c r="I88" s="5" t="s">
        <v>28</v>
      </c>
      <c r="J88" s="5">
        <v>198</v>
      </c>
      <c r="K88" s="5" t="s">
        <v>10</v>
      </c>
      <c r="L88" s="5">
        <v>0</v>
      </c>
      <c r="M88" s="5" t="s">
        <v>33</v>
      </c>
      <c r="N88" s="5" t="s">
        <v>33</v>
      </c>
      <c r="O88" s="5">
        <v>0</v>
      </c>
      <c r="P88" s="5" t="s">
        <v>36</v>
      </c>
      <c r="Q88" s="5">
        <v>0</v>
      </c>
      <c r="R88" s="5">
        <v>3</v>
      </c>
    </row>
    <row r="89" spans="1:18">
      <c r="A89" s="4">
        <v>45820</v>
      </c>
      <c r="B89" s="5">
        <v>119999</v>
      </c>
      <c r="C89" s="4">
        <v>45821</v>
      </c>
      <c r="D89" s="5">
        <v>94822</v>
      </c>
      <c r="E89" s="5" t="s">
        <v>16</v>
      </c>
      <c r="F89" s="5" t="s">
        <v>34</v>
      </c>
      <c r="G89" t="s">
        <v>563</v>
      </c>
      <c r="H89" s="5" t="s">
        <v>56</v>
      </c>
      <c r="I89" s="5" t="s">
        <v>28</v>
      </c>
      <c r="J89" s="5">
        <v>191</v>
      </c>
      <c r="K89" s="5" t="s">
        <v>10</v>
      </c>
      <c r="L89" s="5">
        <v>0</v>
      </c>
      <c r="M89" s="5" t="s">
        <v>33</v>
      </c>
      <c r="N89" s="5" t="s">
        <v>33</v>
      </c>
      <c r="O89" s="5">
        <v>1</v>
      </c>
      <c r="P89" s="5" t="s">
        <v>36</v>
      </c>
      <c r="Q89" s="5">
        <v>0</v>
      </c>
      <c r="R89" s="5">
        <v>3</v>
      </c>
    </row>
    <row r="90" spans="1:18">
      <c r="A90" s="4">
        <v>45820</v>
      </c>
      <c r="B90" s="5">
        <v>120040</v>
      </c>
      <c r="C90" s="4">
        <v>45821</v>
      </c>
      <c r="D90" s="5">
        <v>94821</v>
      </c>
      <c r="E90" s="5" t="s">
        <v>16</v>
      </c>
      <c r="F90" s="5" t="s">
        <v>34</v>
      </c>
      <c r="G90" t="s">
        <v>564</v>
      </c>
      <c r="H90" s="5" t="s">
        <v>56</v>
      </c>
      <c r="I90" s="5" t="s">
        <v>28</v>
      </c>
      <c r="J90" s="5">
        <v>204</v>
      </c>
      <c r="K90" s="5" t="s">
        <v>10</v>
      </c>
      <c r="L90" s="5">
        <v>0</v>
      </c>
      <c r="M90" s="5" t="s">
        <v>33</v>
      </c>
      <c r="N90" s="5" t="s">
        <v>33</v>
      </c>
      <c r="O90" s="5">
        <v>1</v>
      </c>
      <c r="P90" s="5" t="s">
        <v>36</v>
      </c>
      <c r="Q90" s="5">
        <v>0</v>
      </c>
      <c r="R90" s="5">
        <v>3</v>
      </c>
    </row>
    <row r="91" spans="1:18">
      <c r="A91" s="4">
        <v>45819</v>
      </c>
      <c r="B91" s="5">
        <v>119741</v>
      </c>
      <c r="C91" s="4">
        <v>45821</v>
      </c>
      <c r="D91" s="5">
        <v>94820</v>
      </c>
      <c r="E91" s="5" t="s">
        <v>16</v>
      </c>
      <c r="F91" s="5" t="s">
        <v>34</v>
      </c>
      <c r="G91" t="s">
        <v>565</v>
      </c>
      <c r="H91" s="5" t="s">
        <v>56</v>
      </c>
      <c r="I91" s="5" t="s">
        <v>28</v>
      </c>
      <c r="J91" s="5">
        <v>151</v>
      </c>
      <c r="K91" s="5" t="s">
        <v>10</v>
      </c>
      <c r="L91" s="5">
        <v>0</v>
      </c>
      <c r="M91" s="5" t="s">
        <v>33</v>
      </c>
      <c r="N91" s="5" t="s">
        <v>33</v>
      </c>
      <c r="O91" s="5">
        <v>2</v>
      </c>
      <c r="P91" s="5" t="s">
        <v>36</v>
      </c>
      <c r="Q91" s="5">
        <v>0</v>
      </c>
      <c r="R91" s="5">
        <v>3</v>
      </c>
    </row>
    <row r="92" spans="1:18">
      <c r="A92" s="4">
        <v>45818</v>
      </c>
      <c r="B92" s="5">
        <v>119950</v>
      </c>
      <c r="C92" s="4">
        <v>45821</v>
      </c>
      <c r="D92" s="5">
        <v>94819</v>
      </c>
      <c r="E92" s="5" t="s">
        <v>16</v>
      </c>
      <c r="F92" s="5" t="s">
        <v>34</v>
      </c>
      <c r="G92" t="s">
        <v>566</v>
      </c>
      <c r="H92" s="5" t="s">
        <v>56</v>
      </c>
      <c r="I92" s="5" t="s">
        <v>28</v>
      </c>
      <c r="J92" s="5">
        <v>206</v>
      </c>
      <c r="K92" s="5" t="s">
        <v>10</v>
      </c>
      <c r="L92" s="5">
        <v>0</v>
      </c>
      <c r="M92" s="5" t="s">
        <v>33</v>
      </c>
      <c r="N92" s="5" t="s">
        <v>33</v>
      </c>
      <c r="O92" s="5">
        <v>3</v>
      </c>
      <c r="P92" s="5" t="s">
        <v>36</v>
      </c>
      <c r="Q92" s="5">
        <v>0</v>
      </c>
      <c r="R92" s="5">
        <v>3</v>
      </c>
    </row>
    <row r="93" spans="1:18">
      <c r="A93" s="4">
        <v>45817</v>
      </c>
      <c r="B93" s="5">
        <v>119876</v>
      </c>
      <c r="C93" s="4">
        <v>45821</v>
      </c>
      <c r="D93" s="5">
        <v>94818</v>
      </c>
      <c r="E93" s="5" t="s">
        <v>16</v>
      </c>
      <c r="F93" s="5" t="s">
        <v>34</v>
      </c>
      <c r="G93" t="s">
        <v>567</v>
      </c>
      <c r="H93" s="5" t="s">
        <v>56</v>
      </c>
      <c r="I93" s="5" t="s">
        <v>28</v>
      </c>
      <c r="J93" s="5">
        <v>34</v>
      </c>
      <c r="K93" s="5" t="s">
        <v>10</v>
      </c>
      <c r="L93" s="5">
        <v>0</v>
      </c>
      <c r="M93" s="5" t="s">
        <v>33</v>
      </c>
      <c r="N93" s="5" t="s">
        <v>33</v>
      </c>
      <c r="O93" s="5">
        <v>4</v>
      </c>
      <c r="P93" s="5" t="s">
        <v>36</v>
      </c>
      <c r="Q93" s="5">
        <v>0</v>
      </c>
      <c r="R93" s="5">
        <v>3</v>
      </c>
    </row>
    <row r="94" spans="1:18">
      <c r="A94" s="4">
        <v>45817</v>
      </c>
      <c r="B94" s="5">
        <v>119948</v>
      </c>
      <c r="C94" s="4">
        <v>45821</v>
      </c>
      <c r="D94" s="5">
        <v>94807</v>
      </c>
      <c r="E94" s="5" t="s">
        <v>16</v>
      </c>
      <c r="F94" s="5" t="s">
        <v>38</v>
      </c>
      <c r="G94" t="s">
        <v>568</v>
      </c>
      <c r="H94" s="5" t="s">
        <v>39</v>
      </c>
      <c r="I94" s="5" t="s">
        <v>45</v>
      </c>
      <c r="J94" s="5">
        <v>105</v>
      </c>
      <c r="K94" s="5" t="s">
        <v>10</v>
      </c>
      <c r="L94" s="5">
        <v>0</v>
      </c>
      <c r="M94" s="5" t="s">
        <v>33</v>
      </c>
      <c r="N94" s="5" t="s">
        <v>33</v>
      </c>
      <c r="O94" s="5">
        <v>4</v>
      </c>
      <c r="P94" s="5" t="s">
        <v>14</v>
      </c>
      <c r="Q94" s="5">
        <v>3</v>
      </c>
      <c r="R94" s="5">
        <v>3</v>
      </c>
    </row>
    <row r="95" spans="1:18">
      <c r="A95" s="4">
        <v>45818</v>
      </c>
      <c r="B95" s="5">
        <v>119989</v>
      </c>
      <c r="C95" s="4">
        <v>45821</v>
      </c>
      <c r="D95" s="5">
        <v>94805</v>
      </c>
      <c r="E95" s="5" t="s">
        <v>16</v>
      </c>
      <c r="F95" s="5" t="s">
        <v>38</v>
      </c>
      <c r="G95" t="s">
        <v>569</v>
      </c>
      <c r="H95" s="5" t="s">
        <v>39</v>
      </c>
      <c r="I95" s="5" t="s">
        <v>45</v>
      </c>
      <c r="J95" s="5">
        <v>150</v>
      </c>
      <c r="K95" s="5" t="s">
        <v>10</v>
      </c>
      <c r="L95" s="5">
        <v>0</v>
      </c>
      <c r="M95" s="5" t="s">
        <v>33</v>
      </c>
      <c r="N95" s="5" t="s">
        <v>33</v>
      </c>
      <c r="O95" s="5">
        <v>3</v>
      </c>
      <c r="P95" s="5" t="s">
        <v>14</v>
      </c>
      <c r="Q95" s="5">
        <v>3</v>
      </c>
      <c r="R95" s="5">
        <v>3</v>
      </c>
    </row>
    <row r="96" spans="1:18">
      <c r="A96" s="4">
        <v>45807</v>
      </c>
      <c r="B96" s="5">
        <v>119341</v>
      </c>
      <c r="C96" s="4">
        <v>45821</v>
      </c>
      <c r="D96" s="5">
        <v>94799</v>
      </c>
      <c r="E96" s="5" t="s">
        <v>9</v>
      </c>
      <c r="F96" s="5" t="s">
        <v>34</v>
      </c>
      <c r="G96" t="s">
        <v>570</v>
      </c>
      <c r="H96" s="5" t="s">
        <v>65</v>
      </c>
      <c r="I96" s="5" t="s">
        <v>40</v>
      </c>
      <c r="J96" s="5">
        <f>160+1168</f>
        <v>1328</v>
      </c>
      <c r="K96" s="5" t="s">
        <v>11</v>
      </c>
      <c r="L96" s="5">
        <v>1</v>
      </c>
      <c r="M96" s="5" t="s">
        <v>29</v>
      </c>
      <c r="N96" s="5" t="s">
        <v>33</v>
      </c>
      <c r="O96" s="5">
        <v>10</v>
      </c>
      <c r="P96" s="5" t="s">
        <v>8</v>
      </c>
      <c r="Q96" s="5">
        <v>20</v>
      </c>
      <c r="R96" s="5">
        <v>2</v>
      </c>
    </row>
    <row r="97" spans="1:18">
      <c r="A97" s="4">
        <v>45820</v>
      </c>
      <c r="B97" s="5">
        <v>119108</v>
      </c>
      <c r="C97" s="4">
        <v>45821</v>
      </c>
      <c r="D97" s="5">
        <v>94794</v>
      </c>
      <c r="E97" s="5" t="s">
        <v>9</v>
      </c>
      <c r="F97" s="5" t="s">
        <v>34</v>
      </c>
      <c r="G97" t="s">
        <v>571</v>
      </c>
      <c r="H97" s="5" t="s">
        <v>50</v>
      </c>
      <c r="I97" s="5" t="s">
        <v>40</v>
      </c>
      <c r="J97" s="5">
        <f>595+464</f>
        <v>1059</v>
      </c>
      <c r="K97" s="5" t="s">
        <v>10</v>
      </c>
      <c r="L97" s="5">
        <v>1</v>
      </c>
      <c r="M97" s="5" t="s">
        <v>33</v>
      </c>
      <c r="N97" s="5" t="s">
        <v>33</v>
      </c>
      <c r="O97" s="5">
        <v>1</v>
      </c>
      <c r="P97" s="5" t="s">
        <v>8</v>
      </c>
      <c r="Q97" s="5">
        <v>10</v>
      </c>
      <c r="R97" s="5">
        <v>2</v>
      </c>
    </row>
    <row r="98" spans="1:18">
      <c r="A98" s="4">
        <v>45819</v>
      </c>
      <c r="B98" s="5">
        <v>119294</v>
      </c>
      <c r="C98" s="4">
        <v>45820</v>
      </c>
      <c r="D98" s="5">
        <v>94788</v>
      </c>
      <c r="E98" s="5" t="s">
        <v>9</v>
      </c>
      <c r="F98" s="5" t="s">
        <v>34</v>
      </c>
      <c r="G98" t="s">
        <v>572</v>
      </c>
      <c r="H98" s="5" t="s">
        <v>68</v>
      </c>
      <c r="I98" s="5" t="s">
        <v>40</v>
      </c>
      <c r="J98" s="5">
        <f>492+352</f>
        <v>844</v>
      </c>
      <c r="K98" s="5" t="s">
        <v>10</v>
      </c>
      <c r="L98" s="5">
        <v>1</v>
      </c>
      <c r="M98" s="5" t="s">
        <v>33</v>
      </c>
      <c r="N98" s="5" t="s">
        <v>33</v>
      </c>
      <c r="O98" s="5">
        <v>1</v>
      </c>
      <c r="P98" s="5" t="s">
        <v>8</v>
      </c>
      <c r="Q98" s="5">
        <v>10</v>
      </c>
      <c r="R98" s="5">
        <v>2</v>
      </c>
    </row>
    <row r="99" spans="1:18">
      <c r="A99" s="4">
        <v>45820</v>
      </c>
      <c r="B99" s="5">
        <v>119898</v>
      </c>
      <c r="C99" s="4">
        <v>45820</v>
      </c>
      <c r="D99" s="5">
        <v>94780</v>
      </c>
      <c r="E99" s="5" t="s">
        <v>18</v>
      </c>
      <c r="F99" s="5" t="s">
        <v>38</v>
      </c>
      <c r="G99" t="s">
        <v>573</v>
      </c>
      <c r="H99" s="5" t="s">
        <v>66</v>
      </c>
      <c r="I99" s="5" t="s">
        <v>43</v>
      </c>
      <c r="J99" s="5">
        <v>494</v>
      </c>
      <c r="K99" s="5" t="s">
        <v>11</v>
      </c>
      <c r="L99" s="5">
        <v>0</v>
      </c>
      <c r="M99" s="5" t="s">
        <v>33</v>
      </c>
      <c r="N99" s="5" t="s">
        <v>33</v>
      </c>
      <c r="O99" s="5">
        <v>0</v>
      </c>
      <c r="P99" s="5" t="s">
        <v>36</v>
      </c>
      <c r="Q99" s="5">
        <v>0</v>
      </c>
      <c r="R99" s="5">
        <v>3</v>
      </c>
    </row>
    <row r="100" spans="1:18">
      <c r="A100" s="4">
        <v>45820</v>
      </c>
      <c r="B100" s="5">
        <v>120061</v>
      </c>
      <c r="C100" s="4">
        <v>45820</v>
      </c>
      <c r="D100" s="5">
        <v>94769</v>
      </c>
      <c r="E100" s="5" t="s">
        <v>18</v>
      </c>
      <c r="F100" s="5" t="s">
        <v>30</v>
      </c>
      <c r="G100" t="s">
        <v>574</v>
      </c>
      <c r="H100" s="5" t="s">
        <v>66</v>
      </c>
      <c r="I100" s="5" t="s">
        <v>43</v>
      </c>
      <c r="J100" s="5">
        <v>15</v>
      </c>
      <c r="K100" s="5" t="s">
        <v>10</v>
      </c>
      <c r="L100" s="5">
        <v>0</v>
      </c>
      <c r="M100" s="5" t="s">
        <v>33</v>
      </c>
      <c r="N100" s="5" t="s">
        <v>33</v>
      </c>
      <c r="O100" s="5">
        <v>0</v>
      </c>
      <c r="P100" s="5" t="s">
        <v>36</v>
      </c>
      <c r="Q100" s="5">
        <v>0</v>
      </c>
      <c r="R100" s="5">
        <v>3</v>
      </c>
    </row>
    <row r="101" spans="1:18">
      <c r="A101" s="4">
        <v>45818</v>
      </c>
      <c r="B101" s="5">
        <v>119987</v>
      </c>
      <c r="C101" s="4">
        <v>45819</v>
      </c>
      <c r="D101" s="5">
        <v>94753</v>
      </c>
      <c r="E101" s="5" t="s">
        <v>16</v>
      </c>
      <c r="F101" s="5" t="s">
        <v>38</v>
      </c>
      <c r="G101" t="s">
        <v>575</v>
      </c>
      <c r="H101" s="5" t="s">
        <v>67</v>
      </c>
      <c r="I101" s="5" t="s">
        <v>45</v>
      </c>
      <c r="J101" s="5">
        <v>183</v>
      </c>
      <c r="K101" s="5" t="s">
        <v>10</v>
      </c>
      <c r="L101" s="5">
        <v>0</v>
      </c>
      <c r="M101" s="5" t="s">
        <v>33</v>
      </c>
      <c r="N101" s="5" t="s">
        <v>33</v>
      </c>
      <c r="O101" s="5">
        <v>1</v>
      </c>
      <c r="P101" s="5" t="s">
        <v>8</v>
      </c>
      <c r="Q101" s="5">
        <v>4</v>
      </c>
      <c r="R101" s="5">
        <v>3</v>
      </c>
    </row>
    <row r="102" spans="1:18">
      <c r="A102" s="4">
        <v>45810</v>
      </c>
      <c r="B102" s="5">
        <v>119766</v>
      </c>
      <c r="C102" s="4">
        <v>45810</v>
      </c>
      <c r="D102" s="5">
        <v>94518</v>
      </c>
      <c r="E102" s="5" t="s">
        <v>18</v>
      </c>
      <c r="F102" s="5" t="s">
        <v>38</v>
      </c>
      <c r="G102" s="5" t="s">
        <v>576</v>
      </c>
      <c r="H102" s="5" t="s">
        <v>66</v>
      </c>
      <c r="I102" s="5" t="s">
        <v>43</v>
      </c>
      <c r="J102" s="5">
        <v>15</v>
      </c>
      <c r="K102" s="5" t="s">
        <v>10</v>
      </c>
      <c r="L102" s="5">
        <v>0</v>
      </c>
      <c r="M102" s="5" t="s">
        <v>33</v>
      </c>
      <c r="N102" s="5" t="s">
        <v>33</v>
      </c>
      <c r="O102" s="5">
        <v>0</v>
      </c>
      <c r="P102" s="5" t="s">
        <v>36</v>
      </c>
      <c r="Q102" s="5">
        <v>0</v>
      </c>
      <c r="R102" s="5">
        <v>3</v>
      </c>
    </row>
    <row r="103" spans="1:18">
      <c r="A103" s="4">
        <v>45796</v>
      </c>
      <c r="B103" s="5">
        <v>119401</v>
      </c>
      <c r="C103" s="4">
        <v>45819</v>
      </c>
      <c r="D103" s="5">
        <v>94743</v>
      </c>
      <c r="E103" s="5" t="s">
        <v>16</v>
      </c>
      <c r="F103" s="5" t="s">
        <v>38</v>
      </c>
      <c r="G103" t="s">
        <v>577</v>
      </c>
      <c r="H103" s="5" t="s">
        <v>39</v>
      </c>
      <c r="I103" s="5" t="s">
        <v>45</v>
      </c>
      <c r="J103" s="5">
        <v>254</v>
      </c>
      <c r="K103" s="5" t="s">
        <v>10</v>
      </c>
      <c r="L103" s="5">
        <v>0</v>
      </c>
      <c r="M103" s="5" t="s">
        <v>33</v>
      </c>
      <c r="N103" s="5" t="s">
        <v>33</v>
      </c>
      <c r="O103" s="5">
        <v>17</v>
      </c>
      <c r="P103" s="5" t="s">
        <v>14</v>
      </c>
      <c r="Q103" s="5">
        <v>3</v>
      </c>
      <c r="R103" s="5">
        <v>3</v>
      </c>
    </row>
    <row r="104" spans="1:18">
      <c r="A104" s="4">
        <v>45812</v>
      </c>
      <c r="B104" s="5">
        <v>119824</v>
      </c>
      <c r="C104" s="4">
        <v>45819</v>
      </c>
      <c r="D104" s="5">
        <v>94735</v>
      </c>
      <c r="E104" s="5" t="s">
        <v>9</v>
      </c>
      <c r="F104" s="5" t="s">
        <v>34</v>
      </c>
      <c r="G104" t="s">
        <v>578</v>
      </c>
      <c r="H104" s="5" t="s">
        <v>27</v>
      </c>
      <c r="I104" s="5" t="s">
        <v>40</v>
      </c>
      <c r="J104" s="5">
        <f>1037+820</f>
        <v>1857</v>
      </c>
      <c r="K104" s="5" t="s">
        <v>11</v>
      </c>
      <c r="L104" s="5">
        <v>2</v>
      </c>
      <c r="M104" s="5" t="s">
        <v>33</v>
      </c>
      <c r="N104" s="5" t="s">
        <v>33</v>
      </c>
      <c r="O104" s="5">
        <v>5</v>
      </c>
      <c r="P104" s="5" t="s">
        <v>8</v>
      </c>
      <c r="Q104" s="5">
        <v>20</v>
      </c>
      <c r="R104" s="5">
        <v>3</v>
      </c>
    </row>
    <row r="105" spans="1:18">
      <c r="A105" s="4">
        <v>45817</v>
      </c>
      <c r="B105" s="5">
        <v>119958</v>
      </c>
      <c r="C105" s="4">
        <v>45818</v>
      </c>
      <c r="D105" s="5">
        <v>94723</v>
      </c>
      <c r="E105" s="5" t="s">
        <v>16</v>
      </c>
      <c r="F105" s="5" t="s">
        <v>38</v>
      </c>
      <c r="G105" t="s">
        <v>579</v>
      </c>
      <c r="H105" s="5" t="s">
        <v>39</v>
      </c>
      <c r="I105" s="5" t="s">
        <v>45</v>
      </c>
      <c r="J105" s="5">
        <v>115</v>
      </c>
      <c r="K105" s="5" t="s">
        <v>10</v>
      </c>
      <c r="L105" s="5">
        <v>0</v>
      </c>
      <c r="M105" s="5" t="s">
        <v>33</v>
      </c>
      <c r="N105" s="5" t="s">
        <v>33</v>
      </c>
      <c r="O105" s="5">
        <v>1</v>
      </c>
      <c r="P105" s="5" t="s">
        <v>14</v>
      </c>
      <c r="Q105" s="5">
        <v>3</v>
      </c>
      <c r="R105" s="5">
        <v>3</v>
      </c>
    </row>
    <row r="106" spans="1:18">
      <c r="A106" s="4">
        <v>45818</v>
      </c>
      <c r="B106" s="5">
        <v>119966</v>
      </c>
      <c r="C106" s="4">
        <v>45818</v>
      </c>
      <c r="D106" s="5">
        <v>94717</v>
      </c>
      <c r="E106" s="5" t="s">
        <v>16</v>
      </c>
      <c r="F106" s="5" t="s">
        <v>34</v>
      </c>
      <c r="G106" t="s">
        <v>580</v>
      </c>
      <c r="H106" s="5" t="s">
        <v>56</v>
      </c>
      <c r="I106" s="5" t="s">
        <v>28</v>
      </c>
      <c r="J106" s="5">
        <v>63</v>
      </c>
      <c r="K106" s="5" t="s">
        <v>10</v>
      </c>
      <c r="L106" s="5">
        <v>0</v>
      </c>
      <c r="M106" s="5" t="s">
        <v>33</v>
      </c>
      <c r="N106" s="5" t="s">
        <v>33</v>
      </c>
      <c r="O106" s="5">
        <v>0</v>
      </c>
      <c r="P106" s="5" t="s">
        <v>36</v>
      </c>
      <c r="Q106" s="5">
        <v>0</v>
      </c>
      <c r="R106" s="5">
        <v>3</v>
      </c>
    </row>
    <row r="107" spans="1:18">
      <c r="A107" s="4">
        <v>45797</v>
      </c>
      <c r="B107" s="5">
        <v>119424</v>
      </c>
      <c r="C107" s="4">
        <v>45818</v>
      </c>
      <c r="D107" s="5">
        <v>94707</v>
      </c>
      <c r="E107" s="5" t="s">
        <v>9</v>
      </c>
      <c r="F107" s="5" t="s">
        <v>34</v>
      </c>
      <c r="G107" t="s">
        <v>581</v>
      </c>
      <c r="H107" s="5" t="s">
        <v>68</v>
      </c>
      <c r="I107" s="5" t="s">
        <v>32</v>
      </c>
      <c r="J107" s="5">
        <v>2898</v>
      </c>
      <c r="K107" s="5" t="s">
        <v>10</v>
      </c>
      <c r="L107" s="5">
        <v>1</v>
      </c>
      <c r="M107" s="5" t="s">
        <v>33</v>
      </c>
      <c r="N107" s="5" t="s">
        <v>33</v>
      </c>
      <c r="O107" s="5">
        <v>15</v>
      </c>
      <c r="P107" s="5" t="s">
        <v>8</v>
      </c>
      <c r="Q107" s="5">
        <v>10</v>
      </c>
      <c r="R107" s="5">
        <v>2</v>
      </c>
    </row>
    <row r="108" spans="1:18">
      <c r="A108" s="4">
        <v>45810</v>
      </c>
      <c r="B108" s="5">
        <v>119267</v>
      </c>
      <c r="C108" s="4">
        <v>45817</v>
      </c>
      <c r="D108" s="5">
        <v>94678</v>
      </c>
      <c r="E108" s="5" t="s">
        <v>18</v>
      </c>
      <c r="F108" s="5" t="s">
        <v>38</v>
      </c>
      <c r="G108" t="s">
        <v>582</v>
      </c>
      <c r="H108" s="5" t="s">
        <v>44</v>
      </c>
      <c r="I108" s="5" t="s">
        <v>43</v>
      </c>
      <c r="J108" s="5">
        <v>65</v>
      </c>
      <c r="K108" s="5" t="s">
        <v>10</v>
      </c>
      <c r="L108" s="5">
        <v>0</v>
      </c>
      <c r="M108" s="5" t="s">
        <v>33</v>
      </c>
      <c r="N108" s="5" t="s">
        <v>33</v>
      </c>
      <c r="O108" s="5">
        <v>5</v>
      </c>
      <c r="P108" s="5" t="s">
        <v>14</v>
      </c>
      <c r="Q108" s="5">
        <v>10</v>
      </c>
      <c r="R108" s="5">
        <v>1</v>
      </c>
    </row>
    <row r="109" spans="1:18">
      <c r="A109" s="4">
        <v>45817</v>
      </c>
      <c r="B109" s="5">
        <v>119266</v>
      </c>
      <c r="C109" s="4">
        <v>45817</v>
      </c>
      <c r="D109" s="5">
        <v>94676</v>
      </c>
      <c r="E109" s="5" t="s">
        <v>18</v>
      </c>
      <c r="F109" s="5" t="s">
        <v>38</v>
      </c>
      <c r="G109" t="s">
        <v>583</v>
      </c>
      <c r="H109" s="5" t="s">
        <v>44</v>
      </c>
      <c r="I109" s="5" t="s">
        <v>43</v>
      </c>
      <c r="J109" s="5">
        <v>1960</v>
      </c>
      <c r="K109" s="5" t="s">
        <v>11</v>
      </c>
      <c r="L109" s="5">
        <v>1</v>
      </c>
      <c r="M109" s="5" t="s">
        <v>33</v>
      </c>
      <c r="N109" s="5" t="s">
        <v>33</v>
      </c>
      <c r="O109" s="5">
        <v>0</v>
      </c>
      <c r="P109" s="5" t="s">
        <v>14</v>
      </c>
      <c r="Q109" s="5">
        <v>20</v>
      </c>
      <c r="R109" s="5">
        <v>1</v>
      </c>
    </row>
    <row r="110" spans="1:18">
      <c r="A110" s="4">
        <v>45804</v>
      </c>
      <c r="B110" s="5">
        <v>119640</v>
      </c>
      <c r="C110" s="4">
        <v>45817</v>
      </c>
      <c r="D110" s="5">
        <v>94673</v>
      </c>
      <c r="E110" s="5" t="s">
        <v>18</v>
      </c>
      <c r="F110" s="5" t="s">
        <v>34</v>
      </c>
      <c r="G110" t="s">
        <v>584</v>
      </c>
      <c r="H110" s="5" t="s">
        <v>61</v>
      </c>
      <c r="I110" s="5" t="s">
        <v>32</v>
      </c>
      <c r="J110" s="5">
        <v>267</v>
      </c>
      <c r="K110" s="5" t="s">
        <v>10</v>
      </c>
      <c r="L110" s="5">
        <v>0</v>
      </c>
      <c r="M110" s="5" t="s">
        <v>29</v>
      </c>
      <c r="N110" s="5" t="s">
        <v>33</v>
      </c>
      <c r="O110" s="5">
        <v>9</v>
      </c>
      <c r="P110" s="5" t="s">
        <v>8</v>
      </c>
      <c r="Q110" s="5">
        <v>11.5</v>
      </c>
      <c r="R110" s="5">
        <v>2</v>
      </c>
    </row>
    <row r="111" spans="1:18">
      <c r="A111" s="4">
        <v>45791</v>
      </c>
      <c r="B111" s="5">
        <v>119229</v>
      </c>
      <c r="C111" s="4">
        <v>45817</v>
      </c>
      <c r="D111" s="5">
        <v>94672</v>
      </c>
      <c r="E111" s="5" t="s">
        <v>18</v>
      </c>
      <c r="F111" s="5" t="s">
        <v>38</v>
      </c>
      <c r="G111" t="s">
        <v>585</v>
      </c>
      <c r="H111" s="5" t="s">
        <v>65</v>
      </c>
      <c r="I111" s="5" t="s">
        <v>40</v>
      </c>
      <c r="J111" s="5">
        <f>134+464</f>
        <v>598</v>
      </c>
      <c r="K111" s="5" t="s">
        <v>10</v>
      </c>
      <c r="L111" s="5">
        <v>1</v>
      </c>
      <c r="M111" s="5" t="s">
        <v>33</v>
      </c>
      <c r="N111" s="5" t="s">
        <v>33</v>
      </c>
      <c r="O111" s="5">
        <v>18</v>
      </c>
      <c r="P111" s="5" t="s">
        <v>8</v>
      </c>
      <c r="Q111" s="5">
        <v>11.5</v>
      </c>
      <c r="R111" s="5">
        <v>2</v>
      </c>
    </row>
    <row r="112" spans="1:18">
      <c r="A112" s="4">
        <v>45791</v>
      </c>
      <c r="B112" s="5">
        <v>118006</v>
      </c>
      <c r="C112" s="4">
        <v>45817</v>
      </c>
      <c r="D112" s="5">
        <v>94671</v>
      </c>
      <c r="E112" s="5" t="s">
        <v>9</v>
      </c>
      <c r="F112" s="5" t="s">
        <v>34</v>
      </c>
      <c r="G112" t="s">
        <v>586</v>
      </c>
      <c r="H112" s="5" t="s">
        <v>65</v>
      </c>
      <c r="I112" s="5" t="s">
        <v>40</v>
      </c>
      <c r="J112" s="5">
        <f>336+515</f>
        <v>851</v>
      </c>
      <c r="K112" s="5" t="s">
        <v>10</v>
      </c>
      <c r="L112" s="5">
        <v>2</v>
      </c>
      <c r="M112" s="5" t="s">
        <v>33</v>
      </c>
      <c r="N112" s="5" t="s">
        <v>33</v>
      </c>
      <c r="O112" s="5">
        <v>18</v>
      </c>
      <c r="P112" s="5" t="s">
        <v>8</v>
      </c>
      <c r="Q112" s="5">
        <v>10</v>
      </c>
      <c r="R112" s="5">
        <v>2</v>
      </c>
    </row>
    <row r="113" spans="1:18" ht="30">
      <c r="A113" s="4">
        <v>45770</v>
      </c>
      <c r="B113" s="5">
        <v>118650</v>
      </c>
      <c r="C113" s="4">
        <v>45817</v>
      </c>
      <c r="D113" s="5">
        <v>94666</v>
      </c>
      <c r="E113" s="5" t="s">
        <v>18</v>
      </c>
      <c r="F113" s="5" t="s">
        <v>38</v>
      </c>
      <c r="G113" s="184" t="s">
        <v>587</v>
      </c>
      <c r="H113" s="5" t="s">
        <v>27</v>
      </c>
      <c r="I113" s="5" t="s">
        <v>35</v>
      </c>
      <c r="J113" s="5">
        <v>165</v>
      </c>
      <c r="K113" s="5" t="s">
        <v>10</v>
      </c>
      <c r="L113" s="5">
        <v>0</v>
      </c>
      <c r="M113" s="5" t="s">
        <v>33</v>
      </c>
      <c r="N113" s="5" t="s">
        <v>33</v>
      </c>
      <c r="O113" s="5">
        <v>33</v>
      </c>
      <c r="P113" s="5" t="s">
        <v>8</v>
      </c>
      <c r="Q113" s="5">
        <v>11.5</v>
      </c>
      <c r="R113" s="5">
        <v>3</v>
      </c>
    </row>
    <row r="114" spans="1:18" ht="30">
      <c r="A114" s="4">
        <v>45734</v>
      </c>
      <c r="B114" s="5">
        <v>117753</v>
      </c>
      <c r="C114" s="4">
        <v>45817</v>
      </c>
      <c r="D114" s="5">
        <v>94665</v>
      </c>
      <c r="E114" s="5" t="s">
        <v>17</v>
      </c>
      <c r="F114" s="5" t="s">
        <v>34</v>
      </c>
      <c r="G114" s="184" t="s">
        <v>588</v>
      </c>
      <c r="H114" s="5" t="s">
        <v>27</v>
      </c>
      <c r="I114" s="5" t="s">
        <v>35</v>
      </c>
      <c r="J114" s="5">
        <v>3778</v>
      </c>
      <c r="K114" s="5" t="s">
        <v>11</v>
      </c>
      <c r="L114" s="5">
        <v>1</v>
      </c>
      <c r="M114" s="5" t="s">
        <v>29</v>
      </c>
      <c r="N114" s="5" t="s">
        <v>33</v>
      </c>
      <c r="O114" s="5">
        <v>59</v>
      </c>
      <c r="P114" s="5" t="s">
        <v>8</v>
      </c>
      <c r="Q114" s="5">
        <v>40</v>
      </c>
      <c r="R114" s="5">
        <v>3</v>
      </c>
    </row>
    <row r="115" spans="1:18" ht="30">
      <c r="A115" s="4">
        <v>45817</v>
      </c>
      <c r="B115" s="5"/>
      <c r="C115" s="4">
        <v>45817</v>
      </c>
      <c r="D115" s="5">
        <v>94650</v>
      </c>
      <c r="E115" s="5" t="s">
        <v>41</v>
      </c>
      <c r="F115" s="5" t="s">
        <v>30</v>
      </c>
      <c r="G115" s="184" t="s">
        <v>589</v>
      </c>
      <c r="H115" s="5" t="s">
        <v>35</v>
      </c>
      <c r="I115" s="5" t="s">
        <v>35</v>
      </c>
      <c r="J115" s="5">
        <v>5</v>
      </c>
      <c r="K115" s="5" t="s">
        <v>10</v>
      </c>
      <c r="L115" s="5">
        <v>0</v>
      </c>
      <c r="M115" s="5" t="s">
        <v>33</v>
      </c>
      <c r="N115" s="5" t="s">
        <v>33</v>
      </c>
      <c r="O115" s="5">
        <v>0</v>
      </c>
      <c r="P115" s="5" t="s">
        <v>36</v>
      </c>
      <c r="Q115" s="5">
        <v>0</v>
      </c>
      <c r="R115" s="5">
        <v>1</v>
      </c>
    </row>
    <row r="116" spans="1:18">
      <c r="A116" s="4">
        <v>45807</v>
      </c>
      <c r="B116" s="5">
        <v>119570</v>
      </c>
      <c r="C116" s="4">
        <v>45817</v>
      </c>
      <c r="D116" s="5">
        <v>94648</v>
      </c>
      <c r="E116" s="5" t="s">
        <v>18</v>
      </c>
      <c r="F116" s="5" t="s">
        <v>34</v>
      </c>
      <c r="G116" s="95" t="s">
        <v>590</v>
      </c>
      <c r="H116" s="5" t="s">
        <v>64</v>
      </c>
      <c r="I116" s="5" t="s">
        <v>37</v>
      </c>
      <c r="J116" s="5">
        <v>864</v>
      </c>
      <c r="K116" s="5" t="s">
        <v>10</v>
      </c>
      <c r="L116" s="5">
        <v>1</v>
      </c>
      <c r="M116" s="5" t="s">
        <v>33</v>
      </c>
      <c r="N116" s="5" t="s">
        <v>33</v>
      </c>
      <c r="O116" s="5">
        <v>6</v>
      </c>
      <c r="P116" s="5" t="s">
        <v>8</v>
      </c>
      <c r="Q116" s="5">
        <v>11.5</v>
      </c>
      <c r="R116" s="5">
        <v>3</v>
      </c>
    </row>
    <row r="117" spans="1:18">
      <c r="A117" s="4">
        <v>45817</v>
      </c>
      <c r="B117" s="5">
        <v>119917</v>
      </c>
      <c r="C117" s="4">
        <v>45817</v>
      </c>
      <c r="D117" s="5">
        <v>94647</v>
      </c>
      <c r="E117" s="5" t="s">
        <v>16</v>
      </c>
      <c r="F117" s="5" t="s">
        <v>34</v>
      </c>
      <c r="G117" t="s">
        <v>591</v>
      </c>
      <c r="H117" s="5" t="s">
        <v>54</v>
      </c>
      <c r="I117" s="5" t="s">
        <v>32</v>
      </c>
      <c r="J117" s="5">
        <v>48</v>
      </c>
      <c r="K117" s="5" t="s">
        <v>10</v>
      </c>
      <c r="L117" s="5">
        <v>0</v>
      </c>
      <c r="M117" s="5" t="s">
        <v>33</v>
      </c>
      <c r="N117" s="5" t="s">
        <v>33</v>
      </c>
      <c r="O117" s="5">
        <v>0</v>
      </c>
      <c r="P117" s="5" t="s">
        <v>36</v>
      </c>
      <c r="Q117" s="5">
        <v>0</v>
      </c>
      <c r="R117" s="5">
        <v>3</v>
      </c>
    </row>
    <row r="118" spans="1:18">
      <c r="A118" s="4">
        <v>45814</v>
      </c>
      <c r="B118" s="5">
        <v>119888</v>
      </c>
      <c r="C118" s="4">
        <v>45817</v>
      </c>
      <c r="D118" s="5">
        <v>94645</v>
      </c>
      <c r="E118" s="5" t="s">
        <v>18</v>
      </c>
      <c r="F118" s="5" t="s">
        <v>34</v>
      </c>
      <c r="G118" t="s">
        <v>592</v>
      </c>
      <c r="H118" s="5" t="s">
        <v>61</v>
      </c>
      <c r="I118" s="5" t="s">
        <v>32</v>
      </c>
      <c r="J118" s="5">
        <v>88</v>
      </c>
      <c r="K118" s="5" t="s">
        <v>10</v>
      </c>
      <c r="L118" s="5">
        <v>0</v>
      </c>
      <c r="M118" s="5" t="s">
        <v>33</v>
      </c>
      <c r="N118" s="5" t="s">
        <v>33</v>
      </c>
      <c r="O118" s="5">
        <v>1</v>
      </c>
      <c r="P118" s="5" t="s">
        <v>8</v>
      </c>
      <c r="Q118" s="5">
        <v>11.5</v>
      </c>
      <c r="R118" s="5">
        <v>2</v>
      </c>
    </row>
    <row r="119" spans="1:18">
      <c r="A119" s="4">
        <v>45568</v>
      </c>
      <c r="B119" s="5">
        <v>113416</v>
      </c>
      <c r="C119" s="4">
        <v>45814</v>
      </c>
      <c r="D119" s="5">
        <v>94634</v>
      </c>
      <c r="E119" s="5" t="s">
        <v>18</v>
      </c>
      <c r="F119" s="5" t="s">
        <v>34</v>
      </c>
      <c r="G119" t="s">
        <v>593</v>
      </c>
      <c r="H119" s="5" t="s">
        <v>54</v>
      </c>
      <c r="I119" s="5" t="s">
        <v>32</v>
      </c>
      <c r="J119" s="5">
        <v>1007</v>
      </c>
      <c r="K119" s="5" t="s">
        <v>10</v>
      </c>
      <c r="L119" s="5">
        <v>0</v>
      </c>
      <c r="M119" s="5" t="s">
        <v>33</v>
      </c>
      <c r="N119" s="5" t="s">
        <v>33</v>
      </c>
      <c r="O119" s="5">
        <v>176</v>
      </c>
      <c r="P119" s="5" t="s">
        <v>36</v>
      </c>
      <c r="Q119" s="5">
        <v>0</v>
      </c>
      <c r="R119" s="5">
        <v>3</v>
      </c>
    </row>
    <row r="120" spans="1:18">
      <c r="A120" s="4">
        <v>45811</v>
      </c>
      <c r="B120" s="5">
        <v>119805</v>
      </c>
      <c r="C120" s="4">
        <v>45814</v>
      </c>
      <c r="D120" s="5">
        <v>94633</v>
      </c>
      <c r="E120" s="5" t="s">
        <v>16</v>
      </c>
      <c r="F120" s="5" t="s">
        <v>38</v>
      </c>
      <c r="G120" t="s">
        <v>594</v>
      </c>
      <c r="H120" s="5" t="s">
        <v>39</v>
      </c>
      <c r="I120" s="5" t="s">
        <v>45</v>
      </c>
      <c r="J120" s="5">
        <v>95</v>
      </c>
      <c r="K120" s="5" t="s">
        <v>10</v>
      </c>
      <c r="L120" s="5">
        <v>0</v>
      </c>
      <c r="M120" s="5" t="s">
        <v>33</v>
      </c>
      <c r="N120" s="5" t="s">
        <v>33</v>
      </c>
      <c r="O120" s="5">
        <v>3</v>
      </c>
      <c r="P120" s="5" t="s">
        <v>14</v>
      </c>
      <c r="Q120" s="5">
        <v>3</v>
      </c>
      <c r="R120" s="5">
        <v>3</v>
      </c>
    </row>
    <row r="121" spans="1:18">
      <c r="A121" s="4">
        <v>45813</v>
      </c>
      <c r="B121" s="5">
        <v>118479</v>
      </c>
      <c r="C121" s="4">
        <v>45814</v>
      </c>
      <c r="D121" s="5">
        <v>94627</v>
      </c>
      <c r="E121" s="5" t="s">
        <v>9</v>
      </c>
      <c r="F121" s="5" t="s">
        <v>34</v>
      </c>
      <c r="G121" t="s">
        <v>595</v>
      </c>
      <c r="H121" s="5" t="s">
        <v>50</v>
      </c>
      <c r="I121" s="5" t="s">
        <v>40</v>
      </c>
      <c r="J121" s="5">
        <f>213+76</f>
        <v>289</v>
      </c>
      <c r="K121" s="5" t="s">
        <v>10</v>
      </c>
      <c r="L121" s="5">
        <v>0</v>
      </c>
      <c r="M121" s="5" t="s">
        <v>33</v>
      </c>
      <c r="N121" s="5" t="s">
        <v>33</v>
      </c>
      <c r="O121" s="5">
        <v>1</v>
      </c>
      <c r="P121" s="5" t="s">
        <v>8</v>
      </c>
      <c r="Q121" s="5">
        <v>10</v>
      </c>
      <c r="R121" s="5">
        <v>2</v>
      </c>
    </row>
    <row r="122" spans="1:18">
      <c r="A122" s="4">
        <v>45813</v>
      </c>
      <c r="B122" s="5">
        <v>119846</v>
      </c>
      <c r="C122" s="4">
        <v>45814</v>
      </c>
      <c r="D122" s="5">
        <v>94626</v>
      </c>
      <c r="E122" s="5" t="s">
        <v>16</v>
      </c>
      <c r="F122" s="5" t="s">
        <v>34</v>
      </c>
      <c r="G122" t="s">
        <v>596</v>
      </c>
      <c r="H122" s="5" t="s">
        <v>56</v>
      </c>
      <c r="I122" s="5" t="s">
        <v>28</v>
      </c>
      <c r="J122" s="5">
        <v>165</v>
      </c>
      <c r="K122" s="5" t="s">
        <v>10</v>
      </c>
      <c r="L122" s="5">
        <v>0</v>
      </c>
      <c r="M122" s="5" t="s">
        <v>33</v>
      </c>
      <c r="N122" s="5" t="s">
        <v>33</v>
      </c>
      <c r="O122" s="5">
        <v>1</v>
      </c>
      <c r="P122" s="5" t="s">
        <v>36</v>
      </c>
      <c r="Q122" s="5">
        <v>0</v>
      </c>
      <c r="R122" s="5">
        <v>3</v>
      </c>
    </row>
    <row r="123" spans="1:18">
      <c r="A123" s="4">
        <v>45813</v>
      </c>
      <c r="B123" s="5">
        <v>119728</v>
      </c>
      <c r="C123" s="4">
        <v>45814</v>
      </c>
      <c r="D123" s="5">
        <v>94625</v>
      </c>
      <c r="E123" s="5" t="s">
        <v>16</v>
      </c>
      <c r="F123" s="5" t="s">
        <v>34</v>
      </c>
      <c r="G123" t="s">
        <v>597</v>
      </c>
      <c r="H123" s="5" t="s">
        <v>56</v>
      </c>
      <c r="I123" s="5" t="s">
        <v>28</v>
      </c>
      <c r="J123" s="5">
        <v>76</v>
      </c>
      <c r="K123" s="5" t="s">
        <v>10</v>
      </c>
      <c r="L123" s="5">
        <v>0</v>
      </c>
      <c r="M123" s="5" t="s">
        <v>33</v>
      </c>
      <c r="N123" s="5" t="s">
        <v>33</v>
      </c>
      <c r="O123" s="5">
        <v>1</v>
      </c>
      <c r="P123" s="5" t="s">
        <v>36</v>
      </c>
      <c r="Q123" s="5">
        <v>0</v>
      </c>
      <c r="R123" s="5">
        <v>3</v>
      </c>
    </row>
    <row r="124" spans="1:18">
      <c r="A124" s="4">
        <v>45812</v>
      </c>
      <c r="B124" s="5">
        <v>119837</v>
      </c>
      <c r="C124" s="4">
        <v>45814</v>
      </c>
      <c r="D124" s="5">
        <v>94624</v>
      </c>
      <c r="E124" s="5" t="s">
        <v>16</v>
      </c>
      <c r="F124" s="5" t="s">
        <v>34</v>
      </c>
      <c r="G124" t="s">
        <v>598</v>
      </c>
      <c r="H124" s="5" t="s">
        <v>56</v>
      </c>
      <c r="I124" s="5" t="s">
        <v>28</v>
      </c>
      <c r="J124" s="5">
        <v>47</v>
      </c>
      <c r="K124" s="5" t="s">
        <v>10</v>
      </c>
      <c r="L124" s="5">
        <v>0</v>
      </c>
      <c r="M124" s="5" t="s">
        <v>33</v>
      </c>
      <c r="N124" s="5" t="s">
        <v>33</v>
      </c>
      <c r="O124" s="5">
        <v>2</v>
      </c>
      <c r="P124" s="5" t="s">
        <v>36</v>
      </c>
      <c r="Q124" s="5">
        <v>0</v>
      </c>
      <c r="R124" s="5">
        <v>3</v>
      </c>
    </row>
    <row r="125" spans="1:18">
      <c r="A125" s="4">
        <v>45812</v>
      </c>
      <c r="B125" s="5">
        <v>119817</v>
      </c>
      <c r="C125" s="4">
        <v>45814</v>
      </c>
      <c r="D125" s="5">
        <v>94623</v>
      </c>
      <c r="E125" s="5" t="s">
        <v>16</v>
      </c>
      <c r="F125" s="5" t="s">
        <v>34</v>
      </c>
      <c r="G125" t="s">
        <v>599</v>
      </c>
      <c r="H125" s="5" t="s">
        <v>56</v>
      </c>
      <c r="I125" s="5" t="s">
        <v>28</v>
      </c>
      <c r="J125" s="5">
        <v>141</v>
      </c>
      <c r="K125" s="5" t="s">
        <v>10</v>
      </c>
      <c r="L125" s="5">
        <v>0</v>
      </c>
      <c r="M125" s="5" t="s">
        <v>33</v>
      </c>
      <c r="N125" s="5" t="s">
        <v>33</v>
      </c>
      <c r="O125" s="5">
        <v>2</v>
      </c>
      <c r="P125" s="5" t="s">
        <v>36</v>
      </c>
      <c r="Q125" s="5">
        <v>0</v>
      </c>
      <c r="R125" s="5">
        <v>3</v>
      </c>
    </row>
    <row r="126" spans="1:18">
      <c r="A126" s="4">
        <v>45812</v>
      </c>
      <c r="B126" s="5">
        <v>119797</v>
      </c>
      <c r="C126" s="4">
        <v>45813</v>
      </c>
      <c r="D126" s="5">
        <v>94604</v>
      </c>
      <c r="E126" s="5" t="s">
        <v>18</v>
      </c>
      <c r="F126" s="5" t="s">
        <v>30</v>
      </c>
      <c r="G126" t="s">
        <v>600</v>
      </c>
      <c r="H126" s="5" t="s">
        <v>67</v>
      </c>
      <c r="I126" s="5" t="s">
        <v>43</v>
      </c>
      <c r="J126" s="5">
        <v>351</v>
      </c>
      <c r="K126" s="5" t="s">
        <v>10</v>
      </c>
      <c r="L126" s="5">
        <v>0</v>
      </c>
      <c r="M126" s="5" t="s">
        <v>33</v>
      </c>
      <c r="N126" s="5" t="s">
        <v>33</v>
      </c>
      <c r="O126" s="5">
        <v>1</v>
      </c>
      <c r="P126" s="5" t="s">
        <v>8</v>
      </c>
      <c r="Q126" s="5">
        <v>11.5</v>
      </c>
      <c r="R126" s="5">
        <v>3</v>
      </c>
    </row>
    <row r="127" spans="1:18">
      <c r="A127" s="4">
        <v>45750</v>
      </c>
      <c r="B127" s="5">
        <v>80868</v>
      </c>
      <c r="C127" s="4">
        <v>45751</v>
      </c>
      <c r="D127" s="5">
        <v>94580</v>
      </c>
      <c r="E127" s="5" t="s">
        <v>18</v>
      </c>
      <c r="F127" s="5" t="s">
        <v>38</v>
      </c>
      <c r="G127" t="s">
        <v>601</v>
      </c>
      <c r="H127" s="5" t="s">
        <v>39</v>
      </c>
      <c r="I127" s="5" t="s">
        <v>43</v>
      </c>
      <c r="J127" s="5">
        <v>405</v>
      </c>
      <c r="K127" s="5" t="s">
        <v>10</v>
      </c>
      <c r="L127" s="5">
        <v>1</v>
      </c>
      <c r="M127" s="5" t="s">
        <v>33</v>
      </c>
      <c r="N127" s="5" t="s">
        <v>33</v>
      </c>
      <c r="O127" s="5">
        <v>1</v>
      </c>
      <c r="P127" s="5" t="s">
        <v>14</v>
      </c>
      <c r="Q127" s="5">
        <v>10</v>
      </c>
      <c r="R127" s="5">
        <v>3</v>
      </c>
    </row>
    <row r="128" spans="1:18">
      <c r="A128" s="4">
        <v>45807</v>
      </c>
      <c r="B128" s="5">
        <v>119031</v>
      </c>
      <c r="C128" s="4">
        <v>45811</v>
      </c>
      <c r="D128" s="5">
        <v>94555</v>
      </c>
      <c r="E128" s="5" t="s">
        <v>16</v>
      </c>
      <c r="F128" s="5" t="s">
        <v>34</v>
      </c>
      <c r="G128" t="s">
        <v>602</v>
      </c>
      <c r="H128" s="5" t="s">
        <v>56</v>
      </c>
      <c r="I128" s="5" t="s">
        <v>28</v>
      </c>
      <c r="J128" s="5">
        <v>561</v>
      </c>
      <c r="K128" s="5" t="s">
        <v>10</v>
      </c>
      <c r="L128" s="5">
        <v>0</v>
      </c>
      <c r="M128" s="5" t="s">
        <v>33</v>
      </c>
      <c r="N128" s="5" t="s">
        <v>33</v>
      </c>
      <c r="O128" s="5">
        <v>2</v>
      </c>
      <c r="P128" s="5" t="s">
        <v>36</v>
      </c>
      <c r="Q128" s="5">
        <v>0</v>
      </c>
      <c r="R128" s="5">
        <v>3</v>
      </c>
    </row>
    <row r="129" spans="1:18">
      <c r="A129" s="4">
        <v>45810</v>
      </c>
      <c r="B129" s="5">
        <v>119750</v>
      </c>
      <c r="C129" s="4">
        <v>45811</v>
      </c>
      <c r="D129" s="5">
        <v>94554</v>
      </c>
      <c r="E129" s="5" t="s">
        <v>16</v>
      </c>
      <c r="F129" s="5" t="s">
        <v>38</v>
      </c>
      <c r="G129" t="s">
        <v>603</v>
      </c>
      <c r="H129" s="5" t="s">
        <v>39</v>
      </c>
      <c r="I129" s="5" t="s">
        <v>45</v>
      </c>
      <c r="J129" s="5">
        <v>120</v>
      </c>
      <c r="K129" s="5" t="s">
        <v>10</v>
      </c>
      <c r="L129" s="5">
        <v>0</v>
      </c>
      <c r="M129" s="5" t="s">
        <v>33</v>
      </c>
      <c r="N129" s="5" t="s">
        <v>33</v>
      </c>
      <c r="O129" s="5">
        <v>1</v>
      </c>
      <c r="P129" s="5" t="s">
        <v>14</v>
      </c>
      <c r="Q129" s="5">
        <v>3</v>
      </c>
      <c r="R129" s="5">
        <v>3</v>
      </c>
    </row>
    <row r="130" spans="1:18">
      <c r="A130" s="4">
        <v>45803</v>
      </c>
      <c r="B130" s="5">
        <v>119526</v>
      </c>
      <c r="C130" s="4">
        <v>45811</v>
      </c>
      <c r="D130" s="5">
        <v>94548</v>
      </c>
      <c r="E130" s="5" t="s">
        <v>16</v>
      </c>
      <c r="F130" s="5" t="s">
        <v>34</v>
      </c>
      <c r="G130" t="s">
        <v>604</v>
      </c>
      <c r="H130" s="5" t="s">
        <v>56</v>
      </c>
      <c r="I130" s="5" t="s">
        <v>28</v>
      </c>
      <c r="J130" s="5">
        <v>111</v>
      </c>
      <c r="K130" s="5" t="s">
        <v>10</v>
      </c>
      <c r="L130" s="5">
        <v>0</v>
      </c>
      <c r="M130" s="5" t="s">
        <v>33</v>
      </c>
      <c r="N130" s="5" t="s">
        <v>33</v>
      </c>
      <c r="O130" s="5">
        <v>6</v>
      </c>
      <c r="P130" s="5" t="s">
        <v>36</v>
      </c>
      <c r="Q130" s="5">
        <v>0</v>
      </c>
      <c r="R130" s="5">
        <v>3</v>
      </c>
    </row>
    <row r="131" spans="1:18">
      <c r="A131" s="4">
        <v>45804</v>
      </c>
      <c r="B131" s="5">
        <v>119027</v>
      </c>
      <c r="C131" s="4">
        <v>45811</v>
      </c>
      <c r="D131" s="5">
        <v>94549</v>
      </c>
      <c r="E131" s="5" t="s">
        <v>16</v>
      </c>
      <c r="F131" s="5" t="s">
        <v>34</v>
      </c>
      <c r="G131" t="s">
        <v>605</v>
      </c>
      <c r="H131" s="5" t="s">
        <v>56</v>
      </c>
      <c r="I131" s="5" t="s">
        <v>28</v>
      </c>
      <c r="J131" s="5">
        <v>128</v>
      </c>
      <c r="K131" s="5" t="s">
        <v>10</v>
      </c>
      <c r="L131" s="5">
        <v>0</v>
      </c>
      <c r="M131" s="5" t="s">
        <v>33</v>
      </c>
      <c r="N131" s="5" t="s">
        <v>33</v>
      </c>
      <c r="O131" s="5">
        <v>5</v>
      </c>
      <c r="P131" s="5" t="s">
        <v>36</v>
      </c>
      <c r="Q131" s="5">
        <v>0</v>
      </c>
      <c r="R131" s="5">
        <v>3</v>
      </c>
    </row>
    <row r="132" spans="1:18">
      <c r="A132" s="4">
        <v>45811</v>
      </c>
      <c r="B132" s="5">
        <v>119282</v>
      </c>
      <c r="C132" s="4">
        <v>45811</v>
      </c>
      <c r="D132" s="5">
        <v>94553</v>
      </c>
      <c r="E132" s="5" t="s">
        <v>16</v>
      </c>
      <c r="F132" s="5" t="s">
        <v>34</v>
      </c>
      <c r="G132" t="s">
        <v>606</v>
      </c>
      <c r="H132" s="5" t="s">
        <v>56</v>
      </c>
      <c r="I132" s="5" t="s">
        <v>28</v>
      </c>
      <c r="J132" s="5">
        <v>193</v>
      </c>
      <c r="K132" s="5" t="s">
        <v>10</v>
      </c>
      <c r="L132" s="5">
        <v>0</v>
      </c>
      <c r="M132" s="5" t="s">
        <v>33</v>
      </c>
      <c r="N132" s="5" t="s">
        <v>33</v>
      </c>
      <c r="O132" s="5">
        <v>0</v>
      </c>
      <c r="P132" s="5" t="s">
        <v>36</v>
      </c>
      <c r="Q132" s="5">
        <v>0</v>
      </c>
      <c r="R132" s="5">
        <v>3</v>
      </c>
    </row>
    <row r="133" spans="1:18">
      <c r="A133" s="4">
        <v>45810</v>
      </c>
      <c r="B133" s="5">
        <v>119733</v>
      </c>
      <c r="C133" s="4">
        <v>45811</v>
      </c>
      <c r="D133" s="5">
        <v>94552</v>
      </c>
      <c r="E133" s="5" t="s">
        <v>16</v>
      </c>
      <c r="F133" s="5" t="s">
        <v>34</v>
      </c>
      <c r="G133" t="s">
        <v>607</v>
      </c>
      <c r="H133" s="5" t="s">
        <v>56</v>
      </c>
      <c r="I133" s="5" t="s">
        <v>28</v>
      </c>
      <c r="J133" s="5">
        <v>178</v>
      </c>
      <c r="K133" s="5" t="s">
        <v>10</v>
      </c>
      <c r="L133" s="5">
        <v>0</v>
      </c>
      <c r="M133" s="5" t="s">
        <v>33</v>
      </c>
      <c r="N133" s="5" t="s">
        <v>33</v>
      </c>
      <c r="O133" s="5">
        <v>1</v>
      </c>
      <c r="P133" s="5" t="s">
        <v>36</v>
      </c>
      <c r="Q133" s="5">
        <v>0</v>
      </c>
      <c r="R133" s="5">
        <v>3</v>
      </c>
    </row>
    <row r="134" spans="1:18">
      <c r="A134" s="4">
        <v>45807</v>
      </c>
      <c r="B134" s="5">
        <v>119724</v>
      </c>
      <c r="C134" s="4">
        <v>45811</v>
      </c>
      <c r="D134" s="5">
        <v>94551</v>
      </c>
      <c r="E134" s="5" t="s">
        <v>16</v>
      </c>
      <c r="F134" s="5" t="s">
        <v>34</v>
      </c>
      <c r="G134" t="s">
        <v>608</v>
      </c>
      <c r="H134" s="5" t="s">
        <v>56</v>
      </c>
      <c r="I134" s="5" t="s">
        <v>28</v>
      </c>
      <c r="J134" s="5">
        <v>124</v>
      </c>
      <c r="K134" s="5" t="s">
        <v>10</v>
      </c>
      <c r="L134" s="5">
        <v>0</v>
      </c>
      <c r="M134" s="5" t="s">
        <v>33</v>
      </c>
      <c r="N134" s="5" t="s">
        <v>33</v>
      </c>
      <c r="O134" s="5">
        <v>2</v>
      </c>
      <c r="P134" s="5" t="s">
        <v>36</v>
      </c>
      <c r="Q134" s="5">
        <v>0</v>
      </c>
      <c r="R134" s="5">
        <v>3</v>
      </c>
    </row>
    <row r="135" spans="1:18">
      <c r="A135" s="4">
        <v>45805</v>
      </c>
      <c r="B135" s="5">
        <v>119649</v>
      </c>
      <c r="C135" s="4">
        <v>45811</v>
      </c>
      <c r="D135" s="5">
        <v>94550</v>
      </c>
      <c r="E135" s="5" t="s">
        <v>16</v>
      </c>
      <c r="F135" s="5" t="s">
        <v>34</v>
      </c>
      <c r="G135" t="s">
        <v>609</v>
      </c>
      <c r="H135" s="5" t="s">
        <v>56</v>
      </c>
      <c r="I135" s="5" t="s">
        <v>28</v>
      </c>
      <c r="J135" s="5">
        <v>124</v>
      </c>
      <c r="K135" s="5" t="s">
        <v>10</v>
      </c>
      <c r="L135" s="5">
        <v>0</v>
      </c>
      <c r="M135" s="5" t="s">
        <v>33</v>
      </c>
      <c r="N135" s="5" t="s">
        <v>33</v>
      </c>
      <c r="O135" s="5">
        <v>4</v>
      </c>
      <c r="P135" s="5" t="s">
        <v>36</v>
      </c>
      <c r="Q135" s="5">
        <v>0</v>
      </c>
      <c r="R135" s="5">
        <v>3</v>
      </c>
    </row>
    <row r="136" spans="1:18">
      <c r="A136" s="4">
        <v>45807</v>
      </c>
      <c r="B136" s="5">
        <v>119711</v>
      </c>
      <c r="C136" s="4">
        <v>45811</v>
      </c>
      <c r="D136" s="5">
        <v>94544</v>
      </c>
      <c r="E136" s="5" t="s">
        <v>16</v>
      </c>
      <c r="F136" s="5" t="s">
        <v>38</v>
      </c>
      <c r="G136" t="s">
        <v>610</v>
      </c>
      <c r="H136" s="5" t="s">
        <v>39</v>
      </c>
      <c r="I136" s="5" t="s">
        <v>45</v>
      </c>
      <c r="J136" s="5">
        <v>84</v>
      </c>
      <c r="K136" s="5" t="s">
        <v>10</v>
      </c>
      <c r="L136" s="5">
        <v>0</v>
      </c>
      <c r="M136" s="5" t="s">
        <v>33</v>
      </c>
      <c r="N136" s="5" t="s">
        <v>33</v>
      </c>
      <c r="O136" s="5">
        <v>2</v>
      </c>
      <c r="P136" s="5" t="s">
        <v>14</v>
      </c>
      <c r="Q136" s="5">
        <v>3</v>
      </c>
      <c r="R136" s="5">
        <v>3</v>
      </c>
    </row>
    <row r="137" spans="1:18">
      <c r="A137" s="4">
        <v>45779</v>
      </c>
      <c r="B137" s="5">
        <v>119786</v>
      </c>
      <c r="C137" s="4">
        <v>45779</v>
      </c>
      <c r="D137" s="5">
        <v>94538</v>
      </c>
      <c r="E137" s="5" t="s">
        <v>18</v>
      </c>
      <c r="F137" s="5" t="s">
        <v>30</v>
      </c>
      <c r="G137" t="s">
        <v>611</v>
      </c>
      <c r="H137" s="5" t="s">
        <v>66</v>
      </c>
      <c r="I137" s="5" t="s">
        <v>43</v>
      </c>
      <c r="J137" s="5">
        <v>10</v>
      </c>
      <c r="K137" s="5" t="s">
        <v>10</v>
      </c>
      <c r="L137" s="5">
        <v>0</v>
      </c>
      <c r="M137" s="5" t="s">
        <v>33</v>
      </c>
      <c r="N137" s="5" t="s">
        <v>33</v>
      </c>
      <c r="O137" s="5">
        <v>0</v>
      </c>
      <c r="P137" s="5" t="s">
        <v>36</v>
      </c>
      <c r="Q137" s="5">
        <v>0</v>
      </c>
      <c r="R137" s="5">
        <v>3</v>
      </c>
    </row>
    <row r="138" spans="1:18">
      <c r="A138" s="4">
        <v>45810</v>
      </c>
      <c r="B138" s="5">
        <v>119747</v>
      </c>
      <c r="C138" s="4">
        <v>45810</v>
      </c>
      <c r="D138" s="5">
        <v>94537</v>
      </c>
      <c r="E138" s="5" t="s">
        <v>18</v>
      </c>
      <c r="F138" s="5" t="s">
        <v>30</v>
      </c>
      <c r="G138" t="s">
        <v>612</v>
      </c>
      <c r="H138" s="5" t="s">
        <v>67</v>
      </c>
      <c r="I138" s="5" t="s">
        <v>43</v>
      </c>
      <c r="J138" s="5">
        <v>36</v>
      </c>
      <c r="K138" s="5" t="s">
        <v>10</v>
      </c>
      <c r="L138" s="5">
        <v>0</v>
      </c>
      <c r="M138" s="5" t="s">
        <v>33</v>
      </c>
      <c r="N138" s="5" t="s">
        <v>33</v>
      </c>
      <c r="O138" s="5">
        <v>0</v>
      </c>
      <c r="P138" s="5" t="s">
        <v>8</v>
      </c>
      <c r="Q138" s="5">
        <v>11.5</v>
      </c>
      <c r="R138" s="5">
        <v>3</v>
      </c>
    </row>
    <row r="139" spans="1:18">
      <c r="A139" s="4">
        <v>45779</v>
      </c>
      <c r="B139" s="5">
        <v>119772</v>
      </c>
      <c r="C139" s="4">
        <v>45779</v>
      </c>
      <c r="D139" s="5">
        <v>94524</v>
      </c>
      <c r="E139" s="5" t="s">
        <v>18</v>
      </c>
      <c r="F139" s="5" t="s">
        <v>38</v>
      </c>
      <c r="G139" t="s">
        <v>613</v>
      </c>
      <c r="H139" s="5" t="s">
        <v>66</v>
      </c>
      <c r="I139" s="5" t="s">
        <v>43</v>
      </c>
      <c r="J139" s="5">
        <v>15</v>
      </c>
      <c r="K139" s="5" t="s">
        <v>10</v>
      </c>
      <c r="L139" s="5">
        <v>0</v>
      </c>
      <c r="M139" s="5" t="s">
        <v>33</v>
      </c>
      <c r="N139" s="5" t="s">
        <v>33</v>
      </c>
      <c r="O139" s="5">
        <v>0</v>
      </c>
      <c r="P139" s="5" t="s">
        <v>36</v>
      </c>
      <c r="Q139" s="5">
        <v>0</v>
      </c>
      <c r="R139" s="5">
        <v>3</v>
      </c>
    </row>
    <row r="140" spans="1:18">
      <c r="A140" s="4">
        <v>45810</v>
      </c>
      <c r="B140" s="5">
        <v>119770</v>
      </c>
      <c r="C140" s="4">
        <v>45810</v>
      </c>
      <c r="D140" s="5">
        <v>94521</v>
      </c>
      <c r="E140" s="5" t="s">
        <v>18</v>
      </c>
      <c r="F140" s="5" t="s">
        <v>38</v>
      </c>
      <c r="G140" s="5" t="s">
        <v>614</v>
      </c>
      <c r="H140" s="5" t="s">
        <v>66</v>
      </c>
      <c r="I140" s="5" t="s">
        <v>43</v>
      </c>
      <c r="J140" s="5">
        <v>15</v>
      </c>
      <c r="K140" s="5" t="s">
        <v>10</v>
      </c>
      <c r="L140" s="5">
        <v>0</v>
      </c>
      <c r="M140" s="5" t="s">
        <v>33</v>
      </c>
      <c r="N140" s="5" t="s">
        <v>33</v>
      </c>
      <c r="O140" s="5">
        <v>0</v>
      </c>
      <c r="P140" s="5" t="s">
        <v>36</v>
      </c>
      <c r="Q140" s="5">
        <v>0</v>
      </c>
      <c r="R140" s="5">
        <v>3</v>
      </c>
    </row>
    <row r="141" spans="1:18">
      <c r="A141" s="4">
        <v>45810</v>
      </c>
      <c r="B141" s="5">
        <v>119769</v>
      </c>
      <c r="C141" s="4">
        <v>45810</v>
      </c>
      <c r="D141" s="5">
        <v>94520</v>
      </c>
      <c r="E141" s="5" t="s">
        <v>18</v>
      </c>
      <c r="F141" s="5" t="s">
        <v>38</v>
      </c>
      <c r="G141" s="5" t="s">
        <v>614</v>
      </c>
      <c r="H141" s="5" t="s">
        <v>66</v>
      </c>
      <c r="I141" s="5" t="s">
        <v>43</v>
      </c>
      <c r="J141" s="5">
        <v>15</v>
      </c>
      <c r="K141" s="5" t="s">
        <v>10</v>
      </c>
      <c r="L141" s="5">
        <v>0</v>
      </c>
      <c r="M141" s="5" t="s">
        <v>33</v>
      </c>
      <c r="N141" s="5" t="s">
        <v>33</v>
      </c>
      <c r="O141" s="5">
        <v>0</v>
      </c>
      <c r="P141" s="5" t="s">
        <v>36</v>
      </c>
      <c r="Q141" s="5">
        <v>0</v>
      </c>
      <c r="R141" s="5">
        <v>3</v>
      </c>
    </row>
  </sheetData>
  <autoFilter ref="A39:R141" xr:uid="{557B6B75-9BC2-4ADA-A688-02B09E64290C}"/>
  <mergeCells count="5">
    <mergeCell ref="AH3:AM3"/>
    <mergeCell ref="AO3:AT3"/>
    <mergeCell ref="U1:X1"/>
    <mergeCell ref="U3:Y3"/>
    <mergeCell ref="AA3:AF3"/>
  </mergeCells>
  <dataValidations count="4">
    <dataValidation showInputMessage="1" showErrorMessage="1" sqref="F33:F35 K33 P40:R41 P42:R141" xr:uid="{03BD0527-2D63-48A1-B18C-3E48422BBD08}"/>
    <dataValidation type="custom" showInputMessage="1" showErrorMessage="1" sqref="K34:K35" xr:uid="{228C266B-F45D-4280-A36D-7A080E32088C}">
      <formula1>_xlfn.DAYS(H207,F207)</formula1>
    </dataValidation>
    <dataValidation type="custom" allowBlank="1" showInputMessage="1" showErrorMessage="1" sqref="AE38 O38" xr:uid="{ECD7E3DE-40F9-4117-B1D5-B38E1B83BDD8}">
      <formula1>_xlfn.DAYS(L210,J210)</formula1>
    </dataValidation>
    <dataValidation type="custom" showInputMessage="1" showErrorMessage="1" sqref="AF38 P38" xr:uid="{83914C2B-7EAE-46C9-8346-96319E8A6B0E}">
      <formula1>_xlfn.DAYS(M209,K209)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18E1ABB2-50C6-4F89-B3E2-CAD481E51508}">
          <x14:formula1>
            <xm:f>Cadastros!$N$12:$N$16</xm:f>
          </x14:formula1>
          <xm:sqref>I38 Y38 K26</xm:sqref>
        </x14:dataValidation>
        <x14:dataValidation type="list" allowBlank="1" showInputMessage="1" showErrorMessage="1" xr:uid="{2624E07D-399B-4F89-B3B3-5A9F4DF7C28D}">
          <x14:formula1>
            <xm:f>Cadastros!$Q$12:$Q$17</xm:f>
          </x14:formula1>
          <xm:sqref>K38 AA38 K28 F28 K40:K41 K42:K141</xm:sqref>
        </x14:dataValidation>
        <x14:dataValidation type="list" allowBlank="1" showInputMessage="1" showErrorMessage="1" xr:uid="{28C64BC1-F0FA-45A0-A841-AC23DEDCCCAB}">
          <x14:formula1>
            <xm:f>Cadastros!$F$12:$F$25</xm:f>
          </x14:formula1>
          <xm:sqref>G38 K24 AM38 F23 F40:F41 F42:F141</xm:sqref>
        </x14:dataValidation>
        <x14:dataValidation type="list" allowBlank="1" showInputMessage="1" showErrorMessage="1" xr:uid="{7854DF25-DD34-43FB-888C-1D2DA48086D5}">
          <x14:formula1>
            <xm:f>Cadastros!$S$12:$S$13</xm:f>
          </x14:formula1>
          <xm:sqref>M38:N38 AC38:AD38 K30:K31 F30:F31 M40:N41 M42:N141</xm:sqref>
        </x14:dataValidation>
        <x14:dataValidation type="list" errorStyle="information" allowBlank="1" showInputMessage="1" showErrorMessage="1" xr:uid="{35E3E8DF-7C3B-4C23-A476-F72D27A3E0B4}">
          <x14:formula1>
            <xm:f>Cadastros!$I$12:$I$21</xm:f>
          </x14:formula1>
          <xm:sqref>H38 K25</xm:sqref>
        </x14:dataValidation>
        <x14:dataValidation type="list" showInputMessage="1" showErrorMessage="1" xr:uid="{D48D2266-2790-43C2-AEDE-822BDE58F797}">
          <x14:formula1>
            <xm:f>Cadastros!$C$12:$C$16</xm:f>
          </x14:formula1>
          <xm:sqref>K22 AK38 F22 E38 E40:E41 E42:E141</xm:sqref>
        </x14:dataValidation>
        <x14:dataValidation type="list" errorStyle="information" allowBlank="1" showInputMessage="1" showErrorMessage="1" xr:uid="{81DEED7F-D988-4018-9EA3-80E3CF7725A5}">
          <x14:formula1>
            <xm:f>Cadastros!$I$12:$I$36</xm:f>
          </x14:formula1>
          <xm:sqref>F25 H40:H41 H42:H141</xm:sqref>
        </x14:dataValidation>
        <x14:dataValidation type="list" allowBlank="1" showInputMessage="1" showErrorMessage="1" xr:uid="{EC5B79EB-3F59-41E7-938F-0FDF74679642}">
          <x14:formula1>
            <xm:f>Cadastros!$N$12:$N$19</xm:f>
          </x14:formula1>
          <xm:sqref>F26 I40:I41 I42:I141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CE97-099C-43B5-B5B1-CD25C63CF7A3}">
  <sheetPr codeName="Planilha10"/>
  <dimension ref="A1:AT175"/>
  <sheetViews>
    <sheetView topLeftCell="A26" zoomScaleNormal="100" workbookViewId="0">
      <selection activeCell="A40" sqref="A40:AT175"/>
    </sheetView>
  </sheetViews>
  <sheetFormatPr defaultRowHeight="15"/>
  <cols>
    <col min="1" max="1" width="11.28515625" bestFit="1" customWidth="1"/>
    <col min="2" max="2" width="13.140625" bestFit="1" customWidth="1"/>
    <col min="3" max="3" width="11.28515625" bestFit="1" customWidth="1"/>
    <col min="5" max="5" width="26.28515625" bestFit="1" customWidth="1"/>
    <col min="6" max="6" width="61.28515625" customWidth="1"/>
    <col min="7" max="7" width="61.140625" customWidth="1"/>
    <col min="8" max="8" width="23.28515625" customWidth="1"/>
    <col min="9" max="9" width="14.85546875" customWidth="1"/>
    <col min="10" max="10" width="9.28515625" customWidth="1"/>
    <col min="11" max="11" width="10.85546875" bestFit="1" customWidth="1"/>
    <col min="12" max="12" width="14.28515625" bestFit="1"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COUNTA(B$40:B326)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COUNTIFS(H$39:H444,U5,K$39:K444,V4)</f>
        <v>0</v>
      </c>
      <c r="W5" s="147">
        <f>COUNTIFS(H$39:H444,U5,K$39:K444,W4)</f>
        <v>0</v>
      </c>
      <c r="X5" s="147">
        <f>COUNTIFS(H$39:H444,U5,K$39:K444,X4)</f>
        <v>0</v>
      </c>
      <c r="Y5" s="148">
        <f t="shared" ref="Y5:Y29" si="0">SUM(V5:X5)</f>
        <v>0</v>
      </c>
      <c r="Z5" s="13"/>
      <c r="AA5" s="88" t="str">
        <f t="shared" ref="AA5:AA29" si="1">U5</f>
        <v>Bárbara Leite</v>
      </c>
      <c r="AB5" s="33">
        <f>SUMIFS(J$40:J365,H$40:H365,AA5,E$40:E365,"SAL")</f>
        <v>0</v>
      </c>
      <c r="AC5" s="34">
        <f>SUMIFS(J$40:J439,H$40:H439,AA5,E$40:E439,"SAM")</f>
        <v>0</v>
      </c>
      <c r="AD5" s="34">
        <f>SUMIFS(J$40:J439,H$40:H439,AA5,E$40:E439,"NE")</f>
        <v>0</v>
      </c>
      <c r="AE5" s="34">
        <f>SUMIFS(J$40:J439,H$40:H439,AA5,E$40:E439,"SAIL")</f>
        <v>0</v>
      </c>
      <c r="AF5" s="35">
        <f t="shared" ref="AF5:AF29" si="2">SUBTOTAL(9,AB5:AE5)</f>
        <v>0</v>
      </c>
      <c r="AH5" s="88" t="str">
        <f t="shared" ref="AH5:AH29" si="3">U5</f>
        <v>Bárbara Leite</v>
      </c>
      <c r="AI5" s="33">
        <f>COUNTIFS(H$40:H439,AH5,E$40:E439,"SAL")</f>
        <v>0</v>
      </c>
      <c r="AJ5" s="34">
        <f t="shared" ref="AJ5:AJ29" si="4">COUNTIFS(H$40:H$439,AH5,E$40:E$439,"SAM")</f>
        <v>0</v>
      </c>
      <c r="AK5" s="34">
        <f>COUNTIFS(H$40:H439,AH5,E$40:E$439,"NE")</f>
        <v>0</v>
      </c>
      <c r="AL5" s="34">
        <f>COUNTIFS(H$40:H439,AH5,E$40:E439,"SAIL")</f>
        <v>0</v>
      </c>
      <c r="AM5" s="35">
        <f t="shared" ref="AM5:AM29" si="5">SUBTOTAL(9,AI5:AL5)</f>
        <v>0</v>
      </c>
      <c r="AO5" s="88" t="str">
        <f t="shared" ref="AO5:AO29" si="6">U5</f>
        <v>Bárbara Leite</v>
      </c>
      <c r="AP5" s="33">
        <f t="shared" ref="AP5:AP29" si="7">SUMIFS(Q$40:Q$364,H$40:H$364,AO5,E$40:E$364,"SAL")</f>
        <v>0</v>
      </c>
      <c r="AQ5" s="34">
        <f t="shared" ref="AQ5:AQ29" si="8">SUMIFS(Q$40:Q$364,H$40:H$364,AO5,E$40:E$364,"SAM")</f>
        <v>0</v>
      </c>
      <c r="AR5" s="34">
        <f t="shared" ref="AR5:AR29" si="9">SUMIFS(Q$40:Q$364,H$40:H$364,AO5,E$40:E$364,"NE")</f>
        <v>0</v>
      </c>
      <c r="AS5" s="34">
        <f t="shared" ref="AS5:AS29" si="10">SUMIFS(Q$40:Q$364,H$40:H$364,AO5,E$40:E$364,"SAIL")</f>
        <v>0</v>
      </c>
      <c r="AT5" s="35">
        <f t="shared" ref="AT5:AT29" si="11">SUBTOTAL(9,AP5:AS5)</f>
        <v>0</v>
      </c>
    </row>
    <row r="6" spans="21:46" ht="15.75" thickBot="1">
      <c r="U6" s="87" t="str">
        <f>Cadastros!I13</f>
        <v>Bárbara Teixeira</v>
      </c>
      <c r="V6" s="85">
        <f>COUNTIFS(H$39:H444,U6,K$39:K444,V4)</f>
        <v>0</v>
      </c>
      <c r="W6" s="18">
        <f>COUNTIFS(H$39:H444,U6,K$39:K444,W4)</f>
        <v>0</v>
      </c>
      <c r="X6" s="18">
        <f>COUNTIFS(H$39:H444,U6,K$39:K444,X4)</f>
        <v>0</v>
      </c>
      <c r="Y6" s="19">
        <f t="shared" si="0"/>
        <v>0</v>
      </c>
      <c r="Z6" s="13"/>
      <c r="AA6" s="22" t="str">
        <f t="shared" si="1"/>
        <v>Bárbara Teixeira</v>
      </c>
      <c r="AB6" s="30">
        <f>SUMIFS(J$40:J366,H$40:H366,AA6,E$40:E366,"SAL")</f>
        <v>0</v>
      </c>
      <c r="AC6" s="29">
        <f>SUMIFS(J$40:J440,H$40:H440,AA6,E$40:E440,"SAM")</f>
        <v>0</v>
      </c>
      <c r="AD6" s="29">
        <f>SUMIFS(J$40:J440,H$40:H440,AA6,E$40:E440,"NE")</f>
        <v>0</v>
      </c>
      <c r="AE6" s="29">
        <f>SUMIFS(J$40:J440,H$40:H440,AA6,E$40:E440,"SAIL")</f>
        <v>0</v>
      </c>
      <c r="AF6" s="31">
        <f t="shared" si="2"/>
        <v>0</v>
      </c>
      <c r="AH6" s="22" t="str">
        <f t="shared" si="3"/>
        <v>Bárbara Teixeira</v>
      </c>
      <c r="AI6" s="30">
        <f>COUNTIFS(H$40:H440,AH6,E$40:E440,"SAL")</f>
        <v>0</v>
      </c>
      <c r="AJ6" s="29">
        <f t="shared" si="4"/>
        <v>0</v>
      </c>
      <c r="AK6" s="29">
        <f t="shared" ref="AK6:AK29" si="12">COUNTIFS(H$40:H$439,AH6,E$40:E$439,"NE")</f>
        <v>0</v>
      </c>
      <c r="AL6" s="29">
        <f>COUNTIFS(H$40:H440,AH6,E$40:E440,"SAIL")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COUNTIFS(H$39:H444,U7,K$39:K444,V4)</f>
        <v>0</v>
      </c>
      <c r="W7" s="14">
        <f>COUNTIFS(H$39:H444,U7,K$39:K444,W4)</f>
        <v>0</v>
      </c>
      <c r="X7" s="14">
        <f>COUNTIFS(H$39:H444,U7,K$39:K444,X4)</f>
        <v>0</v>
      </c>
      <c r="Y7" s="15">
        <f t="shared" si="0"/>
        <v>0</v>
      </c>
      <c r="Z7" s="13"/>
      <c r="AA7" s="21" t="str">
        <f t="shared" si="1"/>
        <v>Bruna Ferro</v>
      </c>
      <c r="AB7" s="37">
        <f>SUMIFS(J$40:J367,H$40:H367,AA7,E$40:E367,"SAL")</f>
        <v>0</v>
      </c>
      <c r="AC7" s="38">
        <f>SUMIFS(J$40:J441,H$40:H441,AA7,E$40:E441,"SAM")</f>
        <v>0</v>
      </c>
      <c r="AD7" s="38">
        <f>SUMIFS(J$40:J441,H$40:H441,AA7,E$40:E441,"NE")</f>
        <v>0</v>
      </c>
      <c r="AE7" s="38">
        <f>SUMIFS(J$40:J441,H$40:H441,AA7,E$40:E441,"SAIL")</f>
        <v>0</v>
      </c>
      <c r="AF7" s="39">
        <f t="shared" si="2"/>
        <v>0</v>
      </c>
      <c r="AH7" s="21" t="str">
        <f t="shared" si="3"/>
        <v>Bruna Ferro</v>
      </c>
      <c r="AI7" s="37">
        <f>COUNTIFS(H$40:H441,AH7,E$40:E441,"SAL")</f>
        <v>0</v>
      </c>
      <c r="AJ7" s="38">
        <f t="shared" si="4"/>
        <v>0</v>
      </c>
      <c r="AK7" s="38">
        <f t="shared" si="12"/>
        <v>0</v>
      </c>
      <c r="AL7" s="38">
        <f>COUNTIFS(H$40:H441,AH7,E$40:E441,"SAIL")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COUNTIFS(H$39:H444,U8,K$39:K444,V4)</f>
        <v>0</v>
      </c>
      <c r="W8" s="18">
        <f>COUNTIFS(H$39:H444,U8,K$39:K444,W4)</f>
        <v>0</v>
      </c>
      <c r="X8" s="18">
        <f>COUNTIFS(H$39:H444,U8,K$39:K444,X4)</f>
        <v>0</v>
      </c>
      <c r="Y8" s="19">
        <f t="shared" si="0"/>
        <v>0</v>
      </c>
      <c r="Z8" s="13"/>
      <c r="AA8" s="22" t="str">
        <f t="shared" si="1"/>
        <v>Carolina Esmeraldino</v>
      </c>
      <c r="AB8" s="30">
        <f>SUMIFS(J$40:J368,H$40:H368,AA8,E$40:E368,"SAL")</f>
        <v>0</v>
      </c>
      <c r="AC8" s="29">
        <f>SUMIFS(J$40:J442,H$40:H442,AA8,E$40:E442,"SAM")</f>
        <v>0</v>
      </c>
      <c r="AD8" s="29">
        <f>SUMIFS(J$40:J442,H$40:H442,AA8,E$40:E442,"NE")</f>
        <v>0</v>
      </c>
      <c r="AE8" s="29">
        <f>SUMIFS(J$40:J442,H$40:H442,AA8,E$40:E442,"SAIL")</f>
        <v>0</v>
      </c>
      <c r="AF8" s="31">
        <f t="shared" si="2"/>
        <v>0</v>
      </c>
      <c r="AH8" s="22" t="str">
        <f t="shared" si="3"/>
        <v>Carolina Esmeraldino</v>
      </c>
      <c r="AI8" s="30">
        <f>COUNTIFS(H$40:H442,AH8,E$40:E442,"SAL")</f>
        <v>0</v>
      </c>
      <c r="AJ8" s="29">
        <f t="shared" si="4"/>
        <v>0</v>
      </c>
      <c r="AK8" s="29">
        <f t="shared" si="12"/>
        <v>0</v>
      </c>
      <c r="AL8" s="29">
        <f>COUNTIFS(H$40:H442,AH8,E$40:E442,"SAIL")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COUNTIFS(H$39:H444,U9,K$39:K444,V4)</f>
        <v>0</v>
      </c>
      <c r="W9" s="14">
        <f>COUNTIFS(H$39:H444,U9,K$39:K444,W4)</f>
        <v>0</v>
      </c>
      <c r="X9" s="14">
        <f>COUNTIFS(H$39:H444,U9,K$39:K444,X4)</f>
        <v>0</v>
      </c>
      <c r="Y9" s="15">
        <f t="shared" si="0"/>
        <v>0</v>
      </c>
      <c r="Z9" s="13"/>
      <c r="AA9" s="21" t="str">
        <f t="shared" si="1"/>
        <v>Claudia Savois</v>
      </c>
      <c r="AB9" s="37">
        <f>SUMIFS(J$40:J369,H$40:H369,AA9,E$40:E369,"SAL")</f>
        <v>0</v>
      </c>
      <c r="AC9" s="38">
        <f>SUMIFS(J$40:J443,H$40:H443,AA9,E$40:E443,"SAM")</f>
        <v>0</v>
      </c>
      <c r="AD9" s="38">
        <f>SUMIFS(J$40:J443,H$40:H443,AA9,E$40:E443,"NE")</f>
        <v>0</v>
      </c>
      <c r="AE9" s="38">
        <f>SUMIFS(J$40:J443,H$40:H443,AA9,E$40:E443,"SAIL")</f>
        <v>0</v>
      </c>
      <c r="AF9" s="39">
        <f t="shared" si="2"/>
        <v>0</v>
      </c>
      <c r="AH9" s="21" t="str">
        <f t="shared" si="3"/>
        <v>Claudia Savois</v>
      </c>
      <c r="AI9" s="37">
        <f>COUNTIFS(H$40:H443,AH9,E$40:E443,"SAL")</f>
        <v>0</v>
      </c>
      <c r="AJ9" s="38">
        <f t="shared" si="4"/>
        <v>0</v>
      </c>
      <c r="AK9" s="38">
        <f t="shared" si="12"/>
        <v>0</v>
      </c>
      <c r="AL9" s="38">
        <f>COUNTIFS(H$40:H443,AH9,E$40:E443,"SAIL")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COUNTIFS(H$39:H445,U10,K$39:K445,V4)</f>
        <v>0</v>
      </c>
      <c r="W10" s="14">
        <f>COUNTIFS(H$39:H445,U10,K$39:K445,W4)</f>
        <v>0</v>
      </c>
      <c r="X10" s="14">
        <f>COUNTIFS(H$39:H445,U10,K$39:K445,X4)</f>
        <v>0</v>
      </c>
      <c r="Y10" s="15">
        <f t="shared" si="0"/>
        <v>0</v>
      </c>
      <c r="Z10" s="13"/>
      <c r="AA10" s="22" t="str">
        <f t="shared" si="1"/>
        <v>Daniela Stupp</v>
      </c>
      <c r="AB10" s="30">
        <f>SUMIFS(J$40:J370,H$40:H370,AA10,E$40:E370,"SAL")</f>
        <v>0</v>
      </c>
      <c r="AC10" s="29">
        <f>SUMIFS(J$40:J444,H$40:H444,AA10,E$40:E444,"SAM")</f>
        <v>0</v>
      </c>
      <c r="AD10" s="29">
        <f>SUMIFS(J$40:J444,H$40:H444,AA10,E$40:E444,"NE")</f>
        <v>0</v>
      </c>
      <c r="AE10" s="29">
        <f>SUMIFS(J$40:J444,H$40:H444,AA10,E$40:E444,"SAIL")</f>
        <v>0</v>
      </c>
      <c r="AF10" s="31">
        <f t="shared" si="2"/>
        <v>0</v>
      </c>
      <c r="AH10" s="22" t="str">
        <f t="shared" si="3"/>
        <v>Daniela Stupp</v>
      </c>
      <c r="AI10" s="30">
        <f>COUNTIFS(H$40:H444,AH10,E$40:E444,"SAL")</f>
        <v>0</v>
      </c>
      <c r="AJ10" s="29">
        <f t="shared" si="4"/>
        <v>0</v>
      </c>
      <c r="AK10" s="29">
        <f t="shared" si="12"/>
        <v>0</v>
      </c>
      <c r="AL10" s="29">
        <f>COUNTIFS(H$40:H444,AH10,E$40:E444,"SAIL")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COUNTIFS(H$39:H444,U11,K$39:K444,V4)</f>
        <v>0</v>
      </c>
      <c r="W11" s="18">
        <f>COUNTIFS(H$39:H444,U11,K$39:K444,W4)</f>
        <v>0</v>
      </c>
      <c r="X11" s="18">
        <f>COUNTIFS(H$39:H444,U11,K$39:K444,X4)</f>
        <v>0</v>
      </c>
      <c r="Y11" s="19">
        <f t="shared" si="0"/>
        <v>0</v>
      </c>
      <c r="Z11" s="13"/>
      <c r="AA11" s="21" t="str">
        <f t="shared" si="1"/>
        <v>Gabriely</v>
      </c>
      <c r="AB11" s="37">
        <f>SUMIFS(J$40:J371,H$40:H371,AA11,E$40:E371,"SAL")</f>
        <v>0</v>
      </c>
      <c r="AC11" s="38">
        <f>SUMIFS(J$40:J445,H$40:H445,AA11,E$40:E445,"SAM")</f>
        <v>0</v>
      </c>
      <c r="AD11" s="38">
        <f>SUMIFS(J$40:J445,H$40:H445,AA11,E$40:E445,"NE")</f>
        <v>0</v>
      </c>
      <c r="AE11" s="38">
        <f>SUMIFS(J$40:J445,H$40:H445,AA11,E$40:E445,"SAIL")</f>
        <v>0</v>
      </c>
      <c r="AF11" s="39">
        <f t="shared" si="2"/>
        <v>0</v>
      </c>
      <c r="AH11" s="21" t="str">
        <f t="shared" si="3"/>
        <v>Gabriely</v>
      </c>
      <c r="AI11" s="37">
        <f>COUNTIFS(H$40:H445,AH11,E$40:E445,"SAL")</f>
        <v>0</v>
      </c>
      <c r="AJ11" s="38">
        <f t="shared" si="4"/>
        <v>0</v>
      </c>
      <c r="AK11" s="38">
        <f t="shared" si="12"/>
        <v>0</v>
      </c>
      <c r="AL11" s="38">
        <f>COUNTIFS(H$40:H445,AH11,E$40:E445,"SAIL")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COUNTIFS(H$39:H445,U12,K$39:K445,V4)</f>
        <v>0</v>
      </c>
      <c r="W12" s="14">
        <f>COUNTIFS(H$39:H445,U12,K$39:K445,W4)</f>
        <v>0</v>
      </c>
      <c r="X12" s="14">
        <f>COUNTIFS(H$39:H445,U12,K$39:K445,X4)</f>
        <v>0</v>
      </c>
      <c r="Y12" s="15">
        <f t="shared" si="0"/>
        <v>0</v>
      </c>
      <c r="AA12" s="22" t="str">
        <f t="shared" si="1"/>
        <v>Fabio Sasso</v>
      </c>
      <c r="AB12" s="30">
        <f>SUMIFS(J$40:J372,H$40:H372,AA12,E$40:E372,"SAL")</f>
        <v>0</v>
      </c>
      <c r="AC12" s="29">
        <f>SUMIFS(J$40:J446,H$40:H446,AA12,E$40:E446,"SAM")</f>
        <v>0</v>
      </c>
      <c r="AD12" s="29">
        <f>SUMIFS(J$40:J446,H$40:H446,AA12,E$40:E446,"NE")</f>
        <v>0</v>
      </c>
      <c r="AE12" s="29">
        <f>SUMIFS(J$40:J446,H$40:H446,AA12,E$40:E446,"SAIL")</f>
        <v>0</v>
      </c>
      <c r="AF12" s="31">
        <f t="shared" si="2"/>
        <v>0</v>
      </c>
      <c r="AH12" s="22" t="str">
        <f t="shared" si="3"/>
        <v>Fabio Sasso</v>
      </c>
      <c r="AI12" s="30">
        <f>COUNTIFS(H$40:H446,AH12,E$40:E446,"SAL")</f>
        <v>0</v>
      </c>
      <c r="AJ12" s="29">
        <f t="shared" si="4"/>
        <v>0</v>
      </c>
      <c r="AK12" s="29">
        <f t="shared" si="12"/>
        <v>0</v>
      </c>
      <c r="AL12" s="29">
        <f>COUNTIFS(H$40:H446,AH12,E$40:E446,"SAIL")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COUNTIFS(H$39:H446,U13,K$39:K446,V$4)</f>
        <v>0</v>
      </c>
      <c r="W13" s="18">
        <f>COUNTIFS(H$39:H446,U13,K$39:K446,W$4)</f>
        <v>0</v>
      </c>
      <c r="X13" s="18">
        <f>COUNTIFS(H$39:H446,U13,K$39:K446,X$4)</f>
        <v>0</v>
      </c>
      <c r="Y13" s="19">
        <f t="shared" si="0"/>
        <v>0</v>
      </c>
      <c r="AA13" s="21" t="str">
        <f t="shared" si="1"/>
        <v>Felipi Ferreira</v>
      </c>
      <c r="AB13" s="37">
        <f>SUMIFS(J$40:J373,H$40:H373,AA13,E$40:E373,"SAL")</f>
        <v>0</v>
      </c>
      <c r="AC13" s="38">
        <f>SUMIFS(J$40:J447,H$40:H447,AA13,E$40:E447,"SAM")</f>
        <v>0</v>
      </c>
      <c r="AD13" s="38">
        <f>SUMIFS(J$40:J447,H$40:H447,AA13,E$40:E447,"NE")</f>
        <v>0</v>
      </c>
      <c r="AE13" s="38">
        <f>SUMIFS(J$40:J447,H$40:H447,AA13,E$40:E447,"SAIL")</f>
        <v>0</v>
      </c>
      <c r="AF13" s="39">
        <f t="shared" si="2"/>
        <v>0</v>
      </c>
      <c r="AH13" s="21" t="str">
        <f t="shared" si="3"/>
        <v>Felipi Ferreira</v>
      </c>
      <c r="AI13" s="37">
        <f>COUNTIFS(H$40:H447,AH13,E$40:E447,"SAL")</f>
        <v>0</v>
      </c>
      <c r="AJ13" s="38">
        <f t="shared" si="4"/>
        <v>0</v>
      </c>
      <c r="AK13" s="38">
        <f t="shared" si="12"/>
        <v>0</v>
      </c>
      <c r="AL13" s="38">
        <f>COUNTIFS(H$40:H447,AH13,E$40:E447,"SAIL")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COUNTIFS(H$39:H447,U14,K$39:K447,V$4)</f>
        <v>0</v>
      </c>
      <c r="W14" s="14">
        <f>COUNTIFS(H$39:H447,U14,K$39:K447,W$4)</f>
        <v>0</v>
      </c>
      <c r="X14" s="14">
        <f>COUNTIFS(H$39:H447,U14,K$39:K447,X$4)</f>
        <v>0</v>
      </c>
      <c r="Y14" s="15">
        <f t="shared" si="0"/>
        <v>0</v>
      </c>
      <c r="AA14" s="22" t="str">
        <f t="shared" si="1"/>
        <v>Flávia Cardoso</v>
      </c>
      <c r="AB14" s="30">
        <f>SUMIFS(J$40:J374,H$40:H374,AA14,E$40:E374,"SAL")</f>
        <v>0</v>
      </c>
      <c r="AC14" s="29">
        <f>SUMIFS(J$40:J448,H$40:H448,AA14,E$40:E448,"SAM")</f>
        <v>0</v>
      </c>
      <c r="AD14" s="29">
        <f>SUMIFS(J$40:J448,H$40:H448,AA14,E$40:E448,"NE")</f>
        <v>0</v>
      </c>
      <c r="AE14" s="29">
        <f>SUMIFS(J$40:J448,H$40:H448,AA14,E$40:E448,"SAIL")</f>
        <v>0</v>
      </c>
      <c r="AF14" s="31">
        <f t="shared" si="2"/>
        <v>0</v>
      </c>
      <c r="AH14" s="22" t="str">
        <f t="shared" si="3"/>
        <v>Flávia Cardoso</v>
      </c>
      <c r="AI14" s="30">
        <f>COUNTIFS(H$40:H448,AH14,E$40:E448,"SAL")</f>
        <v>0</v>
      </c>
      <c r="AJ14" s="29">
        <f t="shared" si="4"/>
        <v>0</v>
      </c>
      <c r="AK14" s="29">
        <f t="shared" si="12"/>
        <v>0</v>
      </c>
      <c r="AL14" s="29">
        <f>COUNTIFS(H$40:H448,AH14,E$40:E448,"SAIL")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COUNTIFS(H$39:H448,U15,K$39:K448,V$4)</f>
        <v>0</v>
      </c>
      <c r="W15" s="18">
        <f>COUNTIFS(H$39:H448,U15,K$39:K448,W$4)</f>
        <v>0</v>
      </c>
      <c r="X15" s="18">
        <f>COUNTIFS(H$39:H448,U15,K$39:K448,X$4)</f>
        <v>0</v>
      </c>
      <c r="Y15" s="19">
        <f t="shared" si="0"/>
        <v>0</v>
      </c>
      <c r="AA15" s="21" t="str">
        <f t="shared" si="1"/>
        <v>Giovani cunha</v>
      </c>
      <c r="AB15" s="37">
        <f>SUMIFS(J$40:J375,H$40:H375,AA15,E$40:E375,"SAL")</f>
        <v>0</v>
      </c>
      <c r="AC15" s="38">
        <f>SUMIFS(J$40:J449,H$40:H449,AA15,E$40:E449,"SAM")</f>
        <v>0</v>
      </c>
      <c r="AD15" s="38">
        <f>SUMIFS(J$40:J449,H$40:H449,AA15,E$40:E449,"NE")</f>
        <v>0</v>
      </c>
      <c r="AE15" s="38">
        <f>SUMIFS(J$40:J449,H$40:H449,AA15,E$40:E449,"SAIL")</f>
        <v>0</v>
      </c>
      <c r="AF15" s="39">
        <f t="shared" si="2"/>
        <v>0</v>
      </c>
      <c r="AH15" s="21" t="str">
        <f t="shared" si="3"/>
        <v>Giovani cunha</v>
      </c>
      <c r="AI15" s="37">
        <f>COUNTIFS(H$40:H449,AH15,E$40:E449,"SAL")</f>
        <v>0</v>
      </c>
      <c r="AJ15" s="38">
        <f t="shared" si="4"/>
        <v>0</v>
      </c>
      <c r="AK15" s="38">
        <f t="shared" si="12"/>
        <v>0</v>
      </c>
      <c r="AL15" s="38">
        <f>COUNTIFS(H$40:H449,AH15,E$40:E449,"SAIL")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COUNTIFS(H$39:H449,U16,K$39:K449,V$4)</f>
        <v>0</v>
      </c>
      <c r="W16" s="14">
        <f>COUNTIFS(H$39:H449,U16,K$39:K449,W$4)</f>
        <v>0</v>
      </c>
      <c r="X16" s="14">
        <f>COUNTIFS(H$39:H449,U16,K$39:K449,X$4)</f>
        <v>0</v>
      </c>
      <c r="Y16" s="15">
        <f t="shared" si="0"/>
        <v>0</v>
      </c>
      <c r="AA16" s="22" t="str">
        <f t="shared" si="1"/>
        <v>Jennifer Rodrigues</v>
      </c>
      <c r="AB16" s="30">
        <f>SUMIFS(J$40:J376,H$40:H376,AA16,E$40:E376,"SAL")</f>
        <v>0</v>
      </c>
      <c r="AC16" s="29">
        <f>SUMIFS(J$40:J450,H$40:H450,AA16,E$40:E450,"SAM")</f>
        <v>0</v>
      </c>
      <c r="AD16" s="29">
        <f>SUMIFS(J$40:J450,H$40:H450,AA16,E$40:E450,"NE")</f>
        <v>0</v>
      </c>
      <c r="AE16" s="29">
        <f>SUMIFS(J$40:J450,H$40:H450,AA16,E$40:E450,"SAIL")</f>
        <v>0</v>
      </c>
      <c r="AF16" s="31">
        <f t="shared" si="2"/>
        <v>0</v>
      </c>
      <c r="AH16" s="22" t="str">
        <f t="shared" si="3"/>
        <v>Jennifer Rodrigues</v>
      </c>
      <c r="AI16" s="30">
        <f>COUNTIFS(H$40:H450,AH16,E$40:E450,"SAL")</f>
        <v>0</v>
      </c>
      <c r="AJ16" s="29">
        <f t="shared" si="4"/>
        <v>0</v>
      </c>
      <c r="AK16" s="29">
        <f t="shared" si="12"/>
        <v>0</v>
      </c>
      <c r="AL16" s="29">
        <f>COUNTIFS(H$40:H450,AH16,E$40:E450,"SAIL")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COUNTIFS(H$39:H450,U17,K$39:K450,V$4)</f>
        <v>0</v>
      </c>
      <c r="W17" s="18">
        <f>COUNTIFS(H$39:H450,U17,K$39:K450,W$4)</f>
        <v>0</v>
      </c>
      <c r="X17" s="18">
        <f>COUNTIFS(H$39:H450,U17,K$39:K450,X$4)</f>
        <v>0</v>
      </c>
      <c r="Y17" s="19">
        <f t="shared" si="0"/>
        <v>0</v>
      </c>
      <c r="AA17" s="21" t="str">
        <f t="shared" si="1"/>
        <v>Juliana Guizoni</v>
      </c>
      <c r="AB17" s="37">
        <f>SUMIFS(J$40:J377,H$40:H377,AA17,E$40:E377,"SAL")</f>
        <v>0</v>
      </c>
      <c r="AC17" s="38">
        <f>SUMIFS(J$40:J451,H$40:H451,AA17,E$40:E451,"SAM")</f>
        <v>0</v>
      </c>
      <c r="AD17" s="38">
        <f>SUMIFS(J$40:J451,H$40:H451,AA17,E$40:E451,"NE")</f>
        <v>0</v>
      </c>
      <c r="AE17" s="38">
        <f>SUMIFS(J$40:J451,H$40:H451,AA17,E$40:E451,"SAIL")</f>
        <v>0</v>
      </c>
      <c r="AF17" s="39">
        <f t="shared" si="2"/>
        <v>0</v>
      </c>
      <c r="AH17" s="21" t="str">
        <f t="shared" si="3"/>
        <v>Juliana Guizoni</v>
      </c>
      <c r="AI17" s="37">
        <f>COUNTIFS(H$40:H451,AH17,E$40:E451,"SAL")</f>
        <v>0</v>
      </c>
      <c r="AJ17" s="38">
        <f t="shared" si="4"/>
        <v>0</v>
      </c>
      <c r="AK17" s="38">
        <f t="shared" si="12"/>
        <v>0</v>
      </c>
      <c r="AL17" s="38">
        <f>COUNTIFS(H$40:H451,AH17,E$40:E451,"SAIL")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c r="G18" s="11"/>
      <c r="K18" s="4"/>
      <c r="U18" s="87" t="str">
        <f>Cadastros!I25</f>
        <v>Vinicyos Maguns</v>
      </c>
      <c r="V18" s="86">
        <f>COUNTIFS(H$39:H451,U18,K$39:K451,V$4)</f>
        <v>0</v>
      </c>
      <c r="W18" s="14">
        <f>COUNTIFS(H$39:H451,U18,K$39:K451,W$4)</f>
        <v>0</v>
      </c>
      <c r="X18" s="14">
        <f>COUNTIFS(H$39:H451,U18,K$39:K451,X$4)</f>
        <v>0</v>
      </c>
      <c r="Y18" s="15">
        <f t="shared" si="0"/>
        <v>0</v>
      </c>
      <c r="AA18" s="22" t="str">
        <f t="shared" si="1"/>
        <v>Vinicyos Maguns</v>
      </c>
      <c r="AB18" s="30">
        <f>SUMIFS(J$40:J378,H$40:H378,AA18,E$40:E378,"SAL")</f>
        <v>0</v>
      </c>
      <c r="AC18" s="29">
        <f>SUMIFS(J$40:J452,H$40:H452,AA18,E$40:E452,"SAM")</f>
        <v>0</v>
      </c>
      <c r="AD18" s="29">
        <f>SUMIFS(J$40:J452,H$40:H452,AA18,E$40:E452,"NE")</f>
        <v>0</v>
      </c>
      <c r="AE18" s="29">
        <f>SUMIFS(J$40:J452,H$40:H452,AA18,E$40:E452,"SAIL")</f>
        <v>0</v>
      </c>
      <c r="AF18" s="31">
        <f t="shared" si="2"/>
        <v>0</v>
      </c>
      <c r="AH18" s="22" t="str">
        <f t="shared" si="3"/>
        <v>Vinicyos Maguns</v>
      </c>
      <c r="AI18" s="30">
        <f>COUNTIFS(H$40:H452,AH18,E$40:E452,"SAL")</f>
        <v>0</v>
      </c>
      <c r="AJ18" s="29">
        <f t="shared" si="4"/>
        <v>0</v>
      </c>
      <c r="AK18" s="29">
        <f t="shared" si="12"/>
        <v>0</v>
      </c>
      <c r="AL18" s="29">
        <f>COUNTIFS(H$40:H452,AH18,E$40:E452,"SAIL")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VLOOKUP(F18,B40:B278,1,0)</f>
        <v>#N/A</v>
      </c>
      <c r="C19" s="45" t="e">
        <f>VLOOKUP(F21,D40:D278,1,0)</f>
        <v>#N/A</v>
      </c>
      <c r="D19" s="10"/>
      <c r="E19" s="74" t="s">
        <v>79</v>
      </c>
      <c r="F19" s="5"/>
      <c r="G19" s="11"/>
      <c r="K19" s="5"/>
      <c r="U19" s="87" t="str">
        <f>Cadastros!I26</f>
        <v>Laís Andrade</v>
      </c>
      <c r="V19" s="85">
        <f>COUNTIFS(H$39:H452,U19,K$39:K452,V$4)</f>
        <v>0</v>
      </c>
      <c r="W19" s="18">
        <f>COUNTIFS(H$39:H452,U19,K$39:K452,W$4)</f>
        <v>0</v>
      </c>
      <c r="X19" s="18">
        <f>COUNTIFS(H$39:H452,U19,K$39:K452,X$4)</f>
        <v>0</v>
      </c>
      <c r="Y19" s="19">
        <f t="shared" si="0"/>
        <v>0</v>
      </c>
      <c r="AA19" s="21" t="str">
        <f t="shared" si="1"/>
        <v>Laís Andrade</v>
      </c>
      <c r="AB19" s="37">
        <f>SUMIFS(J$40:J379,H$40:H379,AA19,E$40:E379,"SAL")</f>
        <v>0</v>
      </c>
      <c r="AC19" s="38">
        <f>SUMIFS(J$40:J453,H$40:H453,AA19,E$40:E453,"SAM")</f>
        <v>0</v>
      </c>
      <c r="AD19" s="38">
        <f>SUMIFS(J$40:J453,H$40:H453,AA19,E$40:E453,"NE")</f>
        <v>0</v>
      </c>
      <c r="AE19" s="38">
        <f>SUMIFS(J$40:J453,H$40:H453,AA19,E$40:E453,"SAIL")</f>
        <v>0</v>
      </c>
      <c r="AF19" s="39">
        <f t="shared" si="2"/>
        <v>0</v>
      </c>
      <c r="AH19" s="21" t="str">
        <f t="shared" si="3"/>
        <v>Laís Andrade</v>
      </c>
      <c r="AI19" s="37">
        <f>COUNTIFS(H$40:H453,AH19,E$40:E453,"SAL")</f>
        <v>0</v>
      </c>
      <c r="AJ19" s="38">
        <f t="shared" si="4"/>
        <v>0</v>
      </c>
      <c r="AK19" s="38">
        <f t="shared" si="12"/>
        <v>0</v>
      </c>
      <c r="AL19" s="38">
        <f>COUNTIFS(H$40:H453,AH19,E$40:E453,"SAIL")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c r="G20" s="11"/>
      <c r="K20" s="4"/>
      <c r="U20" s="87" t="str">
        <f>Cadastros!I27</f>
        <v>Luciana Mercante</v>
      </c>
      <c r="V20" s="86">
        <f>COUNTIFS(H$39:H453,U20,K$39:K453,V$4)</f>
        <v>0</v>
      </c>
      <c r="W20" s="14">
        <f>COUNTIFS(H$39:H453,U20,K$39:K453,W$4)</f>
        <v>0</v>
      </c>
      <c r="X20" s="14">
        <f>COUNTIFS(H$39:H453,U20,K$39:K453,X$4)</f>
        <v>0</v>
      </c>
      <c r="Y20" s="15">
        <f t="shared" si="0"/>
        <v>0</v>
      </c>
      <c r="AA20" s="22" t="str">
        <f t="shared" si="1"/>
        <v>Luciana Mercante</v>
      </c>
      <c r="AB20" s="30">
        <f>SUMIFS(J$40:J380,H$40:H380,AA20,E$40:E380,"SAL")</f>
        <v>0</v>
      </c>
      <c r="AC20" s="29">
        <f>SUMIFS(J$40:J454,H$40:H454,AA20,E$40:E454,"SAM")</f>
        <v>0</v>
      </c>
      <c r="AD20" s="29">
        <f>SUMIFS(J$40:J454,H$40:H454,AA20,E$40:E454,"NE")</f>
        <v>0</v>
      </c>
      <c r="AE20" s="29">
        <f>SUMIFS(J$40:J454,H$40:H454,AA20,E$40:E454,"SAIL")</f>
        <v>0</v>
      </c>
      <c r="AF20" s="31">
        <f t="shared" si="2"/>
        <v>0</v>
      </c>
      <c r="AH20" s="22" t="str">
        <f t="shared" si="3"/>
        <v>Luciana Mercante</v>
      </c>
      <c r="AI20" s="30">
        <f>COUNTIFS(H$40:H454,AH20,E$40:E454,"SAL")</f>
        <v>0</v>
      </c>
      <c r="AJ20" s="29">
        <f t="shared" si="4"/>
        <v>0</v>
      </c>
      <c r="AK20" s="29">
        <f t="shared" si="12"/>
        <v>0</v>
      </c>
      <c r="AL20" s="29">
        <f>COUNTIFS(H$40:H454,AH20,E$40:E454,"SAIL")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c r="G21" s="11"/>
      <c r="K21" s="5"/>
      <c r="U21" s="87" t="str">
        <f>Cadastros!I28</f>
        <v>Mateus Alves</v>
      </c>
      <c r="V21" s="85">
        <f>COUNTIFS(H$39:H454,U21,K$39:K454,V$4)</f>
        <v>0</v>
      </c>
      <c r="W21" s="18">
        <f>COUNTIFS(H$39:H454,U21,K$39:K454,W$4)</f>
        <v>0</v>
      </c>
      <c r="X21" s="18">
        <f>COUNTIFS(H$39:H454,U21,K$39:K454,X$4)</f>
        <v>0</v>
      </c>
      <c r="Y21" s="19">
        <f t="shared" si="0"/>
        <v>0</v>
      </c>
      <c r="AA21" s="21" t="str">
        <f t="shared" si="1"/>
        <v>Mateus Alves</v>
      </c>
      <c r="AB21" s="37">
        <f>SUMIFS(J$40:J381,H$40:H381,AA21,E$40:E381,"SAL")</f>
        <v>0</v>
      </c>
      <c r="AC21" s="38">
        <f>SUMIFS(J$40:J455,H$40:H455,AA21,E$40:E455,"SAM")</f>
        <v>0</v>
      </c>
      <c r="AD21" s="38">
        <f>SUMIFS(J$40:J455,H$40:H455,AA21,E$40:E455,"NE")</f>
        <v>0</v>
      </c>
      <c r="AE21" s="38">
        <f>SUMIFS(J$40:J455,H$40:H455,AA21,E$40:E455,"SAIL")</f>
        <v>0</v>
      </c>
      <c r="AF21" s="39">
        <f t="shared" si="2"/>
        <v>0</v>
      </c>
      <c r="AH21" s="21" t="str">
        <f t="shared" si="3"/>
        <v>Mateus Alves</v>
      </c>
      <c r="AI21" s="37">
        <f>COUNTIFS(H$40:H455,AH21,E$40:E455,"SAL")</f>
        <v>0</v>
      </c>
      <c r="AJ21" s="38">
        <f t="shared" si="4"/>
        <v>0</v>
      </c>
      <c r="AK21" s="38">
        <f t="shared" si="12"/>
        <v>0</v>
      </c>
      <c r="AL21" s="38">
        <f>COUNTIFS(H$40:H455,AH21,E$40:E455,"SAIL")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c r="G22" s="11"/>
      <c r="K22" s="5"/>
      <c r="U22" s="87" t="str">
        <f>Cadastros!I29</f>
        <v>Patricia Costa</v>
      </c>
      <c r="V22" s="86">
        <f>COUNTIFS(H$39:H455,U22,K$39:K455,V$4)</f>
        <v>0</v>
      </c>
      <c r="W22" s="14">
        <f>COUNTIFS(H$39:H455,U22,K$39:K455,W$4)</f>
        <v>0</v>
      </c>
      <c r="X22" s="14">
        <f>COUNTIFS(H$39:H455,U22,K$39:K455,X$4)</f>
        <v>0</v>
      </c>
      <c r="Y22" s="15">
        <f t="shared" si="0"/>
        <v>0</v>
      </c>
      <c r="AA22" s="22" t="str">
        <f t="shared" si="1"/>
        <v>Patricia Costa</v>
      </c>
      <c r="AB22" s="30">
        <f>SUMIFS(J$40:J382,H$40:H382,AA22,E$40:E382,"SAL")</f>
        <v>0</v>
      </c>
      <c r="AC22" s="29">
        <f>SUMIFS(J$40:J456,H$40:H456,AA22,E$40:E456,"SAM")</f>
        <v>0</v>
      </c>
      <c r="AD22" s="29">
        <f>SUMIFS(J$40:J456,H$40:H456,AA22,E$40:E456,"NE")</f>
        <v>0</v>
      </c>
      <c r="AE22" s="29">
        <f>SUMIFS(J$40:J456,H$40:H456,AA22,E$40:E456,"SAIL")</f>
        <v>0</v>
      </c>
      <c r="AF22" s="31">
        <f t="shared" si="2"/>
        <v>0</v>
      </c>
      <c r="AH22" s="22" t="str">
        <f t="shared" si="3"/>
        <v>Patricia Costa</v>
      </c>
      <c r="AI22" s="30">
        <f>COUNTIFS(H$40:H456,AH22,E$40:E456,"SAL")</f>
        <v>0</v>
      </c>
      <c r="AJ22" s="29">
        <f t="shared" si="4"/>
        <v>0</v>
      </c>
      <c r="AK22" s="29">
        <f t="shared" si="12"/>
        <v>0</v>
      </c>
      <c r="AL22" s="29">
        <f>COUNTIFS(H$40:H456,AH22,E$40:E456,"SAIL")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c r="G23" s="11"/>
      <c r="U23" s="87" t="str">
        <f>Cadastros!I30</f>
        <v>Rafaela Ribeiro</v>
      </c>
      <c r="V23" s="85">
        <f>COUNTIFS(H$39:H456,U23,K$39:K456,V$4)</f>
        <v>0</v>
      </c>
      <c r="W23" s="18">
        <f>COUNTIFS(H$39:H456,U23,K$39:K456,W$4)</f>
        <v>0</v>
      </c>
      <c r="X23" s="18">
        <f>COUNTIFS(H$39:H456,U23,K$39:K456,X$4)</f>
        <v>0</v>
      </c>
      <c r="Y23" s="19">
        <f t="shared" si="0"/>
        <v>0</v>
      </c>
      <c r="AA23" s="21" t="str">
        <f t="shared" si="1"/>
        <v>Rafaela Ribeiro</v>
      </c>
      <c r="AB23" s="37">
        <f>SUMIFS(J$40:J383,H$40:H383,AA23,E$40:E383,"SAL")</f>
        <v>0</v>
      </c>
      <c r="AC23" s="38">
        <f>SUMIFS(J$40:J457,H$40:H457,AA23,E$40:E457,"SAM")</f>
        <v>0</v>
      </c>
      <c r="AD23" s="38">
        <f>SUMIFS(J$40:J457,H$40:H457,AA23,E$40:E457,"NE")</f>
        <v>0</v>
      </c>
      <c r="AE23" s="38">
        <f>SUMIFS(J$40:J457,H$40:H457,AA23,E$40:E457,"SAIL")</f>
        <v>0</v>
      </c>
      <c r="AF23" s="39">
        <f t="shared" si="2"/>
        <v>0</v>
      </c>
      <c r="AH23" s="21" t="str">
        <f t="shared" si="3"/>
        <v>Rafaela Ribeiro</v>
      </c>
      <c r="AI23" s="37">
        <f>COUNTIFS(H$40:H457,AH23,E$40:E457,"SAL")</f>
        <v>0</v>
      </c>
      <c r="AJ23" s="38">
        <f t="shared" si="4"/>
        <v>0</v>
      </c>
      <c r="AK23" s="38">
        <f t="shared" si="12"/>
        <v>0</v>
      </c>
      <c r="AL23" s="38">
        <f>COUNTIFS(H$40:H457,AH23,E$40:E457,"SAIL")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G24" s="11"/>
      <c r="K24" s="5"/>
      <c r="U24" s="87" t="str">
        <f>Cadastros!I31</f>
        <v>Renan Maiato</v>
      </c>
      <c r="V24" s="86">
        <f>COUNTIFS(H$39:H457,U24,K$39:K457,V$4)</f>
        <v>0</v>
      </c>
      <c r="W24" s="14">
        <f>COUNTIFS(H$39:H457,U24,K$39:K457,W$4)</f>
        <v>0</v>
      </c>
      <c r="X24" s="14">
        <f>COUNTIFS(H$39:H457,U24,K$39:K457,X$4)</f>
        <v>0</v>
      </c>
      <c r="Y24" s="15">
        <f t="shared" si="0"/>
        <v>0</v>
      </c>
      <c r="AA24" s="22" t="str">
        <f t="shared" si="1"/>
        <v>Renan Maiato</v>
      </c>
      <c r="AB24" s="30">
        <f>SUMIFS(J$40:J384,H$40:H384,AA24,E$40:E384,"SAL")</f>
        <v>0</v>
      </c>
      <c r="AC24" s="29">
        <f>SUMIFS(J$40:J458,H$40:H458,AA24,E$40:E458,"SAM")</f>
        <v>0</v>
      </c>
      <c r="AD24" s="29">
        <f>SUMIFS(J$40:J458,H$40:H458,AA24,E$40:E458,"NE")</f>
        <v>0</v>
      </c>
      <c r="AE24" s="29">
        <f>SUMIFS(J$40:J458,H$40:H458,AA24,E$40:E458,"SAIL")</f>
        <v>0</v>
      </c>
      <c r="AF24" s="31">
        <f t="shared" si="2"/>
        <v>0</v>
      </c>
      <c r="AH24" s="22" t="str">
        <f t="shared" si="3"/>
        <v>Renan Maiato</v>
      </c>
      <c r="AI24" s="30">
        <f>COUNTIFS(H$40:H458,AH24,E$40:E458,"SAL")</f>
        <v>0</v>
      </c>
      <c r="AJ24" s="29">
        <f t="shared" si="4"/>
        <v>0</v>
      </c>
      <c r="AK24" s="29">
        <f t="shared" si="12"/>
        <v>0</v>
      </c>
      <c r="AL24" s="29">
        <f>COUNTIFS(H$40:H458,AH24,E$40:E458,"SAIL")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c r="G25" s="11"/>
      <c r="K25" s="5"/>
      <c r="U25" s="87" t="str">
        <f>Cadastros!I32</f>
        <v>Sabrine Neves</v>
      </c>
      <c r="V25" s="85">
        <f>COUNTIFS(H$39:H458,U25,K$39:K458,V$4)</f>
        <v>0</v>
      </c>
      <c r="W25" s="18">
        <f>COUNTIFS(H$39:H458,U25,K$39:K458,W$4)</f>
        <v>0</v>
      </c>
      <c r="X25" s="18">
        <f>COUNTIFS(H$39:H458,U25,K$39:K458,X$4)</f>
        <v>0</v>
      </c>
      <c r="Y25" s="19">
        <f t="shared" si="0"/>
        <v>0</v>
      </c>
      <c r="AA25" s="21" t="str">
        <f t="shared" si="1"/>
        <v>Sabrine Neves</v>
      </c>
      <c r="AB25" s="37">
        <f>SUMIFS(J$40:J385,H$40:H385,AA25,E$40:E385,"SAL")</f>
        <v>0</v>
      </c>
      <c r="AC25" s="38">
        <f>SUMIFS(J$40:J459,H$40:H459,AA25,E$40:E459,"SAM")</f>
        <v>0</v>
      </c>
      <c r="AD25" s="38">
        <f>SUMIFS(J$40:J459,H$40:H459,AA25,E$40:E459,"NE")</f>
        <v>0</v>
      </c>
      <c r="AE25" s="38">
        <f>SUMIFS(J$40:J459,H$40:H459,AA25,E$40:E459,"SAIL")</f>
        <v>0</v>
      </c>
      <c r="AF25" s="39">
        <f t="shared" si="2"/>
        <v>0</v>
      </c>
      <c r="AH25" s="21" t="str">
        <f t="shared" si="3"/>
        <v>Sabrine Neves</v>
      </c>
      <c r="AI25" s="37">
        <f>COUNTIFS(H$40:H459,AH25,E$40:E459,"SAL")</f>
        <v>0</v>
      </c>
      <c r="AJ25" s="38">
        <f t="shared" si="4"/>
        <v>0</v>
      </c>
      <c r="AK25" s="38">
        <f t="shared" si="12"/>
        <v>0</v>
      </c>
      <c r="AL25" s="38">
        <f>COUNTIFS(H$40:H459,AH25,E$40:E459,"SAIL")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c r="G26" s="11"/>
      <c r="K26" s="5"/>
      <c r="U26" s="87" t="str">
        <f>Cadastros!I33</f>
        <v>Victor Ferreira</v>
      </c>
      <c r="V26" s="86">
        <f>COUNTIFS(H$39:H459,U26,K$39:K459,V$4)</f>
        <v>0</v>
      </c>
      <c r="W26" s="14">
        <f>COUNTIFS(H$39:H459,U26,K$39:K459,W$4)</f>
        <v>0</v>
      </c>
      <c r="X26" s="14">
        <f>COUNTIFS(H$39:H459,U26,K$39:K459,X$4)</f>
        <v>0</v>
      </c>
      <c r="Y26" s="15">
        <f t="shared" si="0"/>
        <v>0</v>
      </c>
      <c r="AA26" s="22" t="str">
        <f t="shared" si="1"/>
        <v>Victor Ferreira</v>
      </c>
      <c r="AB26" s="30">
        <f>SUMIFS(J$40:J386,H$40:H386,AA26,E$40:E386,"SAL")</f>
        <v>0</v>
      </c>
      <c r="AC26" s="29">
        <f>SUMIFS(J$40:J460,H$40:H460,AA26,E$40:E460,"SAM")</f>
        <v>0</v>
      </c>
      <c r="AD26" s="29">
        <f>SUMIFS(J$40:J460,H$40:H460,AA26,E$40:E460,"NE")</f>
        <v>0</v>
      </c>
      <c r="AE26" s="29">
        <f>SUMIFS(J$40:J460,H$40:H460,AA26,E$40:E460,"SAIL")</f>
        <v>0</v>
      </c>
      <c r="AF26" s="31">
        <f t="shared" si="2"/>
        <v>0</v>
      </c>
      <c r="AH26" s="22" t="str">
        <f t="shared" si="3"/>
        <v>Victor Ferreira</v>
      </c>
      <c r="AI26" s="30">
        <f>COUNTIFS(H$40:H460,AH26,E$40:E460,"SAL")</f>
        <v>0</v>
      </c>
      <c r="AJ26" s="29">
        <f t="shared" si="4"/>
        <v>0</v>
      </c>
      <c r="AK26" s="29">
        <f t="shared" si="12"/>
        <v>0</v>
      </c>
      <c r="AL26" s="29">
        <f>COUNTIFS(H$40:H460,AH26,E$40:E460,"SAIL")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c r="G27" s="11"/>
      <c r="K27" s="5"/>
      <c r="U27" s="87" t="str">
        <f>Cadastros!I34</f>
        <v>Erick Vicente</v>
      </c>
      <c r="V27" s="85">
        <f>COUNTIFS(H$39:H460,U27,K$39:K460,V$4)</f>
        <v>0</v>
      </c>
      <c r="W27" s="18">
        <f>COUNTIFS(H$39:H460,U27,K$39:K460,W$4)</f>
        <v>0</v>
      </c>
      <c r="X27" s="18">
        <f>COUNTIFS(H$39:H460,U27,K$39:K460,X$4)</f>
        <v>0</v>
      </c>
      <c r="Y27" s="19">
        <f t="shared" si="0"/>
        <v>0</v>
      </c>
      <c r="AA27" s="21" t="str">
        <f t="shared" si="1"/>
        <v>Erick Vicente</v>
      </c>
      <c r="AB27" s="37">
        <f>SUMIFS(J$40:J387,H$40:H387,AA27,E$40:E387,"SAL")</f>
        <v>0</v>
      </c>
      <c r="AC27" s="38">
        <f>SUMIFS(J$40:J461,H$40:H461,AA27,E$40:E461,"SAM")</f>
        <v>0</v>
      </c>
      <c r="AD27" s="38">
        <f>SUMIFS(J$40:J461,H$40:H461,AA27,E$40:E461,"NE")</f>
        <v>0</v>
      </c>
      <c r="AE27" s="38">
        <f>SUMIFS(J$40:J461,H$40:H461,AA27,E$40:E461,"SAIL")</f>
        <v>0</v>
      </c>
      <c r="AF27" s="39">
        <f t="shared" si="2"/>
        <v>0</v>
      </c>
      <c r="AH27" s="21" t="str">
        <f t="shared" si="3"/>
        <v>Erick Vicente</v>
      </c>
      <c r="AI27" s="37">
        <f>COUNTIFS(H$40:H461,AH27,E$40:E461,"SAL")</f>
        <v>0</v>
      </c>
      <c r="AJ27" s="38">
        <f t="shared" si="4"/>
        <v>0</v>
      </c>
      <c r="AK27" s="38">
        <f t="shared" si="12"/>
        <v>0</v>
      </c>
      <c r="AL27" s="38">
        <f>COUNTIFS(H$40:H461,AH27,E$40:E461,"SAIL")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c r="G28" s="11"/>
      <c r="K28" s="5"/>
      <c r="U28" s="87" t="str">
        <f>Cadastros!I35</f>
        <v>Rafaela Sampaio</v>
      </c>
      <c r="V28" s="86">
        <f>COUNTIFS(H$39:H461,U28,K$39:K461,V$4)</f>
        <v>0</v>
      </c>
      <c r="W28" s="14">
        <f>COUNTIFS(H$39:H461,U28,K$39:K461,W$4)</f>
        <v>0</v>
      </c>
      <c r="X28" s="14">
        <f>COUNTIFS(H$39:H461,U28,K$39:K461,X$4)</f>
        <v>0</v>
      </c>
      <c r="Y28" s="15">
        <f t="shared" si="0"/>
        <v>0</v>
      </c>
      <c r="AA28" s="22" t="str">
        <f t="shared" si="1"/>
        <v>Rafaela Sampaio</v>
      </c>
      <c r="AB28" s="30">
        <f>SUMIFS(J$40:J388,H$40:H388,AA28,E$40:E388,"SAL")</f>
        <v>0</v>
      </c>
      <c r="AC28" s="29">
        <f>SUMIFS(J$40:J462,H$40:H462,AA28,E$40:E462,"SAM")</f>
        <v>0</v>
      </c>
      <c r="AD28" s="29">
        <f>SUMIFS(J$40:J462,H$40:H462,AA28,E$40:E462,"NE")</f>
        <v>0</v>
      </c>
      <c r="AE28" s="29">
        <f>SUMIFS(J$40:J462,H$40:H462,AA28,E$40:E462,"SAIL")</f>
        <v>0</v>
      </c>
      <c r="AF28" s="31">
        <f t="shared" si="2"/>
        <v>0</v>
      </c>
      <c r="AH28" s="22" t="str">
        <f t="shared" si="3"/>
        <v>Rafaela Sampaio</v>
      </c>
      <c r="AI28" s="30">
        <f>COUNTIFS(H$40:H462,AH28,E$40:E462,"SAL")</f>
        <v>0</v>
      </c>
      <c r="AJ28" s="29">
        <f t="shared" si="4"/>
        <v>0</v>
      </c>
      <c r="AK28" s="29">
        <f t="shared" si="12"/>
        <v>0</v>
      </c>
      <c r="AL28" s="29">
        <f>COUNTIFS(H$40:H462,AH28,E$40:E462,"SAIL")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c r="G29" s="11"/>
      <c r="K29" s="5"/>
      <c r="U29" s="87" t="str">
        <f>Cadastros!I36</f>
        <v>Laysa Gabriela</v>
      </c>
      <c r="V29" s="97">
        <f>COUNTIFS(H$39:H462,U29,K$39:K462,V$4)</f>
        <v>0</v>
      </c>
      <c r="W29" s="98">
        <f>COUNTIFS(H$39:H462,U29,K$39:K462,W$4)</f>
        <v>0</v>
      </c>
      <c r="X29" s="98">
        <f>COUNTIFS(H$39:H462,U29,K$39:K462,X$4)</f>
        <v>0</v>
      </c>
      <c r="Y29" s="99">
        <f t="shared" si="0"/>
        <v>0</v>
      </c>
      <c r="AA29" s="89" t="str">
        <f t="shared" si="1"/>
        <v>Laysa Gabriela</v>
      </c>
      <c r="AB29" s="90">
        <f>SUMIFS(J$40:J389,H$40:H389,AA29,E$40:E389,"SAL")</f>
        <v>0</v>
      </c>
      <c r="AC29" s="91">
        <f>SUMIFS(J$40:J463,H$40:H463,AA29,E$40:E463,"SAM")</f>
        <v>0</v>
      </c>
      <c r="AD29" s="91">
        <f>SUMIFS(J$40:J463,H$40:H463,AA29,E$40:E463,"NE")</f>
        <v>0</v>
      </c>
      <c r="AE29" s="91">
        <f>SUMIFS(J$40:J463,H$40:H463,AA29,E$40:E463,"SAIL")</f>
        <v>0</v>
      </c>
      <c r="AF29" s="92">
        <f t="shared" si="2"/>
        <v>0</v>
      </c>
      <c r="AH29" s="89" t="str">
        <f t="shared" si="3"/>
        <v>Laysa Gabriela</v>
      </c>
      <c r="AI29" s="90">
        <f>COUNTIFS(H$40:H463,AH29,E$40:E463,"SAL")</f>
        <v>0</v>
      </c>
      <c r="AJ29" s="91">
        <f t="shared" si="4"/>
        <v>0</v>
      </c>
      <c r="AK29" s="91">
        <f t="shared" si="12"/>
        <v>0</v>
      </c>
      <c r="AL29" s="91">
        <f>COUNTIFS(H$40:H463,AH29,E$40:E463,"SAIL")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185" t="s">
        <v>92</v>
      </c>
      <c r="R39" s="82" t="s">
        <v>93</v>
      </c>
    </row>
    <row r="40" spans="1:18">
      <c r="A40" s="78"/>
      <c r="B40" s="78"/>
      <c r="C40" s="78"/>
      <c r="D40" s="78"/>
      <c r="E40" s="78"/>
      <c r="F40" s="78"/>
      <c r="G40" s="78"/>
      <c r="H40" s="78"/>
      <c r="I40" s="78"/>
      <c r="J40" s="78"/>
      <c r="K40" s="78"/>
      <c r="L40" s="78"/>
      <c r="M40" s="78"/>
      <c r="N40" s="78"/>
      <c r="O40" s="78"/>
      <c r="P40" s="78"/>
      <c r="Q40" s="78"/>
    </row>
    <row r="41" spans="1:18">
      <c r="A41" s="4"/>
      <c r="B41" s="5"/>
      <c r="C41" s="4"/>
      <c r="D41" s="5"/>
      <c r="E41" s="5"/>
      <c r="F41" s="5"/>
      <c r="H41" s="5"/>
      <c r="I41" s="5"/>
      <c r="J41" s="5"/>
      <c r="K41" s="5"/>
      <c r="L41" s="5"/>
      <c r="M41" s="5"/>
      <c r="N41" s="5"/>
      <c r="O41" s="5"/>
      <c r="P41" s="5"/>
      <c r="Q41" s="5"/>
      <c r="R41"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G65" s="136"/>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H73" s="5"/>
      <c r="I73" s="5"/>
      <c r="J73" s="5"/>
      <c r="K73" s="5"/>
      <c r="L73" s="5"/>
      <c r="M73" s="5"/>
      <c r="N73" s="5"/>
      <c r="O73" s="5"/>
      <c r="P73" s="5"/>
      <c r="Q73" s="5"/>
      <c r="R73" s="5"/>
    </row>
    <row r="74" spans="1:18">
      <c r="A74" s="4"/>
      <c r="B74" s="5"/>
      <c r="C74" s="4"/>
      <c r="D74" s="5"/>
      <c r="E74" s="5"/>
      <c r="F74" s="5"/>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G81" s="136"/>
      <c r="H81" s="5"/>
      <c r="I81" s="5"/>
      <c r="J81" s="5"/>
      <c r="K81" s="5"/>
      <c r="L81" s="5"/>
      <c r="M81" s="5"/>
      <c r="N81" s="5"/>
      <c r="O81" s="5"/>
      <c r="P81" s="5"/>
      <c r="Q81" s="5"/>
      <c r="R81" s="5"/>
    </row>
    <row r="82" spans="1:18">
      <c r="A82" s="4"/>
      <c r="B82" s="5"/>
      <c r="C82" s="4"/>
      <c r="D82" s="5"/>
      <c r="E82" s="5"/>
      <c r="F82" s="5"/>
      <c r="G82" s="136"/>
      <c r="H82" s="5"/>
      <c r="I82" s="5"/>
      <c r="J82" s="5"/>
      <c r="K82" s="5"/>
      <c r="L82" s="5"/>
      <c r="M82" s="5"/>
      <c r="N82" s="5"/>
      <c r="O82" s="5"/>
      <c r="P82" s="5"/>
      <c r="Q82" s="5"/>
      <c r="R82" s="5"/>
    </row>
    <row r="83" spans="1:18">
      <c r="A83" s="4"/>
      <c r="B83" s="5"/>
      <c r="C83" s="4"/>
      <c r="D83" s="5"/>
      <c r="E83" s="5"/>
      <c r="F83" s="5"/>
      <c r="G83" s="136"/>
      <c r="H83" s="5"/>
      <c r="I83" s="5"/>
      <c r="J83" s="5"/>
      <c r="K83" s="5"/>
      <c r="L83" s="5"/>
      <c r="M83" s="5"/>
      <c r="N83" s="5"/>
      <c r="O83" s="5"/>
      <c r="P83" s="5"/>
      <c r="Q83" s="5"/>
      <c r="R83" s="5"/>
    </row>
    <row r="84" spans="1:18">
      <c r="A84" s="4"/>
      <c r="B84" s="5"/>
      <c r="C84" s="4"/>
      <c r="D84" s="5"/>
      <c r="E84" s="5"/>
      <c r="F84" s="5"/>
      <c r="G84" s="136"/>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H88" s="5"/>
      <c r="I88" s="5"/>
      <c r="J88" s="5"/>
      <c r="K88" s="5"/>
      <c r="L88" s="5"/>
      <c r="M88" s="5"/>
      <c r="N88" s="5"/>
      <c r="O88" s="5"/>
      <c r="P88" s="5"/>
      <c r="Q88" s="5"/>
      <c r="R88" s="5"/>
    </row>
    <row r="89" spans="1:18">
      <c r="A89" s="4"/>
      <c r="B89" s="5"/>
      <c r="C89" s="4"/>
      <c r="D89" s="5"/>
      <c r="E89" s="5"/>
      <c r="F89" s="5"/>
      <c r="G89" s="136"/>
      <c r="H89" s="5"/>
      <c r="I89" s="5"/>
      <c r="J89" s="5"/>
      <c r="K89" s="5"/>
      <c r="L89" s="5"/>
      <c r="M89" s="5"/>
      <c r="N89" s="5"/>
      <c r="O89" s="5"/>
      <c r="P89" s="5"/>
      <c r="Q89" s="5"/>
      <c r="R89" s="5"/>
    </row>
    <row r="90" spans="1:18">
      <c r="A90" s="4"/>
      <c r="B90" s="5"/>
      <c r="C90" s="4"/>
      <c r="D90" s="5"/>
      <c r="E90" s="5"/>
      <c r="F90" s="5"/>
      <c r="G90" s="136"/>
      <c r="H90" s="5"/>
      <c r="I90" s="5"/>
      <c r="J90" s="5"/>
      <c r="K90" s="5"/>
      <c r="L90" s="5"/>
      <c r="M90" s="5"/>
      <c r="N90" s="5"/>
      <c r="O90" s="5"/>
      <c r="P90" s="5"/>
      <c r="Q90" s="5"/>
      <c r="R90" s="5"/>
    </row>
    <row r="91" spans="1:18">
      <c r="A91" s="4"/>
      <c r="B91" s="5"/>
      <c r="C91" s="4"/>
      <c r="D91" s="5"/>
      <c r="E91" s="5"/>
      <c r="F91" s="5"/>
      <c r="G91" s="136"/>
      <c r="H91" s="5"/>
      <c r="I91" s="5"/>
      <c r="J91" s="5"/>
      <c r="K91" s="5"/>
      <c r="L91" s="5"/>
      <c r="M91" s="5"/>
      <c r="N91" s="5"/>
      <c r="O91" s="5"/>
      <c r="P91" s="5"/>
      <c r="Q91" s="5"/>
      <c r="R91" s="5"/>
    </row>
    <row r="92" spans="1:18">
      <c r="A92" s="4"/>
      <c r="B92" s="5"/>
      <c r="C92" s="4"/>
      <c r="D92" s="5"/>
      <c r="E92" s="5"/>
      <c r="F92" s="5"/>
      <c r="G92" s="136"/>
      <c r="H92" s="5"/>
      <c r="I92" s="5"/>
      <c r="J92" s="5"/>
      <c r="K92" s="5"/>
      <c r="L92" s="5"/>
      <c r="M92" s="5"/>
      <c r="N92" s="5"/>
      <c r="O92" s="5"/>
      <c r="P92" s="5"/>
      <c r="Q92" s="5"/>
      <c r="R92" s="5"/>
    </row>
    <row r="93" spans="1:18">
      <c r="A93" s="4"/>
      <c r="B93" s="5"/>
      <c r="C93" s="4"/>
      <c r="D93" s="5"/>
      <c r="E93" s="5"/>
      <c r="F93" s="5"/>
      <c r="G93" s="136"/>
      <c r="H93" s="5"/>
      <c r="I93" s="5"/>
      <c r="J93" s="5"/>
      <c r="K93" s="5"/>
      <c r="L93" s="5"/>
      <c r="M93" s="5"/>
      <c r="N93" s="5"/>
      <c r="O93" s="5"/>
      <c r="P93" s="5"/>
      <c r="Q93" s="5"/>
      <c r="R93" s="5"/>
    </row>
    <row r="94" spans="1:18">
      <c r="A94" s="4"/>
      <c r="B94" s="5"/>
      <c r="C94" s="4"/>
      <c r="D94" s="5"/>
      <c r="E94" s="5"/>
      <c r="F94" s="5"/>
      <c r="G94" s="136"/>
      <c r="H94" s="5"/>
      <c r="I94" s="5"/>
      <c r="J94" s="5"/>
      <c r="K94" s="5"/>
      <c r="L94" s="5"/>
      <c r="M94" s="5"/>
      <c r="N94" s="5"/>
      <c r="O94" s="5"/>
      <c r="P94" s="5"/>
      <c r="Q94" s="5"/>
      <c r="R94" s="5"/>
    </row>
    <row r="95" spans="1:18">
      <c r="A95" s="4"/>
      <c r="B95" s="5"/>
      <c r="C95" s="4"/>
      <c r="D95" s="5"/>
      <c r="E95" s="5"/>
      <c r="F95" s="5"/>
      <c r="G95" s="136"/>
      <c r="H95" s="5"/>
      <c r="I95" s="5"/>
      <c r="J95" s="5"/>
      <c r="K95" s="5"/>
      <c r="L95" s="5"/>
      <c r="M95" s="5"/>
      <c r="N95" s="5"/>
      <c r="O95" s="5"/>
      <c r="P95" s="5"/>
      <c r="Q95" s="5"/>
      <c r="R95" s="5"/>
    </row>
    <row r="96" spans="1:18">
      <c r="A96" s="4"/>
      <c r="B96" s="5"/>
      <c r="C96" s="4"/>
      <c r="D96" s="5"/>
      <c r="E96" s="5"/>
      <c r="F96" s="5"/>
      <c r="G96" s="136"/>
      <c r="H96" s="5"/>
      <c r="I96" s="5"/>
      <c r="J96" s="5"/>
      <c r="K96" s="5"/>
      <c r="L96" s="5"/>
      <c r="M96" s="5"/>
      <c r="N96" s="5"/>
      <c r="O96" s="5"/>
      <c r="P96" s="5"/>
      <c r="Q96" s="5"/>
      <c r="R96" s="5"/>
    </row>
    <row r="97" spans="1:18">
      <c r="A97" s="4"/>
      <c r="B97" s="5"/>
      <c r="C97" s="4"/>
      <c r="D97" s="5"/>
      <c r="E97" s="5"/>
      <c r="F97" s="5"/>
      <c r="G97" s="136"/>
      <c r="H97" s="5"/>
      <c r="I97" s="5"/>
      <c r="J97" s="5"/>
      <c r="K97" s="5"/>
      <c r="L97" s="5"/>
      <c r="M97" s="5"/>
      <c r="N97" s="5"/>
      <c r="O97" s="5"/>
      <c r="P97" s="5"/>
      <c r="Q97" s="5"/>
      <c r="R97" s="5"/>
    </row>
    <row r="98" spans="1:18">
      <c r="A98" s="4"/>
      <c r="B98" s="5"/>
      <c r="C98" s="4"/>
      <c r="D98" s="5"/>
      <c r="E98" s="5"/>
      <c r="F98" s="5"/>
      <c r="G98" s="136"/>
      <c r="H98" s="5"/>
      <c r="I98" s="5"/>
      <c r="J98" s="5"/>
      <c r="K98" s="5"/>
      <c r="L98" s="5"/>
      <c r="M98" s="5"/>
      <c r="N98" s="5"/>
      <c r="O98" s="5"/>
      <c r="P98" s="5"/>
      <c r="Q98" s="5"/>
      <c r="R98" s="5"/>
    </row>
    <row r="99" spans="1:18">
      <c r="A99" s="4"/>
      <c r="B99" s="5"/>
      <c r="C99" s="4"/>
      <c r="D99" s="5"/>
      <c r="E99" s="5"/>
      <c r="F99" s="5"/>
      <c r="H99" s="5"/>
      <c r="I99" s="5"/>
      <c r="J99" s="5"/>
      <c r="K99" s="5"/>
      <c r="L99" s="5"/>
      <c r="M99" s="5"/>
      <c r="N99" s="5"/>
      <c r="O99" s="5"/>
      <c r="P99" s="5"/>
      <c r="Q99" s="5"/>
      <c r="R99" s="5"/>
    </row>
    <row r="100" spans="1:18">
      <c r="A100" s="4"/>
      <c r="B100" s="5"/>
      <c r="C100" s="4"/>
      <c r="D100" s="5"/>
      <c r="E100" s="5"/>
      <c r="F100" s="5"/>
      <c r="H100" s="5"/>
      <c r="I100" s="5"/>
      <c r="J100" s="5"/>
      <c r="K100" s="5"/>
      <c r="L100" s="5"/>
      <c r="M100" s="5"/>
      <c r="N100" s="5"/>
      <c r="O100" s="5"/>
      <c r="P100" s="5"/>
      <c r="Q100" s="5"/>
      <c r="R100" s="5"/>
    </row>
    <row r="101" spans="1:18">
      <c r="A101" s="4"/>
      <c r="B101" s="5"/>
      <c r="C101" s="4"/>
      <c r="D101" s="5"/>
      <c r="E101" s="5"/>
      <c r="F101" s="5"/>
      <c r="H101" s="5"/>
      <c r="I101" s="5"/>
      <c r="J101" s="5"/>
      <c r="K101" s="5"/>
      <c r="L101" s="5"/>
      <c r="M101" s="5"/>
      <c r="N101" s="5"/>
      <c r="O101" s="5"/>
      <c r="P101" s="5"/>
      <c r="Q101" s="5"/>
      <c r="R101" s="5"/>
    </row>
    <row r="102" spans="1:18">
      <c r="A102" s="4"/>
      <c r="B102" s="5"/>
      <c r="C102" s="4"/>
      <c r="D102" s="5"/>
      <c r="E102" s="5"/>
      <c r="F102" s="5"/>
      <c r="H102" s="5"/>
      <c r="I102" s="5"/>
      <c r="J102" s="5"/>
      <c r="K102" s="5"/>
      <c r="L102" s="5"/>
      <c r="M102" s="5"/>
      <c r="N102" s="5"/>
      <c r="O102" s="5"/>
      <c r="P102" s="5"/>
      <c r="Q102" s="5"/>
      <c r="R102" s="5"/>
    </row>
    <row r="103" spans="1:18">
      <c r="A103" s="4"/>
      <c r="B103" s="5"/>
      <c r="C103" s="4"/>
      <c r="D103" s="5"/>
      <c r="E103" s="5"/>
      <c r="F103" s="5"/>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G106" s="136"/>
      <c r="H106" s="5"/>
      <c r="I106" s="5"/>
      <c r="J106" s="5"/>
      <c r="K106" s="5"/>
      <c r="L106" s="5"/>
      <c r="M106" s="5"/>
      <c r="N106" s="5"/>
      <c r="O106" s="5"/>
      <c r="P106" s="5"/>
      <c r="Q106" s="5"/>
      <c r="R106" s="5"/>
    </row>
    <row r="107" spans="1:18">
      <c r="A107" s="4"/>
      <c r="B107" s="5"/>
      <c r="C107" s="4"/>
      <c r="D107" s="5"/>
      <c r="E107" s="5"/>
      <c r="F107" s="5"/>
      <c r="G107" s="136"/>
      <c r="H107" s="5"/>
      <c r="I107" s="5"/>
      <c r="J107" s="5"/>
      <c r="K107" s="5"/>
      <c r="L107" s="5"/>
      <c r="M107" s="5"/>
      <c r="N107" s="5"/>
      <c r="O107" s="5"/>
      <c r="P107" s="5"/>
      <c r="Q107" s="5"/>
      <c r="R107" s="5"/>
    </row>
    <row r="108" spans="1:18">
      <c r="A108" s="4"/>
      <c r="B108" s="5"/>
      <c r="C108" s="4"/>
      <c r="D108" s="5"/>
      <c r="E108" s="5"/>
      <c r="F108" s="5"/>
      <c r="G108" s="136"/>
      <c r="H108" s="5"/>
      <c r="I108" s="5"/>
      <c r="J108" s="5"/>
      <c r="K108" s="5"/>
      <c r="L108" s="5"/>
      <c r="M108" s="5"/>
      <c r="N108" s="5"/>
      <c r="O108" s="5"/>
      <c r="P108" s="5"/>
      <c r="Q108" s="5"/>
      <c r="R108" s="5"/>
    </row>
    <row r="109" spans="1:18">
      <c r="A109" s="4"/>
      <c r="B109" s="5"/>
      <c r="C109" s="4"/>
      <c r="D109" s="5"/>
      <c r="E109" s="5"/>
      <c r="F109" s="5"/>
      <c r="G109" s="136"/>
      <c r="H109" s="5"/>
      <c r="I109" s="5"/>
      <c r="J109" s="5"/>
      <c r="K109" s="5"/>
      <c r="L109" s="5"/>
      <c r="M109" s="5"/>
      <c r="N109" s="5"/>
      <c r="O109" s="5"/>
      <c r="P109" s="5"/>
      <c r="Q109" s="5"/>
      <c r="R109" s="5"/>
    </row>
    <row r="110" spans="1:18">
      <c r="A110" s="4"/>
      <c r="B110" s="5"/>
      <c r="C110" s="4"/>
      <c r="D110" s="5"/>
      <c r="E110" s="5"/>
      <c r="F110" s="5"/>
      <c r="G110" s="136"/>
      <c r="H110" s="5"/>
      <c r="I110" s="5"/>
      <c r="J110" s="5"/>
      <c r="K110" s="5"/>
      <c r="L110" s="5"/>
      <c r="M110" s="5"/>
      <c r="N110" s="5"/>
      <c r="O110" s="5"/>
      <c r="P110" s="5"/>
      <c r="Q110" s="5"/>
      <c r="R110" s="5"/>
    </row>
    <row r="111" spans="1:18">
      <c r="A111" s="4"/>
      <c r="B111" s="5"/>
      <c r="C111" s="4"/>
      <c r="D111" s="5"/>
      <c r="E111" s="5"/>
      <c r="F111" s="5"/>
      <c r="G111" s="136"/>
      <c r="H111" s="5"/>
      <c r="I111" s="5"/>
      <c r="J111" s="5"/>
      <c r="K111" s="5"/>
      <c r="L111" s="5"/>
      <c r="M111" s="5"/>
      <c r="N111" s="5"/>
      <c r="O111" s="5"/>
      <c r="P111" s="5"/>
      <c r="Q111" s="5"/>
      <c r="R111" s="5"/>
    </row>
    <row r="112" spans="1:18">
      <c r="A112" s="4"/>
      <c r="B112" s="5"/>
      <c r="C112" s="4"/>
      <c r="D112" s="5"/>
      <c r="E112" s="5"/>
      <c r="F112" s="5"/>
      <c r="G112" s="95"/>
      <c r="H112" s="5"/>
      <c r="I112" s="5"/>
      <c r="J112" s="5"/>
      <c r="K112" s="5"/>
      <c r="L112" s="5"/>
      <c r="M112" s="5"/>
      <c r="N112" s="5"/>
      <c r="O112" s="5"/>
      <c r="P112" s="5"/>
      <c r="Q112" s="5"/>
      <c r="R112" s="5"/>
    </row>
    <row r="113" spans="1:18">
      <c r="A113" s="4"/>
      <c r="B113" s="5"/>
      <c r="C113" s="4"/>
      <c r="D113" s="5"/>
      <c r="E113" s="5"/>
      <c r="F113" s="5"/>
      <c r="G113" s="95"/>
      <c r="H113" s="5"/>
      <c r="I113" s="5"/>
      <c r="J113" s="5"/>
      <c r="K113" s="5"/>
      <c r="L113" s="5"/>
      <c r="M113" s="5"/>
      <c r="N113" s="5"/>
      <c r="O113" s="5"/>
      <c r="P113" s="5"/>
      <c r="Q113" s="5"/>
      <c r="R113" s="5"/>
    </row>
    <row r="114" spans="1:18">
      <c r="A114" s="4"/>
      <c r="B114" s="5"/>
      <c r="C114" s="4"/>
      <c r="D114" s="5"/>
      <c r="E114" s="5"/>
      <c r="F114" s="5"/>
      <c r="G114" s="9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G118" s="136"/>
      <c r="H118" s="5"/>
      <c r="I118" s="5"/>
      <c r="J118" s="5"/>
      <c r="K118" s="5"/>
      <c r="L118" s="5"/>
      <c r="M118" s="5"/>
      <c r="N118" s="5"/>
      <c r="O118" s="5"/>
      <c r="P118" s="5"/>
      <c r="Q118" s="5"/>
      <c r="R118" s="5"/>
    </row>
    <row r="119" spans="1:18">
      <c r="A119" s="4"/>
      <c r="B119" s="5"/>
      <c r="C119" s="4"/>
      <c r="D119" s="5"/>
      <c r="E119" s="5"/>
      <c r="F119" s="5"/>
      <c r="G119" s="136"/>
      <c r="H119" s="5"/>
      <c r="I119" s="5"/>
      <c r="J119" s="5"/>
      <c r="K119" s="5"/>
      <c r="L119" s="5"/>
      <c r="M119" s="5"/>
      <c r="N119" s="5"/>
      <c r="O119" s="5"/>
      <c r="P119" s="5"/>
      <c r="Q119" s="5"/>
      <c r="R119" s="5"/>
    </row>
    <row r="120" spans="1:18">
      <c r="A120" s="4"/>
      <c r="B120" s="5"/>
      <c r="C120" s="4"/>
      <c r="D120" s="5"/>
      <c r="E120" s="5"/>
      <c r="F120" s="5"/>
      <c r="G120" s="136"/>
      <c r="H120" s="5"/>
      <c r="I120" s="5"/>
      <c r="J120" s="5"/>
      <c r="K120" s="5"/>
      <c r="L120" s="5"/>
      <c r="M120" s="5"/>
      <c r="N120" s="5"/>
      <c r="O120" s="5"/>
      <c r="P120" s="5"/>
      <c r="Q120" s="5"/>
      <c r="R120" s="5"/>
    </row>
    <row r="121" spans="1:18">
      <c r="A121" s="4"/>
      <c r="B121" s="5"/>
      <c r="C121" s="4"/>
      <c r="D121" s="5"/>
      <c r="E121" s="5"/>
      <c r="F121" s="5"/>
      <c r="G121" s="136"/>
      <c r="H121" s="5"/>
      <c r="I121" s="5"/>
      <c r="J121" s="5"/>
      <c r="K121" s="5"/>
      <c r="L121" s="5"/>
      <c r="M121" s="5"/>
      <c r="N121" s="5"/>
      <c r="O121" s="5"/>
      <c r="P121" s="5"/>
      <c r="Q121" s="5"/>
      <c r="R121" s="5"/>
    </row>
    <row r="122" spans="1:18">
      <c r="A122" s="4"/>
      <c r="B122" s="5"/>
      <c r="C122" s="4"/>
      <c r="D122" s="5"/>
      <c r="E122" s="5"/>
      <c r="F122" s="5"/>
      <c r="G122" s="136"/>
      <c r="H122" s="5"/>
      <c r="I122" s="5"/>
      <c r="J122" s="5"/>
      <c r="K122" s="5"/>
      <c r="L122" s="5"/>
      <c r="M122" s="5"/>
      <c r="N122" s="5"/>
      <c r="O122" s="5"/>
      <c r="P122" s="5"/>
      <c r="Q122" s="5"/>
      <c r="R122" s="5"/>
    </row>
    <row r="123" spans="1:18">
      <c r="A123" s="4"/>
      <c r="B123" s="5"/>
      <c r="C123" s="4"/>
      <c r="D123" s="5"/>
      <c r="E123" s="5"/>
      <c r="F123" s="5"/>
      <c r="G123" s="136"/>
      <c r="H123" s="5"/>
      <c r="I123" s="5"/>
      <c r="J123" s="5"/>
      <c r="K123" s="5"/>
      <c r="L123" s="5"/>
      <c r="M123" s="5"/>
      <c r="N123" s="5"/>
      <c r="O123" s="5"/>
      <c r="P123" s="5"/>
      <c r="Q123" s="5"/>
      <c r="R123" s="5"/>
    </row>
    <row r="124" spans="1:18">
      <c r="A124" s="4"/>
      <c r="B124" s="5"/>
      <c r="C124" s="4"/>
      <c r="D124" s="5"/>
      <c r="E124" s="5"/>
      <c r="F124" s="5"/>
      <c r="G124" s="136"/>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G160" s="95"/>
      <c r="H160" s="5"/>
      <c r="I160" s="5"/>
      <c r="J160" s="5"/>
      <c r="K160" s="5"/>
      <c r="L160" s="5"/>
      <c r="M160" s="5"/>
      <c r="N160" s="5"/>
      <c r="O160" s="5"/>
      <c r="P160" s="5"/>
      <c r="Q160" s="5"/>
      <c r="R160" s="5"/>
    </row>
    <row r="161" spans="1:18">
      <c r="A161" s="4"/>
      <c r="B161" s="5"/>
      <c r="C161" s="4"/>
      <c r="D161" s="5"/>
      <c r="E161" s="5"/>
      <c r="F161" s="5"/>
      <c r="G161" s="95"/>
      <c r="H161" s="5"/>
      <c r="I161" s="5"/>
      <c r="J161" s="5"/>
      <c r="K161" s="5"/>
      <c r="L161" s="5"/>
      <c r="M161" s="5"/>
      <c r="N161" s="5"/>
      <c r="O161" s="5"/>
      <c r="P161" s="5"/>
      <c r="Q161" s="5"/>
      <c r="R161" s="5"/>
    </row>
    <row r="162" spans="1:18">
      <c r="A162" s="4"/>
      <c r="B162" s="5"/>
      <c r="C162" s="4"/>
      <c r="D162" s="5"/>
      <c r="E162" s="5"/>
      <c r="F162" s="5"/>
      <c r="G162" s="95"/>
      <c r="H162" s="5"/>
      <c r="I162" s="5"/>
      <c r="J162" s="5"/>
      <c r="K162" s="5"/>
      <c r="L162" s="5"/>
      <c r="M162" s="5"/>
      <c r="N162" s="5"/>
      <c r="O162" s="5"/>
      <c r="P162" s="5"/>
      <c r="Q162" s="5"/>
      <c r="R162" s="5"/>
    </row>
    <row r="163" spans="1:18">
      <c r="A163" s="4"/>
      <c r="B163" s="5"/>
      <c r="C163" s="4"/>
      <c r="D163" s="5"/>
      <c r="E163" s="5"/>
      <c r="F163" s="5"/>
      <c r="G163" s="9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sheetData>
  <autoFilter ref="A39:R175" xr:uid="{66FFCE97-099C-43B5-B5B1-CD25C63CF7A3}"/>
  <mergeCells count="5">
    <mergeCell ref="AO3:AT3"/>
    <mergeCell ref="U1:X1"/>
    <mergeCell ref="U3:Y3"/>
    <mergeCell ref="AA3:AF3"/>
    <mergeCell ref="AH3:AM3"/>
  </mergeCells>
  <dataValidations count="4">
    <dataValidation showInputMessage="1" showErrorMessage="1" sqref="F33:F35 K33 P41:R41 P43:R175" xr:uid="{4CE7B44B-09F3-4F20-AF4B-4ED1EF292C8C}"/>
    <dataValidation type="custom" showInputMessage="1" showErrorMessage="1" sqref="K34:K35" xr:uid="{F4F5412D-DA03-42CD-8015-D9200A162A5B}">
      <formula1>_xlfn.DAYS(H242,F242)</formula1>
    </dataValidation>
    <dataValidation type="custom" allowBlank="1" showInputMessage="1" showErrorMessage="1" sqref="AE38 O38" xr:uid="{2FE382D4-ADE1-45C2-A1D7-918BA48EDF76}">
      <formula1>_xlfn.DAYS(L245,J245)</formula1>
    </dataValidation>
    <dataValidation type="custom" showInputMessage="1" showErrorMessage="1" sqref="AF38 P38" xr:uid="{B3626635-CDC8-4825-BADD-CA630A0FB2B0}">
      <formula1>_xlfn.DAYS(M244,K244)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C9AD1E2-B056-46B6-84B1-CBA86194B892}">
          <x14:formula1>
            <xm:f>Cadastros!$F$12:$F$25</xm:f>
          </x14:formula1>
          <xm:sqref>G38 K24 AM38 F23 F41 F43:F175</xm:sqref>
        </x14:dataValidation>
        <x14:dataValidation type="list" allowBlank="1" showInputMessage="1" showErrorMessage="1" xr:uid="{171EFA04-C65C-4546-B495-498EA2A56958}">
          <x14:formula1>
            <xm:f>Cadastros!$Q$12:$Q$17</xm:f>
          </x14:formula1>
          <xm:sqref>K38 AA38 K28 F28 K41 K43:K175</xm:sqref>
        </x14:dataValidation>
        <x14:dataValidation type="list" allowBlank="1" showInputMessage="1" showErrorMessage="1" xr:uid="{EBC0FBAB-8B67-491A-BD57-8C4EB0A890D6}">
          <x14:formula1>
            <xm:f>Cadastros!$N$12:$N$16</xm:f>
          </x14:formula1>
          <xm:sqref>I38 Y38 K26</xm:sqref>
        </x14:dataValidation>
        <x14:dataValidation type="list" allowBlank="1" showInputMessage="1" showErrorMessage="1" xr:uid="{E708744D-2B76-46C7-BEEB-A4B557F21074}">
          <x14:formula1>
            <xm:f>Cadastros!$S$12:$S$13</xm:f>
          </x14:formula1>
          <xm:sqref>M38:N38 AC38:AD38 K30:K31 F30:F31 M41:N41 M43:N175</xm:sqref>
        </x14:dataValidation>
        <x14:dataValidation type="list" errorStyle="information" allowBlank="1" showInputMessage="1" showErrorMessage="1" xr:uid="{445EF2CF-F171-462E-BC55-6977DB1D8867}">
          <x14:formula1>
            <xm:f>Cadastros!$I$12:$I$21</xm:f>
          </x14:formula1>
          <xm:sqref>H38 K25</xm:sqref>
        </x14:dataValidation>
        <x14:dataValidation type="list" showInputMessage="1" showErrorMessage="1" xr:uid="{94B03372-B328-49FC-8270-CF889C707AC6}">
          <x14:formula1>
            <xm:f>Cadastros!$C$12:$C$16</xm:f>
          </x14:formula1>
          <xm:sqref>K22 AK38 F22 E38 E41 E43:E175</xm:sqref>
        </x14:dataValidation>
        <x14:dataValidation type="list" errorStyle="information" allowBlank="1" showInputMessage="1" showErrorMessage="1" xr:uid="{9CE07DB9-7628-4E71-B3E7-C2ACDA147890}">
          <x14:formula1>
            <xm:f>Cadastros!$I$12:$I$36</xm:f>
          </x14:formula1>
          <xm:sqref>F25 H41 H43:H175</xm:sqref>
        </x14:dataValidation>
        <x14:dataValidation type="list" allowBlank="1" showInputMessage="1" showErrorMessage="1" xr:uid="{DEE8048C-E8F0-4054-9AD9-941E714C68DF}">
          <x14:formula1>
            <xm:f>Cadastros!$N$12:$N$19</xm:f>
          </x14:formula1>
          <xm:sqref>F26 I41 I43:I175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E223-449E-485F-803B-D93C59E2FC22}">
  <sheetPr codeName="Planilha11"/>
  <dimension ref="A1:AT155"/>
  <sheetViews>
    <sheetView topLeftCell="A26" zoomScaleNormal="100" workbookViewId="0">
      <selection activeCell="A40" sqref="A40"/>
    </sheetView>
  </sheetViews>
  <sheetFormatPr defaultRowHeight="15"/>
  <cols>
    <col min="1" max="1" width="12.28515625" customWidth="1"/>
    <col min="2" max="2" width="13.140625" bestFit="1" customWidth="1"/>
    <col min="3" max="3" width="13.140625" customWidth="1"/>
    <col min="5" max="5" width="26.28515625" bestFit="1" customWidth="1"/>
    <col min="6" max="6" width="64.28515625" customWidth="1"/>
    <col min="7" max="7" width="58.140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COUNTA(B$40:B306)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29" si="4">SUMIFS(Q$40:Q$344,H$40:H$344,AO5,E$40:E$344,"SAL")</f>
        <v>0</v>
      </c>
      <c r="AQ5" s="34">
        <f t="shared" ref="AQ5:AQ29" si="5">SUMIFS(Q$40:Q$344,H$40:H$344,AO5,E$40:E$344,"SAM")</f>
        <v>0</v>
      </c>
      <c r="AR5" s="34">
        <f t="shared" ref="AR5:AR29"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5"/>
        <v>0</v>
      </c>
      <c r="AR16" s="29">
        <f t="shared" si="6"/>
        <v>0</v>
      </c>
      <c r="AS16" s="29">
        <f t="shared" si="7"/>
        <v>0</v>
      </c>
      <c r="AT16" s="31">
        <f t="shared" si="8"/>
        <v>0</v>
      </c>
    </row>
    <row r="17" spans="1: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si="4"/>
        <v>0</v>
      </c>
      <c r="AQ17" s="139">
        <f t="shared" si="5"/>
        <v>0</v>
      </c>
      <c r="AR17" s="38">
        <f t="shared" si="6"/>
        <v>0</v>
      </c>
      <c r="AS17" s="38">
        <f t="shared" si="7"/>
        <v>0</v>
      </c>
      <c r="AT17" s="39">
        <f t="shared" si="8"/>
        <v>0</v>
      </c>
    </row>
    <row r="18" spans="1:46" ht="15.75" thickBot="1">
      <c r="A18">
        <v>0</v>
      </c>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4"/>
        <v>0</v>
      </c>
      <c r="AQ18" s="29">
        <f t="shared" si="5"/>
        <v>0</v>
      </c>
      <c r="AR18" s="29">
        <f t="shared" si="6"/>
        <v>0</v>
      </c>
      <c r="AS18" s="29">
        <f t="shared" si="7"/>
        <v>0</v>
      </c>
      <c r="AT18" s="31">
        <f t="shared" si="8"/>
        <v>0</v>
      </c>
    </row>
    <row r="19" spans="1:46" ht="15.75" thickBot="1">
      <c r="B19" s="23" t="e">
        <f>VLOOKUP(F19,B40:B258,1,0)</f>
        <v>#N/A</v>
      </c>
      <c r="C19" s="45" t="e">
        <f>VLOOKUP(F24,D40:D258,1,0)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4"/>
        <v>0</v>
      </c>
      <c r="AQ19" s="139">
        <f t="shared" si="5"/>
        <v>0</v>
      </c>
      <c r="AR19" s="38">
        <f t="shared" si="6"/>
        <v>0</v>
      </c>
      <c r="AS19" s="38">
        <f t="shared" si="7"/>
        <v>0</v>
      </c>
      <c r="AT19" s="39">
        <f t="shared" si="8"/>
        <v>0</v>
      </c>
    </row>
    <row r="20" spans="1: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4"/>
        <v>0</v>
      </c>
      <c r="AQ20" s="29">
        <f t="shared" si="5"/>
        <v>0</v>
      </c>
      <c r="AR20" s="29">
        <f t="shared" si="6"/>
        <v>0</v>
      </c>
      <c r="AS20" s="29">
        <f t="shared" si="7"/>
        <v>0</v>
      </c>
      <c r="AT20" s="31">
        <f t="shared" si="8"/>
        <v>0</v>
      </c>
    </row>
    <row r="21" spans="1:46" ht="15.75" thickBot="1">
      <c r="D21" s="10"/>
      <c r="E21" s="74" t="s">
        <v>77</v>
      </c>
      <c r="F21" s="159"/>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4"/>
        <v>0</v>
      </c>
      <c r="AQ21" s="139">
        <f t="shared" si="5"/>
        <v>0</v>
      </c>
      <c r="AR21" s="38">
        <f t="shared" si="6"/>
        <v>0</v>
      </c>
      <c r="AS21" s="38">
        <f t="shared" si="7"/>
        <v>0</v>
      </c>
      <c r="AT21" s="39">
        <f t="shared" si="8"/>
        <v>0</v>
      </c>
    </row>
    <row r="22" spans="1: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4"/>
        <v>0</v>
      </c>
      <c r="AQ22" s="29">
        <f t="shared" si="5"/>
        <v>0</v>
      </c>
      <c r="AR22" s="29">
        <f t="shared" si="6"/>
        <v>0</v>
      </c>
      <c r="AS22" s="29">
        <f t="shared" si="7"/>
        <v>0</v>
      </c>
      <c r="AT22" s="31">
        <f t="shared" si="8"/>
        <v>0</v>
      </c>
    </row>
    <row r="23" spans="1: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4"/>
        <v>0</v>
      </c>
      <c r="AQ23" s="139">
        <f t="shared" si="5"/>
        <v>0</v>
      </c>
      <c r="AR23" s="38">
        <f t="shared" si="6"/>
        <v>0</v>
      </c>
      <c r="AS23" s="38">
        <f t="shared" si="7"/>
        <v>0</v>
      </c>
      <c r="AT23" s="39">
        <f t="shared" si="8"/>
        <v>0</v>
      </c>
    </row>
    <row r="24" spans="1: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4"/>
        <v>0</v>
      </c>
      <c r="AQ24" s="29">
        <f t="shared" si="5"/>
        <v>0</v>
      </c>
      <c r="AR24" s="29">
        <f t="shared" si="6"/>
        <v>0</v>
      </c>
      <c r="AS24" s="29">
        <f t="shared" si="7"/>
        <v>0</v>
      </c>
      <c r="AT24" s="31">
        <f t="shared" si="8"/>
        <v>0</v>
      </c>
    </row>
    <row r="25" spans="1: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4"/>
        <v>0</v>
      </c>
      <c r="AQ25" s="139">
        <f t="shared" si="5"/>
        <v>0</v>
      </c>
      <c r="AR25" s="38">
        <f t="shared" si="6"/>
        <v>0</v>
      </c>
      <c r="AS25" s="38">
        <f t="shared" si="7"/>
        <v>0</v>
      </c>
      <c r="AT25" s="39">
        <f t="shared" si="8"/>
        <v>0</v>
      </c>
    </row>
    <row r="26" spans="1: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4"/>
        <v>0</v>
      </c>
      <c r="AQ26" s="29">
        <f t="shared" si="5"/>
        <v>0</v>
      </c>
      <c r="AR26" s="29">
        <f t="shared" si="6"/>
        <v>0</v>
      </c>
      <c r="AS26" s="29">
        <f t="shared" si="7"/>
        <v>0</v>
      </c>
      <c r="AT26" s="31">
        <f t="shared" si="8"/>
        <v>0</v>
      </c>
    </row>
    <row r="27" spans="1: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4"/>
        <v>0</v>
      </c>
      <c r="AQ27" s="139">
        <f t="shared" si="5"/>
        <v>0</v>
      </c>
      <c r="AR27" s="38">
        <f t="shared" si="6"/>
        <v>0</v>
      </c>
      <c r="AS27" s="38">
        <f t="shared" si="7"/>
        <v>0</v>
      </c>
      <c r="AT27" s="39">
        <f t="shared" si="8"/>
        <v>0</v>
      </c>
    </row>
    <row r="28" spans="1: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4"/>
        <v>0</v>
      </c>
      <c r="AQ28" s="29">
        <f t="shared" si="5"/>
        <v>0</v>
      </c>
      <c r="AR28" s="29">
        <f t="shared" si="6"/>
        <v>0</v>
      </c>
      <c r="AS28" s="29">
        <f t="shared" si="7"/>
        <v>0</v>
      </c>
      <c r="AT28" s="31">
        <f t="shared" si="8"/>
        <v>0</v>
      </c>
    </row>
    <row r="29" spans="1: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4"/>
        <v>0</v>
      </c>
      <c r="AQ29" s="142">
        <f t="shared" si="5"/>
        <v>0</v>
      </c>
      <c r="AR29" s="142">
        <f t="shared" si="6"/>
        <v>0</v>
      </c>
      <c r="AS29" s="91">
        <f t="shared" si="7"/>
        <v>0</v>
      </c>
      <c r="AT29" s="92">
        <f t="shared" si="8"/>
        <v>0</v>
      </c>
    </row>
    <row r="30" spans="1: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1:46">
      <c r="D31" s="10"/>
      <c r="E31" s="74" t="s">
        <v>89</v>
      </c>
      <c r="F31" s="5"/>
      <c r="G31" s="11"/>
      <c r="K31" s="5"/>
    </row>
    <row r="32" spans="1: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159"/>
      <c r="E40" s="5"/>
      <c r="F40" s="5"/>
      <c r="G40" s="136"/>
      <c r="H40" s="5"/>
      <c r="I40" s="5"/>
      <c r="J40" s="5"/>
      <c r="K40" s="5"/>
      <c r="L40" s="5"/>
      <c r="M40" s="5"/>
      <c r="N40" s="5"/>
      <c r="O40" s="5"/>
      <c r="P40" s="5"/>
      <c r="Q40" s="5"/>
      <c r="R40" s="5"/>
    </row>
    <row r="41" spans="1:18">
      <c r="A41" s="4"/>
      <c r="B41" s="5"/>
      <c r="C41" s="4"/>
      <c r="D41" s="159"/>
      <c r="E41" s="5"/>
      <c r="F41" s="5"/>
      <c r="G41" s="168"/>
      <c r="H41" s="5"/>
      <c r="I41" s="5"/>
      <c r="J41" s="5"/>
      <c r="K41" s="5"/>
      <c r="L41" s="5"/>
      <c r="M41" s="5"/>
      <c r="N41" s="5"/>
      <c r="O41" s="5"/>
      <c r="P41" s="5"/>
      <c r="Q41" s="5"/>
      <c r="R41" s="5"/>
    </row>
    <row r="42" spans="1:18">
      <c r="A42" s="4"/>
      <c r="B42" s="5"/>
      <c r="C42" s="4"/>
      <c r="D42" s="159"/>
      <c r="E42" s="5"/>
      <c r="F42" s="5"/>
      <c r="G42" s="168"/>
      <c r="H42" s="5"/>
      <c r="I42" s="5"/>
      <c r="J42" s="5"/>
      <c r="K42" s="5"/>
      <c r="L42" s="5"/>
      <c r="M42" s="5"/>
      <c r="N42" s="5"/>
      <c r="O42" s="5"/>
      <c r="P42" s="5"/>
      <c r="Q42" s="5"/>
      <c r="R42" s="5"/>
    </row>
    <row r="43" spans="1:18">
      <c r="A43" s="4"/>
      <c r="B43" s="5"/>
      <c r="C43" s="4"/>
      <c r="D43" s="159"/>
      <c r="E43" s="5"/>
      <c r="F43" s="5"/>
      <c r="G43" s="136"/>
      <c r="H43" s="5"/>
      <c r="I43" s="5"/>
      <c r="J43" s="5"/>
      <c r="K43" s="5"/>
      <c r="L43" s="5"/>
      <c r="M43" s="5"/>
      <c r="N43" s="5"/>
      <c r="O43" s="5"/>
      <c r="P43" s="5"/>
      <c r="Q43" s="5"/>
      <c r="R43" s="5"/>
    </row>
    <row r="44" spans="1:18">
      <c r="A44" s="4"/>
      <c r="B44" s="5"/>
      <c r="C44" s="4"/>
      <c r="D44" s="159"/>
      <c r="E44" s="5"/>
      <c r="F44" s="5"/>
      <c r="G44" s="136"/>
      <c r="H44" s="5"/>
      <c r="I44" s="5"/>
      <c r="J44" s="5"/>
      <c r="K44" s="5"/>
      <c r="L44" s="5"/>
      <c r="M44" s="5"/>
      <c r="N44" s="5"/>
      <c r="O44" s="5"/>
      <c r="P44" s="5"/>
      <c r="Q44" s="5"/>
      <c r="R44" s="5"/>
    </row>
    <row r="45" spans="1:18">
      <c r="A45" s="4"/>
      <c r="B45" s="5"/>
      <c r="C45" s="4"/>
      <c r="D45" s="159"/>
      <c r="E45" s="5"/>
      <c r="F45" s="5"/>
      <c r="G45" s="136"/>
      <c r="H45" s="5"/>
      <c r="I45" s="5"/>
      <c r="J45" s="5"/>
      <c r="K45" s="5"/>
      <c r="L45" s="5"/>
      <c r="M45" s="5"/>
      <c r="N45" s="5"/>
      <c r="O45" s="5"/>
      <c r="P45" s="5"/>
      <c r="Q45" s="5"/>
      <c r="R45" s="5"/>
    </row>
    <row r="46" spans="1:18">
      <c r="A46" s="4"/>
      <c r="B46" s="5"/>
      <c r="C46" s="4"/>
      <c r="D46" s="159"/>
      <c r="E46" s="5"/>
      <c r="F46" s="5"/>
      <c r="G46" s="136"/>
      <c r="H46" s="5"/>
      <c r="I46" s="5"/>
      <c r="J46" s="5"/>
      <c r="K46" s="5"/>
      <c r="L46" s="5"/>
      <c r="M46" s="5"/>
      <c r="N46" s="5"/>
      <c r="O46" s="5"/>
      <c r="P46" s="5"/>
      <c r="Q46" s="5"/>
      <c r="R46" s="5"/>
    </row>
    <row r="47" spans="1:18">
      <c r="A47" s="4"/>
      <c r="B47" s="5"/>
      <c r="C47" s="4"/>
      <c r="D47" s="159"/>
      <c r="E47" s="5"/>
      <c r="F47" s="5"/>
      <c r="G47" s="136"/>
      <c r="H47" s="5"/>
      <c r="I47" s="5"/>
      <c r="J47" s="5"/>
      <c r="K47" s="5"/>
      <c r="L47" s="5"/>
      <c r="M47" s="5"/>
      <c r="N47" s="5"/>
      <c r="O47" s="5"/>
      <c r="P47" s="5"/>
      <c r="Q47" s="5"/>
      <c r="R47" s="5"/>
    </row>
    <row r="48" spans="1:18">
      <c r="A48" s="4"/>
      <c r="B48" s="5"/>
      <c r="C48" s="4"/>
      <c r="D48" s="159"/>
      <c r="E48" s="5"/>
      <c r="F48" s="5"/>
      <c r="G48" s="136"/>
      <c r="H48" s="5"/>
      <c r="I48" s="5"/>
      <c r="J48" s="5"/>
      <c r="K48" s="5"/>
      <c r="L48" s="5"/>
      <c r="M48" s="5"/>
      <c r="N48" s="5"/>
      <c r="O48" s="5"/>
      <c r="P48" s="5"/>
      <c r="Q48" s="5"/>
      <c r="R48" s="5"/>
    </row>
    <row r="49" spans="1:18">
      <c r="A49" s="4"/>
      <c r="B49" s="5"/>
      <c r="C49" s="4"/>
      <c r="D49" s="159"/>
      <c r="E49" s="5"/>
      <c r="F49" s="5"/>
      <c r="G49" s="136"/>
      <c r="H49" s="5"/>
      <c r="I49" s="5"/>
      <c r="J49" s="5"/>
      <c r="K49" s="5"/>
      <c r="L49" s="5"/>
      <c r="M49" s="5"/>
      <c r="N49" s="5"/>
      <c r="O49" s="5"/>
      <c r="P49" s="5"/>
      <c r="Q49" s="5"/>
      <c r="R49" s="5"/>
    </row>
    <row r="50" spans="1:18">
      <c r="A50" s="4"/>
      <c r="B50" s="5"/>
      <c r="C50" s="4"/>
      <c r="D50" s="159"/>
      <c r="E50" s="5"/>
      <c r="F50" s="5"/>
      <c r="G50" s="136"/>
      <c r="H50" s="5"/>
      <c r="I50" s="5"/>
      <c r="J50" s="5"/>
      <c r="K50" s="5"/>
      <c r="L50" s="5"/>
      <c r="M50" s="5"/>
      <c r="N50" s="5"/>
      <c r="O50" s="5"/>
      <c r="P50" s="5"/>
      <c r="Q50" s="5"/>
      <c r="R50" s="5"/>
    </row>
    <row r="51" spans="1:18">
      <c r="A51" s="4"/>
      <c r="B51" s="5"/>
      <c r="C51" s="4"/>
      <c r="D51" s="159"/>
      <c r="E51" s="5"/>
      <c r="F51" s="5"/>
      <c r="G51" s="136"/>
      <c r="H51" s="5"/>
      <c r="I51" s="5"/>
      <c r="J51" s="5"/>
      <c r="K51" s="5"/>
      <c r="L51" s="5"/>
      <c r="M51" s="5"/>
      <c r="N51" s="5"/>
      <c r="O51" s="5"/>
      <c r="P51" s="5"/>
      <c r="Q51" s="5"/>
      <c r="R51" s="5"/>
    </row>
    <row r="52" spans="1:18">
      <c r="A52" s="4"/>
      <c r="B52" s="5"/>
      <c r="C52" s="4"/>
      <c r="D52" s="159"/>
      <c r="E52" s="5"/>
      <c r="F52" s="5"/>
      <c r="G52" s="136"/>
      <c r="H52" s="5"/>
      <c r="I52" s="5"/>
      <c r="J52" s="5"/>
      <c r="K52" s="5"/>
      <c r="L52" s="5"/>
      <c r="M52" s="5"/>
      <c r="N52" s="5"/>
      <c r="O52" s="5"/>
      <c r="P52" s="5"/>
      <c r="Q52" s="5"/>
      <c r="R52" s="5"/>
    </row>
    <row r="53" spans="1:18">
      <c r="A53" s="4"/>
      <c r="B53" s="5"/>
      <c r="C53" s="4"/>
      <c r="D53" s="159"/>
      <c r="E53" s="5"/>
      <c r="F53" s="5"/>
      <c r="G53" s="136"/>
      <c r="H53" s="5"/>
      <c r="I53" s="5"/>
      <c r="J53" s="5"/>
      <c r="K53" s="5"/>
      <c r="L53" s="5"/>
      <c r="M53" s="5"/>
      <c r="N53" s="5"/>
      <c r="O53" s="5"/>
      <c r="P53" s="5"/>
      <c r="Q53" s="5"/>
      <c r="R53" s="5"/>
    </row>
    <row r="54" spans="1:18">
      <c r="A54" s="4"/>
      <c r="B54" s="5"/>
      <c r="C54" s="4"/>
      <c r="D54" s="159"/>
      <c r="E54" s="5"/>
      <c r="F54" s="5"/>
      <c r="G54" s="136"/>
      <c r="H54" s="5"/>
      <c r="I54" s="5"/>
      <c r="J54" s="5"/>
      <c r="K54" s="5"/>
      <c r="L54" s="5"/>
      <c r="M54" s="5"/>
      <c r="N54" s="5"/>
      <c r="O54" s="5"/>
      <c r="P54" s="5"/>
      <c r="Q54" s="5"/>
      <c r="R54" s="5"/>
    </row>
    <row r="55" spans="1:18">
      <c r="A55" s="4"/>
      <c r="B55" s="5"/>
      <c r="C55" s="4"/>
      <c r="D55" s="159"/>
      <c r="E55" s="5"/>
      <c r="F55" s="5"/>
      <c r="G55" s="136"/>
      <c r="H55" s="5"/>
      <c r="I55" s="5"/>
      <c r="J55" s="5"/>
      <c r="K55" s="5"/>
      <c r="L55" s="5"/>
      <c r="M55" s="5"/>
      <c r="N55" s="5"/>
      <c r="O55" s="5"/>
      <c r="P55" s="5"/>
      <c r="Q55" s="5"/>
      <c r="R55" s="5"/>
    </row>
    <row r="56" spans="1:18">
      <c r="A56" s="4"/>
      <c r="B56" s="5"/>
      <c r="C56" s="4"/>
      <c r="D56" s="159"/>
      <c r="E56" s="5"/>
      <c r="F56" s="5"/>
      <c r="G56" s="136"/>
      <c r="H56" s="5"/>
      <c r="I56" s="5"/>
      <c r="J56" s="5"/>
      <c r="K56" s="5"/>
      <c r="L56" s="5"/>
      <c r="M56" s="5"/>
      <c r="N56" s="5"/>
      <c r="O56" s="5"/>
      <c r="P56" s="5"/>
      <c r="Q56" s="5"/>
      <c r="R56" s="5"/>
    </row>
    <row r="57" spans="1:18">
      <c r="A57" s="4"/>
      <c r="B57" s="5"/>
      <c r="C57" s="4"/>
      <c r="D57" s="159"/>
      <c r="E57" s="5"/>
      <c r="F57" s="5"/>
      <c r="G57" s="136"/>
      <c r="H57" s="5"/>
      <c r="I57" s="5"/>
      <c r="J57" s="5"/>
      <c r="K57" s="5"/>
      <c r="L57" s="5"/>
      <c r="M57" s="5"/>
      <c r="N57" s="5"/>
      <c r="O57" s="5"/>
      <c r="P57" s="5"/>
      <c r="Q57" s="5"/>
      <c r="R57" s="5"/>
    </row>
    <row r="58" spans="1:18">
      <c r="A58" s="4"/>
      <c r="B58" s="5"/>
      <c r="C58" s="4"/>
      <c r="D58" s="159"/>
      <c r="E58" s="5"/>
      <c r="F58" s="5"/>
      <c r="G58" s="136"/>
      <c r="H58" s="5"/>
      <c r="I58" s="5"/>
      <c r="J58" s="5"/>
      <c r="K58" s="5"/>
      <c r="L58" s="5"/>
      <c r="M58" s="5"/>
      <c r="N58" s="5"/>
      <c r="O58" s="5"/>
      <c r="P58" s="5"/>
      <c r="Q58" s="5"/>
      <c r="R58" s="5"/>
    </row>
    <row r="59" spans="1:18">
      <c r="A59" s="4"/>
      <c r="B59" s="5"/>
      <c r="C59" s="4"/>
      <c r="D59" s="159"/>
      <c r="E59" s="5"/>
      <c r="F59" s="5"/>
      <c r="G59" s="136"/>
      <c r="H59" s="5"/>
      <c r="I59" s="5"/>
      <c r="J59" s="5"/>
      <c r="K59" s="5"/>
      <c r="L59" s="5"/>
      <c r="M59" s="5"/>
      <c r="N59" s="5"/>
      <c r="O59" s="5"/>
      <c r="P59" s="5"/>
      <c r="Q59" s="5"/>
      <c r="R59" s="5"/>
    </row>
    <row r="60" spans="1:18">
      <c r="A60" s="4"/>
      <c r="B60" s="5"/>
      <c r="C60" s="4"/>
      <c r="D60" s="159"/>
      <c r="E60" s="5"/>
      <c r="F60" s="5"/>
      <c r="G60" s="136"/>
      <c r="H60" s="5"/>
      <c r="I60" s="5"/>
      <c r="J60" s="5"/>
      <c r="K60" s="5"/>
      <c r="L60" s="5"/>
      <c r="M60" s="5"/>
      <c r="N60" s="5"/>
      <c r="O60" s="5"/>
      <c r="P60" s="5"/>
      <c r="Q60" s="5"/>
      <c r="R60" s="5"/>
    </row>
    <row r="61" spans="1:18">
      <c r="A61" s="4"/>
      <c r="B61" s="5"/>
      <c r="C61" s="4"/>
      <c r="D61" s="159"/>
      <c r="E61" s="5"/>
      <c r="F61" s="5"/>
      <c r="G61" s="136"/>
      <c r="H61" s="5"/>
      <c r="I61" s="5"/>
      <c r="J61" s="5"/>
      <c r="K61" s="5"/>
      <c r="L61" s="5"/>
      <c r="M61" s="5"/>
      <c r="N61" s="5"/>
      <c r="O61" s="5"/>
      <c r="P61" s="5"/>
      <c r="Q61" s="5"/>
      <c r="R61" s="5"/>
    </row>
    <row r="62" spans="1:18">
      <c r="A62" s="4"/>
      <c r="B62" s="5"/>
      <c r="C62" s="4"/>
      <c r="D62" s="159"/>
      <c r="E62" s="5"/>
      <c r="F62" s="5"/>
      <c r="G62" s="136"/>
      <c r="H62" s="5"/>
      <c r="I62" s="5"/>
      <c r="J62" s="5"/>
      <c r="K62" s="5"/>
      <c r="L62" s="5"/>
      <c r="M62" s="5"/>
      <c r="N62" s="5"/>
      <c r="O62" s="5"/>
      <c r="P62" s="5"/>
      <c r="Q62" s="5"/>
      <c r="R62" s="5"/>
    </row>
    <row r="63" spans="1:18">
      <c r="A63" s="4"/>
      <c r="B63" s="5"/>
      <c r="C63" s="4"/>
      <c r="D63" s="159"/>
      <c r="E63" s="5"/>
      <c r="F63" s="5"/>
      <c r="G63" s="136"/>
      <c r="H63" s="5"/>
      <c r="I63" s="5"/>
      <c r="J63" s="5"/>
      <c r="K63" s="5"/>
      <c r="L63" s="5"/>
      <c r="M63" s="5"/>
      <c r="N63" s="5"/>
      <c r="O63" s="5"/>
      <c r="P63" s="5"/>
      <c r="Q63" s="5"/>
      <c r="R63" s="5"/>
    </row>
    <row r="64" spans="1:18">
      <c r="A64" s="4"/>
      <c r="B64" s="5"/>
      <c r="C64" s="4"/>
      <c r="D64" s="159"/>
      <c r="E64" s="5"/>
      <c r="F64" s="5"/>
      <c r="G64" s="136"/>
      <c r="H64" s="5"/>
      <c r="I64" s="5"/>
      <c r="J64" s="5"/>
      <c r="K64" s="5"/>
      <c r="L64" s="5"/>
      <c r="M64" s="5"/>
      <c r="N64" s="5"/>
      <c r="O64" s="5"/>
      <c r="P64" s="5"/>
      <c r="Q64" s="5"/>
      <c r="R64" s="5"/>
    </row>
    <row r="65" spans="1:18">
      <c r="A65" s="4"/>
      <c r="B65" s="5"/>
      <c r="C65" s="4"/>
      <c r="D65" s="159"/>
      <c r="E65" s="5"/>
      <c r="F65" s="5"/>
      <c r="G65" s="136"/>
      <c r="H65" s="5"/>
      <c r="I65" s="5"/>
      <c r="J65" s="5"/>
      <c r="K65" s="5"/>
      <c r="L65" s="5"/>
      <c r="M65" s="5"/>
      <c r="N65" s="5"/>
      <c r="O65" s="5"/>
      <c r="P65" s="5"/>
      <c r="Q65" s="5"/>
      <c r="R65" s="5"/>
    </row>
    <row r="66" spans="1:18">
      <c r="A66" s="4"/>
      <c r="B66" s="5"/>
      <c r="C66" s="4"/>
      <c r="D66" s="159"/>
      <c r="E66" s="5"/>
      <c r="F66" s="5"/>
      <c r="H66" s="5"/>
      <c r="I66" s="5"/>
      <c r="J66" s="5"/>
      <c r="K66" s="5"/>
      <c r="L66" s="5"/>
      <c r="M66" s="5"/>
      <c r="N66" s="5"/>
      <c r="O66" s="5"/>
      <c r="P66" s="5"/>
      <c r="Q66" s="5"/>
      <c r="R66" s="5"/>
    </row>
    <row r="67" spans="1:18">
      <c r="A67" s="4"/>
      <c r="B67" s="5"/>
      <c r="C67" s="4"/>
      <c r="D67" s="159"/>
      <c r="E67" s="5"/>
      <c r="F67" s="5"/>
      <c r="H67" s="5"/>
      <c r="I67" s="5"/>
      <c r="J67" s="5"/>
      <c r="K67" s="5"/>
      <c r="L67" s="5"/>
      <c r="M67" s="5"/>
      <c r="N67" s="5"/>
      <c r="O67" s="5"/>
      <c r="P67" s="5"/>
      <c r="Q67" s="5"/>
      <c r="R67" s="5"/>
    </row>
    <row r="68" spans="1:18">
      <c r="A68" s="4"/>
      <c r="B68" s="5"/>
      <c r="C68" s="4"/>
      <c r="D68" s="159"/>
      <c r="E68" s="5"/>
      <c r="F68" s="5"/>
      <c r="H68" s="5"/>
      <c r="I68" s="5"/>
      <c r="J68" s="5"/>
      <c r="K68" s="5"/>
      <c r="L68" s="5"/>
      <c r="M68" s="5"/>
      <c r="N68" s="5"/>
      <c r="O68" s="5"/>
      <c r="P68" s="5"/>
      <c r="Q68" s="5"/>
      <c r="R68" s="5"/>
    </row>
    <row r="69" spans="1:18">
      <c r="A69" s="4"/>
      <c r="B69" s="5"/>
      <c r="C69" s="4"/>
      <c r="D69" s="159"/>
      <c r="E69" s="5"/>
      <c r="F69" s="5"/>
      <c r="H69" s="5"/>
      <c r="I69" s="5"/>
      <c r="J69" s="5"/>
      <c r="K69" s="5"/>
      <c r="L69" s="5"/>
      <c r="M69" s="5"/>
      <c r="N69" s="5"/>
      <c r="O69" s="5"/>
      <c r="P69" s="5"/>
      <c r="Q69" s="5"/>
      <c r="R69" s="5"/>
    </row>
    <row r="70" spans="1:18">
      <c r="A70" s="4"/>
      <c r="B70" s="5"/>
      <c r="C70" s="4"/>
      <c r="D70" s="159"/>
      <c r="E70" s="5"/>
      <c r="F70" s="5"/>
      <c r="H70" s="5"/>
      <c r="I70" s="5"/>
      <c r="J70" s="5"/>
      <c r="K70" s="5"/>
      <c r="L70" s="5"/>
      <c r="M70" s="5"/>
      <c r="N70" s="5"/>
      <c r="O70" s="5"/>
      <c r="P70" s="5"/>
      <c r="Q70" s="5"/>
      <c r="R70" s="5"/>
    </row>
    <row r="71" spans="1:18">
      <c r="A71" s="4"/>
      <c r="B71" s="5"/>
      <c r="C71" s="4"/>
      <c r="D71" s="159"/>
      <c r="E71" s="5"/>
      <c r="F71" s="5"/>
      <c r="H71" s="5"/>
      <c r="I71" s="5"/>
      <c r="J71" s="5"/>
      <c r="K71" s="5"/>
      <c r="L71" s="5"/>
      <c r="M71" s="5"/>
      <c r="N71" s="5"/>
      <c r="O71" s="5"/>
      <c r="P71" s="5"/>
      <c r="Q71" s="5"/>
      <c r="R71" s="5"/>
    </row>
    <row r="72" spans="1:18">
      <c r="A72" s="4"/>
      <c r="B72" s="5"/>
      <c r="C72" s="4"/>
      <c r="D72" s="159"/>
      <c r="E72" s="5"/>
      <c r="F72" s="5"/>
      <c r="H72" s="5"/>
      <c r="I72" s="5"/>
      <c r="J72" s="5"/>
      <c r="K72" s="5"/>
      <c r="L72" s="5"/>
      <c r="M72" s="5"/>
      <c r="N72" s="5"/>
      <c r="O72" s="5"/>
      <c r="P72" s="5"/>
      <c r="Q72" s="5"/>
      <c r="R72" s="5"/>
    </row>
    <row r="73" spans="1:18">
      <c r="A73" s="4"/>
      <c r="B73" s="5"/>
      <c r="C73" s="4"/>
      <c r="D73" s="159"/>
      <c r="E73" s="5"/>
      <c r="F73" s="5"/>
      <c r="H73" s="5"/>
      <c r="I73" s="5"/>
      <c r="J73" s="5"/>
      <c r="K73" s="5"/>
      <c r="L73" s="5"/>
      <c r="M73" s="5"/>
      <c r="N73" s="5"/>
      <c r="O73" s="5"/>
      <c r="P73" s="5"/>
      <c r="Q73" s="5"/>
      <c r="R73" s="5"/>
    </row>
    <row r="74" spans="1:18">
      <c r="A74" s="4"/>
      <c r="B74" s="5"/>
      <c r="C74" s="4"/>
      <c r="D74" s="159"/>
      <c r="E74" s="5"/>
      <c r="F74" s="5"/>
      <c r="H74" s="5"/>
      <c r="I74" s="5"/>
      <c r="J74" s="5"/>
      <c r="K74" s="5"/>
      <c r="L74" s="5"/>
      <c r="M74" s="5"/>
      <c r="N74" s="5"/>
      <c r="O74" s="5"/>
      <c r="P74" s="5"/>
      <c r="Q74" s="5"/>
      <c r="R74" s="5"/>
    </row>
    <row r="75" spans="1:18">
      <c r="A75" s="4"/>
      <c r="B75" s="5"/>
      <c r="C75" s="4"/>
      <c r="D75" s="159"/>
      <c r="E75" s="5"/>
      <c r="F75" s="5"/>
      <c r="H75" s="5"/>
      <c r="I75" s="5"/>
      <c r="J75" s="5"/>
      <c r="K75" s="5"/>
      <c r="L75" s="5"/>
      <c r="M75" s="5"/>
      <c r="N75" s="5"/>
      <c r="O75" s="5"/>
      <c r="P75" s="5"/>
      <c r="Q75" s="5"/>
      <c r="R75" s="5"/>
    </row>
    <row r="76" spans="1:18">
      <c r="A76" s="4"/>
      <c r="B76" s="5"/>
      <c r="C76" s="4"/>
      <c r="D76" s="159"/>
      <c r="E76" s="5"/>
      <c r="F76" s="5"/>
      <c r="H76" s="5"/>
      <c r="I76" s="5"/>
      <c r="J76" s="5"/>
      <c r="K76" s="5"/>
      <c r="L76" s="5"/>
      <c r="M76" s="5"/>
      <c r="N76" s="5"/>
      <c r="O76" s="5"/>
      <c r="P76" s="5"/>
      <c r="Q76" s="5"/>
      <c r="R76" s="5"/>
    </row>
    <row r="77" spans="1:18">
      <c r="A77" s="4"/>
      <c r="B77" s="5"/>
      <c r="C77" s="4"/>
      <c r="D77" s="159"/>
      <c r="E77" s="5"/>
      <c r="F77" s="5"/>
      <c r="H77" s="5"/>
      <c r="I77" s="5"/>
      <c r="J77" s="5"/>
      <c r="K77" s="5"/>
      <c r="L77" s="5"/>
      <c r="M77" s="5"/>
      <c r="N77" s="5"/>
      <c r="O77" s="5"/>
      <c r="P77" s="5"/>
      <c r="Q77" s="5"/>
      <c r="R77" s="5"/>
    </row>
    <row r="78" spans="1:18">
      <c r="A78" s="4"/>
      <c r="B78" s="5"/>
      <c r="C78" s="4"/>
      <c r="D78" s="159"/>
      <c r="E78" s="5"/>
      <c r="F78" s="5"/>
      <c r="H78" s="5"/>
      <c r="I78" s="5"/>
      <c r="J78" s="5"/>
      <c r="K78" s="5"/>
      <c r="L78" s="5"/>
      <c r="M78" s="5"/>
      <c r="N78" s="5"/>
      <c r="O78" s="5"/>
      <c r="P78" s="5"/>
      <c r="Q78" s="5"/>
      <c r="R78" s="5"/>
    </row>
    <row r="79" spans="1:18">
      <c r="A79" s="4"/>
      <c r="B79" s="5"/>
      <c r="C79" s="4"/>
      <c r="D79" s="159"/>
      <c r="E79" s="5"/>
      <c r="F79" s="5"/>
      <c r="H79" s="5"/>
      <c r="I79" s="5"/>
      <c r="J79" s="5"/>
      <c r="K79" s="5"/>
      <c r="L79" s="5"/>
      <c r="M79" s="5"/>
      <c r="N79" s="5"/>
      <c r="O79" s="5"/>
      <c r="P79" s="5"/>
      <c r="Q79" s="5"/>
      <c r="R79" s="5"/>
    </row>
    <row r="80" spans="1:18">
      <c r="A80" s="4"/>
      <c r="B80" s="5"/>
      <c r="C80" s="4"/>
      <c r="D80" s="159"/>
      <c r="E80" s="5"/>
      <c r="F80" s="5"/>
      <c r="H80" s="5"/>
      <c r="I80" s="5"/>
      <c r="J80" s="5"/>
      <c r="K80" s="5"/>
      <c r="L80" s="5"/>
      <c r="M80" s="5"/>
      <c r="N80" s="5"/>
      <c r="O80" s="5"/>
      <c r="P80" s="5"/>
      <c r="Q80" s="5"/>
      <c r="R80" s="5"/>
    </row>
    <row r="81" spans="1:18">
      <c r="A81" s="4"/>
      <c r="B81" s="5"/>
      <c r="C81" s="4"/>
      <c r="D81" s="159"/>
      <c r="E81" s="5"/>
      <c r="F81" s="5"/>
      <c r="H81" s="5"/>
      <c r="I81" s="5"/>
      <c r="J81" s="5"/>
      <c r="K81" s="5"/>
      <c r="L81" s="5"/>
      <c r="M81" s="5"/>
      <c r="N81" s="5"/>
      <c r="O81" s="5"/>
      <c r="P81" s="5"/>
      <c r="Q81" s="5"/>
      <c r="R81" s="5"/>
    </row>
    <row r="82" spans="1:18">
      <c r="A82" s="4"/>
      <c r="B82" s="5"/>
      <c r="C82" s="4"/>
      <c r="D82" s="159"/>
      <c r="E82" s="5"/>
      <c r="F82" s="5"/>
      <c r="H82" s="5"/>
      <c r="I82" s="5"/>
      <c r="J82" s="5"/>
      <c r="K82" s="5"/>
      <c r="L82" s="5"/>
      <c r="M82" s="5"/>
      <c r="N82" s="5"/>
      <c r="O82" s="5"/>
      <c r="P82" s="5"/>
      <c r="Q82" s="5"/>
      <c r="R82" s="5"/>
    </row>
    <row r="83" spans="1:18">
      <c r="A83" s="4"/>
      <c r="B83" s="5"/>
      <c r="C83" s="4"/>
      <c r="D83" s="159"/>
      <c r="E83" s="5"/>
      <c r="F83" s="5"/>
      <c r="H83" s="5"/>
      <c r="I83" s="5"/>
      <c r="J83" s="5"/>
      <c r="K83" s="5"/>
      <c r="L83" s="5"/>
      <c r="M83" s="5"/>
      <c r="N83" s="5"/>
      <c r="O83" s="5"/>
      <c r="P83" s="5"/>
      <c r="Q83" s="5"/>
      <c r="R83" s="5"/>
    </row>
    <row r="84" spans="1:18">
      <c r="A84" s="4"/>
      <c r="B84" s="5"/>
      <c r="C84" s="4"/>
      <c r="D84" s="159"/>
      <c r="E84" s="5"/>
      <c r="F84" s="5"/>
      <c r="H84" s="5"/>
      <c r="I84" s="5"/>
      <c r="J84" s="5"/>
      <c r="K84" s="5"/>
      <c r="L84" s="5"/>
      <c r="M84" s="5"/>
      <c r="N84" s="5"/>
      <c r="O84" s="5"/>
      <c r="P84" s="5"/>
      <c r="Q84" s="5"/>
      <c r="R84" s="5"/>
    </row>
    <row r="85" spans="1:18">
      <c r="A85" s="4"/>
      <c r="B85" s="5"/>
      <c r="C85" s="4"/>
      <c r="D85" s="159"/>
      <c r="E85" s="5"/>
      <c r="F85" s="5"/>
      <c r="H85" s="5"/>
      <c r="I85" s="5"/>
      <c r="J85" s="5"/>
      <c r="K85" s="5"/>
      <c r="L85" s="5"/>
      <c r="M85" s="5"/>
      <c r="N85" s="5"/>
      <c r="O85" s="5"/>
      <c r="P85" s="5"/>
      <c r="Q85" s="5"/>
      <c r="R85" s="5"/>
    </row>
    <row r="86" spans="1:18">
      <c r="A86" s="4"/>
      <c r="B86" s="5"/>
      <c r="C86" s="4"/>
      <c r="D86" s="159"/>
      <c r="E86" s="5"/>
      <c r="F86" s="5"/>
      <c r="H86" s="5"/>
      <c r="I86" s="5"/>
      <c r="J86" s="5"/>
      <c r="K86" s="5"/>
      <c r="L86" s="5"/>
      <c r="M86" s="5"/>
      <c r="N86" s="5"/>
      <c r="O86" s="5"/>
      <c r="P86" s="5"/>
      <c r="Q86" s="5"/>
      <c r="R86" s="5"/>
    </row>
    <row r="87" spans="1:18">
      <c r="A87" s="4"/>
      <c r="B87" s="5"/>
      <c r="C87" s="4"/>
      <c r="D87" s="159"/>
      <c r="E87" s="5"/>
      <c r="F87" s="5"/>
      <c r="H87" s="5"/>
      <c r="I87" s="5"/>
      <c r="J87" s="5"/>
      <c r="K87" s="5"/>
      <c r="L87" s="5"/>
      <c r="M87" s="5"/>
      <c r="N87" s="5"/>
      <c r="O87" s="5"/>
      <c r="P87" s="5"/>
      <c r="Q87" s="5"/>
      <c r="R87" s="5"/>
    </row>
    <row r="88" spans="1:18">
      <c r="A88" s="4"/>
      <c r="B88" s="5"/>
      <c r="C88" s="4"/>
      <c r="D88" s="159"/>
      <c r="E88" s="5"/>
      <c r="F88" s="5"/>
      <c r="H88" s="5"/>
      <c r="I88" s="5"/>
      <c r="J88" s="5"/>
      <c r="K88" s="5"/>
      <c r="L88" s="5"/>
      <c r="M88" s="5"/>
      <c r="N88" s="5"/>
      <c r="O88" s="5"/>
      <c r="P88" s="5"/>
      <c r="Q88" s="5"/>
      <c r="R88" s="5"/>
    </row>
    <row r="89" spans="1:18">
      <c r="A89" s="4"/>
      <c r="B89" s="5"/>
      <c r="C89" s="4"/>
      <c r="D89" s="159"/>
      <c r="E89" s="5"/>
      <c r="F89" s="5"/>
      <c r="H89" s="5"/>
      <c r="I89" s="5"/>
      <c r="J89" s="5"/>
      <c r="K89" s="5"/>
      <c r="L89" s="5"/>
      <c r="M89" s="5"/>
      <c r="N89" s="5"/>
      <c r="O89" s="5"/>
      <c r="P89" s="5"/>
      <c r="Q89" s="5"/>
      <c r="R89" s="5"/>
    </row>
    <row r="90" spans="1:18">
      <c r="A90" s="4"/>
      <c r="B90" s="5"/>
      <c r="C90" s="4"/>
      <c r="D90" s="159"/>
      <c r="E90" s="5"/>
      <c r="F90" s="5"/>
      <c r="H90" s="5"/>
      <c r="I90" s="5"/>
      <c r="J90" s="5"/>
      <c r="K90" s="5"/>
      <c r="L90" s="5"/>
      <c r="M90" s="5"/>
      <c r="N90" s="5"/>
      <c r="O90" s="5"/>
      <c r="P90" s="5"/>
      <c r="Q90" s="5"/>
      <c r="R90" s="5"/>
    </row>
    <row r="91" spans="1:18">
      <c r="A91" s="4"/>
      <c r="B91" s="5"/>
      <c r="C91" s="4"/>
      <c r="D91" s="159"/>
      <c r="E91" s="5"/>
      <c r="F91" s="5"/>
      <c r="H91" s="5"/>
      <c r="I91" s="5"/>
      <c r="J91" s="5"/>
      <c r="K91" s="5"/>
      <c r="L91" s="5"/>
      <c r="M91" s="5"/>
      <c r="N91" s="5"/>
      <c r="O91" s="5"/>
      <c r="P91" s="5"/>
      <c r="Q91" s="5"/>
      <c r="R91" s="5"/>
    </row>
    <row r="92" spans="1:18">
      <c r="A92" s="4"/>
      <c r="B92" s="5"/>
      <c r="C92" s="4"/>
      <c r="D92" s="159"/>
      <c r="E92" s="5"/>
      <c r="F92" s="5"/>
      <c r="H92" s="5"/>
      <c r="I92" s="5"/>
      <c r="J92" s="5"/>
      <c r="K92" s="5"/>
      <c r="L92" s="5"/>
      <c r="M92" s="5"/>
      <c r="N92" s="5"/>
      <c r="O92" s="5"/>
      <c r="P92" s="5"/>
      <c r="Q92" s="5"/>
      <c r="R92" s="5"/>
    </row>
    <row r="93" spans="1:18">
      <c r="A93" s="4"/>
      <c r="B93" s="5"/>
      <c r="C93" s="4"/>
      <c r="D93" s="159"/>
      <c r="E93" s="5"/>
      <c r="F93" s="5"/>
      <c r="H93" s="5"/>
      <c r="I93" s="5"/>
      <c r="J93" s="5"/>
      <c r="K93" s="5"/>
      <c r="L93" s="5"/>
      <c r="M93" s="5"/>
      <c r="N93" s="5"/>
      <c r="O93" s="5"/>
      <c r="P93" s="5"/>
      <c r="Q93" s="5"/>
      <c r="R93" s="5"/>
    </row>
    <row r="94" spans="1:18">
      <c r="A94" s="4"/>
      <c r="B94" s="5"/>
      <c r="C94" s="4"/>
      <c r="D94" s="159"/>
      <c r="E94" s="5"/>
      <c r="F94" s="5"/>
      <c r="H94" s="5"/>
      <c r="I94" s="5"/>
      <c r="J94" s="5"/>
      <c r="K94" s="5"/>
      <c r="L94" s="5"/>
      <c r="M94" s="5"/>
      <c r="N94" s="5"/>
      <c r="O94" s="5"/>
      <c r="P94" s="5"/>
      <c r="Q94" s="5"/>
      <c r="R94" s="5"/>
    </row>
    <row r="95" spans="1:18">
      <c r="A95" s="4"/>
      <c r="B95" s="5"/>
      <c r="C95" s="4"/>
      <c r="D95" s="159"/>
      <c r="E95" s="5"/>
      <c r="F95" s="5"/>
      <c r="H95" s="5"/>
      <c r="I95" s="5"/>
      <c r="J95" s="5"/>
      <c r="K95" s="5"/>
      <c r="L95" s="5"/>
      <c r="M95" s="5"/>
      <c r="N95" s="5"/>
      <c r="O95" s="5"/>
      <c r="P95" s="5"/>
      <c r="Q95" s="5"/>
      <c r="R95" s="5"/>
    </row>
    <row r="96" spans="1:18">
      <c r="A96" s="4"/>
      <c r="B96" s="5"/>
      <c r="C96" s="4"/>
      <c r="D96" s="159"/>
      <c r="E96" s="5"/>
      <c r="F96" s="5"/>
      <c r="H96" s="5"/>
      <c r="I96" s="5"/>
      <c r="J96" s="5"/>
      <c r="K96" s="5"/>
      <c r="L96" s="5"/>
      <c r="M96" s="5"/>
      <c r="N96" s="5"/>
      <c r="O96" s="5"/>
      <c r="P96" s="5"/>
      <c r="Q96" s="5"/>
      <c r="R96" s="5"/>
    </row>
    <row r="97" spans="1:18">
      <c r="A97" s="4"/>
      <c r="B97" s="5"/>
      <c r="C97" s="4"/>
      <c r="D97" s="159"/>
      <c r="E97" s="5"/>
      <c r="F97" s="5"/>
      <c r="H97" s="5"/>
      <c r="I97" s="5"/>
      <c r="J97" s="5"/>
      <c r="K97" s="5"/>
      <c r="L97" s="5"/>
      <c r="M97" s="5"/>
      <c r="N97" s="5"/>
      <c r="O97" s="5"/>
      <c r="P97" s="5"/>
      <c r="Q97" s="5"/>
      <c r="R97" s="5"/>
    </row>
    <row r="98" spans="1:18">
      <c r="A98" s="4"/>
      <c r="B98" s="5"/>
      <c r="C98" s="4"/>
      <c r="D98" s="159"/>
      <c r="E98" s="5"/>
      <c r="F98" s="5"/>
      <c r="H98" s="5"/>
      <c r="I98" s="5"/>
      <c r="J98" s="5"/>
      <c r="K98" s="5"/>
      <c r="L98" s="5"/>
      <c r="M98" s="5"/>
      <c r="N98" s="5"/>
      <c r="O98" s="5"/>
      <c r="P98" s="5"/>
      <c r="Q98" s="5"/>
      <c r="R98" s="5"/>
    </row>
    <row r="99" spans="1:18">
      <c r="A99" s="4"/>
      <c r="B99" s="5"/>
      <c r="C99" s="4"/>
      <c r="D99" s="159"/>
      <c r="E99" s="5"/>
      <c r="F99" s="5"/>
      <c r="H99" s="5"/>
      <c r="I99" s="5"/>
      <c r="J99" s="5"/>
      <c r="K99" s="5"/>
      <c r="L99" s="5"/>
      <c r="M99" s="5"/>
      <c r="N99" s="5"/>
      <c r="O99" s="5"/>
      <c r="P99" s="5"/>
      <c r="Q99" s="5"/>
      <c r="R99" s="5"/>
    </row>
    <row r="100" spans="1:18">
      <c r="A100" s="4"/>
      <c r="B100" s="5"/>
      <c r="C100" s="4"/>
      <c r="D100" s="159"/>
      <c r="E100" s="5"/>
      <c r="F100" s="5"/>
      <c r="H100" s="5"/>
      <c r="I100" s="5"/>
      <c r="J100" s="5"/>
      <c r="K100" s="5"/>
      <c r="L100" s="5"/>
      <c r="M100" s="5"/>
      <c r="N100" s="5"/>
      <c r="O100" s="5"/>
      <c r="P100" s="5"/>
      <c r="Q100" s="5"/>
      <c r="R100" s="5"/>
    </row>
    <row r="101" spans="1:18">
      <c r="A101" s="4"/>
      <c r="B101" s="5"/>
      <c r="C101" s="4"/>
      <c r="D101" s="159"/>
      <c r="E101" s="5"/>
      <c r="F101" s="5"/>
      <c r="H101" s="5"/>
      <c r="I101" s="5"/>
      <c r="J101" s="5"/>
      <c r="K101" s="5"/>
      <c r="L101" s="5"/>
      <c r="M101" s="5"/>
      <c r="N101" s="5"/>
      <c r="O101" s="5"/>
      <c r="P101" s="5"/>
      <c r="Q101" s="5"/>
      <c r="R101" s="5"/>
    </row>
    <row r="102" spans="1:18">
      <c r="A102" s="4"/>
      <c r="B102" s="5"/>
      <c r="C102" s="4"/>
      <c r="D102" s="159"/>
      <c r="E102" s="5"/>
      <c r="F102" s="5"/>
      <c r="H102" s="5"/>
      <c r="I102" s="5"/>
      <c r="J102" s="5"/>
      <c r="K102" s="5"/>
      <c r="L102" s="5"/>
      <c r="M102" s="5"/>
      <c r="N102" s="5"/>
      <c r="O102" s="5"/>
      <c r="P102" s="5"/>
      <c r="Q102" s="5"/>
      <c r="R102" s="5"/>
    </row>
    <row r="103" spans="1:18">
      <c r="A103" s="4"/>
      <c r="B103" s="5"/>
      <c r="C103" s="4"/>
      <c r="D103" s="159"/>
      <c r="E103" s="5"/>
      <c r="F103" s="5"/>
      <c r="H103" s="5"/>
      <c r="I103" s="5"/>
      <c r="J103" s="5"/>
      <c r="K103" s="5"/>
      <c r="L103" s="5"/>
      <c r="M103" s="5"/>
      <c r="N103" s="5"/>
      <c r="O103" s="5"/>
      <c r="P103" s="5"/>
      <c r="Q103" s="5"/>
      <c r="R103" s="5"/>
    </row>
    <row r="104" spans="1:18">
      <c r="A104" s="4"/>
      <c r="B104" s="5"/>
      <c r="C104" s="4"/>
      <c r="D104" s="159"/>
      <c r="E104" s="5"/>
      <c r="F104" s="5"/>
      <c r="H104" s="5"/>
      <c r="I104" s="5"/>
      <c r="J104" s="5"/>
      <c r="K104" s="5"/>
      <c r="L104" s="5"/>
      <c r="M104" s="5"/>
      <c r="N104" s="5"/>
      <c r="O104" s="5"/>
      <c r="P104" s="5"/>
      <c r="Q104" s="5"/>
      <c r="R104" s="5"/>
    </row>
    <row r="105" spans="1:18">
      <c r="A105" s="4"/>
      <c r="B105" s="5"/>
      <c r="C105" s="4"/>
      <c r="D105" s="159"/>
      <c r="E105" s="5"/>
      <c r="F105" s="5"/>
      <c r="H105" s="5"/>
      <c r="I105" s="5"/>
      <c r="J105" s="5"/>
      <c r="K105" s="5"/>
      <c r="L105" s="5"/>
      <c r="M105" s="5"/>
      <c r="N105" s="5"/>
      <c r="O105" s="5"/>
      <c r="P105" s="5"/>
      <c r="Q105" s="5"/>
      <c r="R105" s="5"/>
    </row>
    <row r="106" spans="1:18">
      <c r="A106" s="4"/>
      <c r="B106" s="5"/>
      <c r="C106" s="4"/>
      <c r="D106" s="159"/>
      <c r="E106" s="5"/>
      <c r="F106" s="5"/>
      <c r="G106" s="136"/>
      <c r="H106" s="5"/>
      <c r="I106" s="5"/>
      <c r="J106" s="5"/>
      <c r="K106" s="5"/>
      <c r="L106" s="5"/>
      <c r="M106" s="5"/>
      <c r="N106" s="5"/>
      <c r="O106" s="5"/>
      <c r="P106" s="5"/>
      <c r="Q106" s="5"/>
      <c r="R106" s="5"/>
    </row>
    <row r="107" spans="1:18">
      <c r="A107" s="4"/>
      <c r="B107" s="5"/>
      <c r="C107" s="4"/>
      <c r="D107" s="159"/>
      <c r="E107" s="5"/>
      <c r="F107" s="5"/>
      <c r="G107" s="136"/>
      <c r="H107" s="5"/>
      <c r="I107" s="5"/>
      <c r="J107" s="5"/>
      <c r="K107" s="5"/>
      <c r="L107" s="5"/>
      <c r="M107" s="5"/>
      <c r="N107" s="5"/>
      <c r="O107" s="5"/>
      <c r="P107" s="5"/>
      <c r="Q107" s="5"/>
      <c r="R107" s="5"/>
    </row>
    <row r="108" spans="1:18">
      <c r="A108" s="4"/>
      <c r="B108" s="5"/>
      <c r="C108" s="4"/>
      <c r="D108" s="159"/>
      <c r="E108" s="5"/>
      <c r="F108" s="5"/>
      <c r="G108" s="136"/>
      <c r="H108" s="5"/>
      <c r="I108" s="5"/>
      <c r="J108" s="5"/>
      <c r="K108" s="5"/>
      <c r="L108" s="5"/>
      <c r="M108" s="5"/>
      <c r="N108" s="5"/>
      <c r="O108" s="5"/>
      <c r="P108" s="5"/>
      <c r="Q108" s="5"/>
      <c r="R108" s="5"/>
    </row>
    <row r="109" spans="1:18">
      <c r="A109" s="4"/>
      <c r="B109" s="5"/>
      <c r="C109" s="4"/>
      <c r="D109" s="159"/>
      <c r="E109" s="5"/>
      <c r="F109" s="5"/>
      <c r="G109" s="136"/>
      <c r="H109" s="5"/>
      <c r="I109" s="5"/>
      <c r="J109" s="5"/>
      <c r="K109" s="5"/>
      <c r="L109" s="5"/>
      <c r="M109" s="5"/>
      <c r="N109" s="5"/>
      <c r="O109" s="5"/>
      <c r="P109" s="5"/>
      <c r="Q109" s="5"/>
      <c r="R109" s="5"/>
    </row>
    <row r="110" spans="1:18">
      <c r="A110" s="4"/>
      <c r="B110" s="5"/>
      <c r="C110" s="4"/>
      <c r="D110" s="159"/>
      <c r="E110" s="5"/>
      <c r="F110" s="5"/>
      <c r="G110" s="136"/>
      <c r="H110" s="5"/>
      <c r="I110" s="5"/>
      <c r="J110" s="5"/>
      <c r="K110" s="5"/>
      <c r="L110" s="5"/>
      <c r="M110" s="5"/>
      <c r="N110" s="5"/>
      <c r="O110" s="5"/>
      <c r="P110" s="5"/>
      <c r="Q110" s="5"/>
      <c r="R110" s="5"/>
    </row>
    <row r="111" spans="1:18">
      <c r="A111" s="4"/>
      <c r="B111" s="5"/>
      <c r="C111" s="4"/>
      <c r="D111" s="159"/>
      <c r="E111" s="5"/>
      <c r="F111" s="5"/>
      <c r="G111" s="136"/>
      <c r="H111" s="5"/>
      <c r="I111" s="5"/>
      <c r="J111" s="5"/>
      <c r="K111" s="5"/>
      <c r="L111" s="5"/>
      <c r="M111" s="5"/>
      <c r="N111" s="5"/>
      <c r="O111" s="5"/>
      <c r="P111" s="5"/>
      <c r="Q111" s="5"/>
      <c r="R111" s="5"/>
    </row>
    <row r="112" spans="1:18">
      <c r="A112" s="4"/>
      <c r="B112" s="5"/>
      <c r="C112" s="4"/>
      <c r="D112" s="159"/>
      <c r="E112" s="5"/>
      <c r="F112" s="5"/>
      <c r="G112" s="136"/>
      <c r="H112" s="5"/>
      <c r="I112" s="5"/>
      <c r="J112" s="5"/>
      <c r="K112" s="5"/>
      <c r="L112" s="5"/>
      <c r="M112" s="5"/>
      <c r="N112" s="5"/>
      <c r="O112" s="5"/>
      <c r="P112" s="5"/>
      <c r="Q112" s="5"/>
      <c r="R112" s="5"/>
    </row>
    <row r="113" spans="1:18">
      <c r="A113" s="4"/>
      <c r="B113" s="5"/>
      <c r="C113" s="4"/>
      <c r="D113" s="159"/>
      <c r="E113" s="5"/>
      <c r="F113" s="5"/>
      <c r="G113" s="136"/>
      <c r="H113" s="5"/>
      <c r="I113" s="5"/>
      <c r="J113" s="5"/>
      <c r="K113" s="5"/>
      <c r="L113" s="5"/>
      <c r="M113" s="5"/>
      <c r="N113" s="5"/>
      <c r="O113" s="5"/>
      <c r="P113" s="5"/>
      <c r="Q113" s="5"/>
      <c r="R113" s="5"/>
    </row>
    <row r="114" spans="1:18">
      <c r="A114" s="4"/>
      <c r="B114" s="5"/>
      <c r="C114" s="4"/>
      <c r="D114" s="159"/>
      <c r="E114" s="5"/>
      <c r="F114" s="5"/>
      <c r="G114" s="136"/>
      <c r="H114" s="5"/>
      <c r="I114" s="5"/>
      <c r="J114" s="5"/>
      <c r="K114" s="5"/>
      <c r="L114" s="5"/>
      <c r="M114" s="5"/>
      <c r="N114" s="5"/>
      <c r="O114" s="5"/>
      <c r="P114" s="5"/>
      <c r="Q114" s="5"/>
      <c r="R114" s="5"/>
    </row>
    <row r="115" spans="1:18">
      <c r="A115" s="4"/>
      <c r="B115" s="5"/>
      <c r="C115" s="4"/>
      <c r="D115" s="159"/>
      <c r="E115" s="5"/>
      <c r="F115" s="5"/>
      <c r="G115" s="136"/>
      <c r="H115" s="5"/>
      <c r="I115" s="5"/>
      <c r="J115" s="5"/>
      <c r="K115" s="5"/>
      <c r="L115" s="5"/>
      <c r="M115" s="5"/>
      <c r="N115" s="5"/>
      <c r="O115" s="5"/>
      <c r="P115" s="5"/>
      <c r="Q115" s="5"/>
      <c r="R115" s="5"/>
    </row>
    <row r="116" spans="1:18">
      <c r="A116" s="4"/>
      <c r="B116" s="5"/>
      <c r="C116" s="4"/>
      <c r="D116" s="159"/>
      <c r="E116" s="5"/>
      <c r="F116" s="5"/>
      <c r="G116" s="136"/>
      <c r="H116" s="5"/>
      <c r="I116" s="5"/>
      <c r="J116" s="5"/>
      <c r="K116" s="5"/>
      <c r="L116" s="5"/>
      <c r="M116" s="5"/>
      <c r="N116" s="5"/>
      <c r="O116" s="5"/>
      <c r="P116" s="5"/>
      <c r="Q116" s="5"/>
      <c r="R116" s="5"/>
    </row>
    <row r="117" spans="1:18">
      <c r="A117" s="4"/>
      <c r="B117" s="5"/>
      <c r="C117" s="4"/>
      <c r="D117" s="159"/>
      <c r="E117" s="5"/>
      <c r="F117" s="5"/>
      <c r="H117" s="5"/>
      <c r="I117" s="5"/>
      <c r="J117" s="5"/>
      <c r="K117" s="5"/>
      <c r="L117" s="5"/>
      <c r="M117" s="5"/>
      <c r="N117" s="5"/>
      <c r="O117" s="5"/>
      <c r="P117" s="5"/>
      <c r="Q117" s="5"/>
      <c r="R117" s="5"/>
    </row>
    <row r="118" spans="1:18">
      <c r="A118" s="4"/>
      <c r="B118" s="5"/>
      <c r="C118" s="4"/>
      <c r="D118" s="159"/>
      <c r="E118" s="5"/>
      <c r="F118" s="5"/>
      <c r="H118" s="5"/>
      <c r="I118" s="5"/>
      <c r="J118" s="5"/>
      <c r="K118" s="5"/>
      <c r="L118" s="5"/>
      <c r="M118" s="5"/>
      <c r="N118" s="5"/>
      <c r="O118" s="5"/>
      <c r="P118" s="5"/>
      <c r="Q118" s="5"/>
      <c r="R118" s="5"/>
    </row>
    <row r="119" spans="1:18">
      <c r="A119" s="4"/>
      <c r="B119" s="5"/>
      <c r="C119" s="4"/>
      <c r="D119" s="159"/>
      <c r="E119" s="5"/>
      <c r="F119" s="5"/>
      <c r="H119" s="5"/>
      <c r="I119" s="5"/>
      <c r="J119" s="5"/>
      <c r="K119" s="5"/>
      <c r="L119" s="5"/>
      <c r="M119" s="5"/>
      <c r="N119" s="5"/>
      <c r="O119" s="5"/>
      <c r="P119" s="5"/>
      <c r="Q119" s="5"/>
      <c r="R119" s="5"/>
    </row>
    <row r="120" spans="1:18">
      <c r="A120" s="4"/>
      <c r="B120" s="5"/>
      <c r="C120" s="4"/>
      <c r="D120" s="159"/>
      <c r="E120" s="5"/>
      <c r="F120" s="5"/>
      <c r="H120" s="5"/>
      <c r="I120" s="5"/>
      <c r="J120" s="5"/>
      <c r="K120" s="5"/>
      <c r="L120" s="5"/>
      <c r="M120" s="5"/>
      <c r="N120" s="5"/>
      <c r="O120" s="5"/>
      <c r="P120" s="5"/>
      <c r="Q120" s="5"/>
      <c r="R120" s="5"/>
    </row>
    <row r="121" spans="1:18">
      <c r="A121" s="4"/>
      <c r="B121" s="5"/>
      <c r="C121" s="4"/>
      <c r="D121" s="159"/>
      <c r="E121" s="5"/>
      <c r="F121" s="5"/>
      <c r="G121" s="95"/>
      <c r="H121" s="5"/>
      <c r="I121" s="5"/>
      <c r="J121" s="5"/>
      <c r="K121" s="5"/>
      <c r="L121" s="5"/>
      <c r="M121" s="5"/>
      <c r="N121" s="5"/>
      <c r="O121" s="5"/>
      <c r="P121" s="5"/>
      <c r="Q121" s="5"/>
      <c r="R121" s="5"/>
    </row>
    <row r="122" spans="1:18">
      <c r="A122" s="4"/>
      <c r="B122" s="5"/>
      <c r="C122" s="4"/>
      <c r="D122" s="159"/>
      <c r="E122" s="5"/>
      <c r="F122" s="5"/>
      <c r="G122" s="95"/>
      <c r="H122" s="5"/>
      <c r="I122" s="5"/>
      <c r="J122" s="5"/>
      <c r="K122" s="5"/>
      <c r="L122" s="5"/>
      <c r="M122" s="5"/>
      <c r="N122" s="5"/>
      <c r="O122" s="5"/>
      <c r="P122" s="5"/>
      <c r="Q122" s="5"/>
      <c r="R122" s="5"/>
    </row>
    <row r="123" spans="1:18">
      <c r="A123" s="4"/>
      <c r="B123" s="5"/>
      <c r="C123" s="4"/>
      <c r="D123" s="159"/>
      <c r="E123" s="5"/>
      <c r="F123" s="5"/>
      <c r="G123" s="95"/>
      <c r="H123" s="5"/>
      <c r="I123" s="5"/>
      <c r="J123" s="5"/>
      <c r="K123" s="5"/>
      <c r="L123" s="5"/>
      <c r="M123" s="5"/>
      <c r="N123" s="5"/>
      <c r="O123" s="5"/>
      <c r="P123" s="5"/>
      <c r="Q123" s="5"/>
      <c r="R123" s="5"/>
    </row>
    <row r="124" spans="1:18">
      <c r="A124" s="4"/>
      <c r="B124" s="5"/>
      <c r="C124" s="4"/>
      <c r="D124" s="159"/>
      <c r="E124" s="5"/>
      <c r="F124" s="5"/>
      <c r="G124" s="95"/>
      <c r="H124" s="5"/>
      <c r="I124" s="5"/>
      <c r="J124" s="5"/>
      <c r="K124" s="5"/>
      <c r="L124" s="5"/>
      <c r="M124" s="5"/>
      <c r="N124" s="5"/>
      <c r="O124" s="5"/>
      <c r="P124" s="5"/>
      <c r="Q124" s="5"/>
      <c r="R124" s="5"/>
    </row>
    <row r="125" spans="1:18">
      <c r="A125" s="4"/>
      <c r="B125" s="5"/>
      <c r="C125" s="4"/>
      <c r="D125" s="159"/>
      <c r="E125" s="5"/>
      <c r="F125" s="5"/>
      <c r="G125" s="95"/>
      <c r="H125" s="5"/>
      <c r="I125" s="5"/>
      <c r="J125" s="5"/>
      <c r="K125" s="5"/>
      <c r="L125" s="5"/>
      <c r="M125" s="5"/>
      <c r="N125" s="5"/>
      <c r="O125" s="5"/>
      <c r="P125" s="5"/>
      <c r="Q125" s="5"/>
      <c r="R125" s="5"/>
    </row>
    <row r="126" spans="1:18">
      <c r="A126" s="4"/>
      <c r="B126" s="5"/>
      <c r="C126" s="4"/>
      <c r="D126" s="159"/>
      <c r="E126" s="5"/>
      <c r="F126" s="5"/>
      <c r="G126" s="95"/>
      <c r="H126" s="5"/>
      <c r="I126" s="5"/>
      <c r="J126" s="5"/>
      <c r="K126" s="5"/>
      <c r="L126" s="5"/>
      <c r="M126" s="5"/>
      <c r="N126" s="5"/>
      <c r="O126" s="5"/>
      <c r="P126" s="5"/>
      <c r="Q126" s="5"/>
      <c r="R126" s="5"/>
    </row>
    <row r="127" spans="1:18">
      <c r="A127" s="4"/>
      <c r="B127" s="5"/>
      <c r="C127" s="4"/>
      <c r="D127" s="159"/>
      <c r="E127" s="5"/>
      <c r="F127" s="5"/>
      <c r="G127" s="95"/>
      <c r="H127" s="5"/>
      <c r="I127" s="5"/>
      <c r="J127" s="5"/>
      <c r="K127" s="5"/>
      <c r="L127" s="5"/>
      <c r="M127" s="5"/>
      <c r="N127" s="5"/>
      <c r="O127" s="5"/>
      <c r="P127" s="5"/>
      <c r="Q127" s="5"/>
      <c r="R127" s="5"/>
    </row>
    <row r="128" spans="1:18">
      <c r="A128" s="4"/>
      <c r="B128" s="5"/>
      <c r="C128" s="4"/>
      <c r="D128" s="159"/>
      <c r="E128" s="5"/>
      <c r="F128" s="5"/>
      <c r="G128" s="95"/>
      <c r="H128" s="5"/>
      <c r="I128" s="5"/>
      <c r="J128" s="5"/>
      <c r="K128" s="5"/>
      <c r="L128" s="5"/>
      <c r="M128" s="5"/>
      <c r="N128" s="5"/>
      <c r="O128" s="5"/>
      <c r="P128" s="5"/>
      <c r="Q128" s="5"/>
      <c r="R128" s="5"/>
    </row>
    <row r="129" spans="1:18">
      <c r="A129" s="4"/>
      <c r="B129" s="5"/>
      <c r="C129" s="4"/>
      <c r="D129" s="159"/>
      <c r="E129" s="5"/>
      <c r="F129" s="5"/>
      <c r="G129" s="95"/>
      <c r="H129" s="5"/>
      <c r="I129" s="5"/>
      <c r="J129" s="5"/>
      <c r="K129" s="5"/>
      <c r="L129" s="5"/>
      <c r="M129" s="5"/>
      <c r="N129" s="5"/>
      <c r="O129" s="5"/>
      <c r="P129" s="5"/>
      <c r="Q129" s="5"/>
      <c r="R129" s="5"/>
    </row>
    <row r="130" spans="1:18">
      <c r="A130" s="4"/>
      <c r="B130" s="5"/>
      <c r="C130" s="4"/>
      <c r="D130" s="159"/>
      <c r="E130" s="5"/>
      <c r="F130" s="5"/>
      <c r="G130" s="95"/>
      <c r="H130" s="5"/>
      <c r="I130" s="5"/>
      <c r="J130" s="5"/>
      <c r="K130" s="5"/>
      <c r="L130" s="5"/>
      <c r="M130" s="5"/>
      <c r="N130" s="5"/>
      <c r="O130" s="5"/>
      <c r="P130" s="5"/>
      <c r="Q130" s="5"/>
      <c r="R130" s="5"/>
    </row>
    <row r="131" spans="1:18">
      <c r="A131" s="4"/>
      <c r="B131" s="5"/>
      <c r="C131" s="4"/>
      <c r="D131" s="159"/>
      <c r="E131" s="5"/>
      <c r="F131" s="5"/>
      <c r="G131" s="95"/>
      <c r="H131" s="5"/>
      <c r="I131" s="5"/>
      <c r="J131" s="5"/>
      <c r="K131" s="5"/>
      <c r="L131" s="5"/>
      <c r="M131" s="5"/>
      <c r="N131" s="5"/>
      <c r="O131" s="5"/>
      <c r="P131" s="5"/>
      <c r="Q131" s="5"/>
      <c r="R131" s="5"/>
    </row>
    <row r="132" spans="1:18">
      <c r="A132" s="4"/>
      <c r="B132" s="5"/>
      <c r="C132" s="4"/>
      <c r="D132" s="159"/>
      <c r="E132" s="5"/>
      <c r="F132" s="5"/>
      <c r="G132" s="95"/>
      <c r="H132" s="5"/>
      <c r="I132" s="5"/>
      <c r="J132" s="5"/>
      <c r="K132" s="5"/>
      <c r="L132" s="5"/>
      <c r="M132" s="5"/>
      <c r="N132" s="5"/>
      <c r="O132" s="5"/>
      <c r="P132" s="5"/>
      <c r="Q132" s="5"/>
      <c r="R132" s="5"/>
    </row>
    <row r="133" spans="1:18">
      <c r="A133" s="4"/>
      <c r="B133" s="5"/>
      <c r="C133" s="4"/>
      <c r="D133" s="159"/>
      <c r="E133" s="5"/>
      <c r="F133" s="5"/>
      <c r="G133" s="95"/>
      <c r="H133" s="5"/>
      <c r="I133" s="5"/>
      <c r="J133" s="5"/>
      <c r="K133" s="5"/>
      <c r="L133" s="5"/>
      <c r="M133" s="5"/>
      <c r="N133" s="5"/>
      <c r="O133" s="5"/>
      <c r="P133" s="5"/>
      <c r="Q133" s="5"/>
      <c r="R133" s="5"/>
    </row>
    <row r="134" spans="1:18">
      <c r="A134" s="4"/>
      <c r="B134" s="5"/>
      <c r="C134" s="4"/>
      <c r="D134" s="159"/>
      <c r="E134" s="5"/>
      <c r="F134" s="5"/>
      <c r="G134" s="168"/>
      <c r="H134" s="5"/>
      <c r="I134" s="5"/>
      <c r="J134" s="5"/>
      <c r="K134" s="5"/>
      <c r="L134" s="5"/>
      <c r="M134" s="5"/>
      <c r="N134" s="5"/>
      <c r="O134" s="5"/>
      <c r="P134" s="5"/>
      <c r="Q134" s="5"/>
      <c r="R134" s="5"/>
    </row>
    <row r="135" spans="1:18">
      <c r="A135" s="4"/>
      <c r="B135" s="5"/>
      <c r="C135" s="4"/>
      <c r="D135" s="159"/>
      <c r="E135" s="5"/>
      <c r="F135" s="5"/>
      <c r="G135" s="136"/>
      <c r="H135" s="5"/>
      <c r="I135" s="5"/>
      <c r="J135" s="5"/>
      <c r="K135" s="5"/>
      <c r="L135" s="5"/>
      <c r="M135" s="5"/>
      <c r="N135" s="5"/>
      <c r="O135" s="5"/>
      <c r="P135" s="5"/>
      <c r="Q135" s="5"/>
      <c r="R135" s="5"/>
    </row>
    <row r="136" spans="1:18">
      <c r="A136" s="4"/>
      <c r="B136" s="5"/>
      <c r="C136" s="4"/>
      <c r="D136" s="159"/>
      <c r="E136" s="5"/>
      <c r="F136" s="5"/>
      <c r="H136" s="5"/>
      <c r="I136" s="5"/>
      <c r="J136" s="5"/>
      <c r="K136" s="5"/>
      <c r="L136" s="5"/>
      <c r="M136" s="5"/>
      <c r="N136" s="5"/>
      <c r="O136" s="5"/>
      <c r="P136" s="5"/>
      <c r="Q136" s="5"/>
      <c r="R136" s="5"/>
    </row>
    <row r="137" spans="1:18">
      <c r="A137" s="4"/>
      <c r="B137" s="5"/>
      <c r="C137" s="4"/>
      <c r="D137" s="159"/>
      <c r="E137" s="5"/>
      <c r="F137" s="5"/>
      <c r="G137" s="136"/>
      <c r="H137" s="5"/>
      <c r="I137" s="5"/>
      <c r="J137" s="5"/>
      <c r="K137" s="5"/>
      <c r="L137" s="5"/>
      <c r="M137" s="5"/>
      <c r="N137" s="5"/>
      <c r="O137" s="5"/>
      <c r="P137" s="5"/>
      <c r="Q137" s="5"/>
      <c r="R137" s="5"/>
    </row>
    <row r="138" spans="1:18">
      <c r="A138" s="4"/>
      <c r="B138" s="5"/>
      <c r="C138" s="4"/>
      <c r="D138" s="159"/>
      <c r="E138" s="5"/>
      <c r="F138" s="5"/>
      <c r="G138" s="5"/>
      <c r="H138" s="5"/>
      <c r="I138" s="5"/>
      <c r="J138" s="5"/>
      <c r="K138" s="5"/>
      <c r="L138" s="5"/>
      <c r="M138" s="5"/>
      <c r="N138" s="5"/>
      <c r="O138" s="5"/>
      <c r="P138" s="5"/>
      <c r="Q138" s="5"/>
      <c r="R138" s="5"/>
    </row>
    <row r="139" spans="1:18">
      <c r="A139" s="4"/>
      <c r="B139" s="5"/>
      <c r="C139" s="4"/>
      <c r="D139" s="5"/>
      <c r="E139" s="5"/>
      <c r="F139" s="5"/>
      <c r="G139" s="5"/>
      <c r="H139" s="5"/>
      <c r="I139" s="5"/>
      <c r="J139" s="5"/>
      <c r="K139" s="5"/>
      <c r="L139" s="5"/>
      <c r="M139" s="5"/>
      <c r="N139" s="5"/>
      <c r="O139" s="5"/>
      <c r="P139" s="5"/>
      <c r="Q139" s="5"/>
      <c r="R139" s="5"/>
    </row>
    <row r="140" spans="1:18">
      <c r="A140" s="4"/>
      <c r="B140" s="5"/>
      <c r="C140" s="4"/>
      <c r="D140" s="5"/>
      <c r="E140" s="5"/>
      <c r="F140" s="5"/>
      <c r="G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sheetData>
  <autoFilter ref="A39:R155" xr:uid="{F4E8E223-449E-485F-803B-D93C59E2FC22}"/>
  <mergeCells count="5">
    <mergeCell ref="AO3:AT3"/>
    <mergeCell ref="U1:X1"/>
    <mergeCell ref="U3:Y3"/>
    <mergeCell ref="AA3:AF3"/>
    <mergeCell ref="AH3:AM3"/>
  </mergeCells>
  <dataValidations count="6">
    <dataValidation showInputMessage="1" showErrorMessage="1" sqref="F33:F35 K33 P40:R155" xr:uid="{689612C3-F1E4-4FA2-9BAF-6383A2723866}"/>
    <dataValidation type="custom" showInputMessage="1" showErrorMessage="1" sqref="XEN22 XFD22 AV22 BL22 CB22 CR22 DH22 DX22 EN22 FD22 FT22 GJ22 GZ22 HP22 IF22 IV22 JL22 KB22 KR22 LH22 LX22 MN22 ND22 NT22 OJ22 OZ22 PP22 QF22 QV22 RL22 SB22 SR22 TH22 TX22 UN22 VD22 VT22 WJ22 WZ22 XP22 YF22 YV22 ZL22 AAB22 AAR22 ABH22 ABX22 ACN22 ADD22 ADT22 AEJ22 AEZ22 AFP22 AGF22 AGV22 AHL22 AIB22 AIR22 AJH22 AJX22 AKN22 ALD22 ALT22 AMJ22 AMZ22 ANP22 AOF22 AOV22 APL22 AQB22 AQR22 ARH22 ARX22 ASN22 ATD22 ATT22 AUJ22 AUZ22 AVP22 AWF22 AWV22 AXL22 AYB22 AYR22 AZH22 AZX22 BAN22 BBD22 BBT22 BCJ22 BCZ22 BDP22 BEF22 BEV22 BFL22 BGB22 BGR22 BHH22 BHX22 BIN22 BJD22 BJT22 BKJ22 BKZ22 BLP22 BMF22 BMV22 BNL22 BOB22 BOR22 BPH22 BPX22 BQN22 BRD22 BRT22 BSJ22 BSZ22 BTP22 BUF22 BUV22 BVL22 BWB22 BWR22 BXH22 BXX22 BYN22 BZD22 BZT22 CAJ22 CAZ22 CBP22 CCF22 CCV22 CDL22 CEB22 CER22 CFH22 CFX22 CGN22 CHD22 CHT22 CIJ22 CIZ22 CJP22 CKF22 CKV22 CLL22 CMB22 CMR22 CNH22 CNX22 CON22 CPD22 CPT22 CQJ22 CQZ22 CRP22 CSF22 CSV22 CTL22 CUB22 CUR22 CVH22 CVX22 CWN22 CXD22 CXT22 CYJ22 CYZ22 CZP22 DAF22 DAV22 DBL22 DCB22 DCR22 DDH22 DDX22 DEN22 DFD22 DFT22 DGJ22 DGZ22 DHP22 DIF22 DIV22 DJL22 DKB22 DKR22 DLH22 DLX22 DMN22 DND22 DNT22 DOJ22 DOZ22 DPP22 DQF22 DQV22 DRL22 DSB22 DSR22 DTH22 DTX22 DUN22 DVD22 DVT22 DWJ22 DWZ22 DXP22 DYF22 DYV22 DZL22 EAB22 EAR22 EBH22 EBX22 ECN22 EDD22 EDT22 EEJ22 EEZ22 EFP22 EGF22 EGV22 EHL22 EIB22 EIR22 EJH22 EJX22 EKN22 ELD22 ELT22 EMJ22 EMZ22 ENP22 EOF22 EOV22 EPL22 EQB22 EQR22 ERH22 ERX22 ESN22 ETD22 ETT22 EUJ22 EUZ22 EVP22 EWF22 EWV22 EXL22 EYB22 EYR22 EZH22 EZX22 FAN22 FBD22 FBT22 FCJ22 FCZ22 FDP22 FEF22 FEV22 FFL22 FGB22 FGR22 FHH22 FHX22 FIN22 FJD22 FJT22 FKJ22 FKZ22 FLP22 FMF22 FMV22 FNL22 FOB22 FOR22 FPH22 FPX22 FQN22 FRD22 FRT22 FSJ22 FSZ22 FTP22 FUF22 FUV22 FVL22 FWB22 FWR22 FXH22 FXX22 FYN22 FZD22 FZT22 GAJ22 GAZ22 GBP22 GCF22 GCV22 GDL22 GEB22 GER22 GFH22 GFX22 GGN22 GHD22 GHT22 GIJ22 GIZ22 GJP22 GKF22 GKV22 GLL22 GMB22 GMR22 GNH22 GNX22 GON22 GPD22 GPT22 GQJ22 GQZ22 GRP22 GSF22 GSV22 GTL22 GUB22 GUR22 GVH22 GVX22 GWN22 GXD22 GXT22 GYJ22 GYZ22 GZP22 HAF22 HAV22 HBL22 HCB22 HCR22 HDH22 HDX22 HEN22 HFD22 HFT22 HGJ22 HGZ22 HHP22 HIF22 HIV22 HJL22 HKB22 HKR22 HLH22 HLX22 HMN22 HND22 HNT22 HOJ22 HOZ22 HPP22 HQF22 HQV22 HRL22 HSB22 HSR22 HTH22 HTX22 HUN22 HVD22 HVT22 HWJ22 HWZ22 HXP22 HYF22 HYV22 HZL22 IAB22 IAR22 IBH22 IBX22 ICN22 IDD22 IDT22 IEJ22 IEZ22 IFP22 IGF22 IGV22 IHL22 IIB22 IIR22 IJH22 IJX22 IKN22 ILD22 ILT22 IMJ22 IMZ22 INP22 IOF22 IOV22 IPL22 IQB22 IQR22 IRH22 IRX22 ISN22 ITD22 ITT22 IUJ22 IUZ22 IVP22 IWF22 IWV22 IXL22 IYB22 IYR22 IZH22 IZX22 JAN22 JBD22 JBT22 JCJ22 JCZ22 JDP22 JEF22 JEV22 JFL22 JGB22 JGR22 JHH22 JHX22 JIN22 JJD22 JJT22 JKJ22 JKZ22 JLP22 JMF22 JMV22 JNL22 JOB22 JOR22 JPH22 JPX22 JQN22 JRD22 JRT22 JSJ22 JSZ22 JTP22 JUF22 JUV22 JVL22 JWB22 JWR22 JXH22 JXX22 JYN22 JZD22 JZT22 KAJ22 KAZ22 KBP22 KCF22 KCV22 KDL22 KEB22 KER22 KFH22 KFX22 KGN22 KHD22 KHT22 KIJ22 KIZ22 KJP22 KKF22 KKV22 KLL22 KMB22 KMR22 KNH22 KNX22 KON22 KPD22 KPT22 KQJ22 KQZ22 KRP22 KSF22 KSV22 KTL22 KUB22 KUR22 KVH22 KVX22 KWN22 KXD22 KXT22 KYJ22 KYZ22 KZP22 LAF22 LAV22 LBL22 LCB22 LCR22 LDH22 LDX22 LEN22 LFD22 LFT22 LGJ22 LGZ22 LHP22 LIF22 LIV22 LJL22 LKB22 LKR22 LLH22 LLX22 LMN22 LND22 LNT22 LOJ22 LOZ22 LPP22 LQF22 LQV22 LRL22 LSB22 LSR22 LTH22 LTX22 LUN22 LVD22 LVT22 LWJ22 LWZ22 LXP22 LYF22 LYV22 LZL22 MAB22 MAR22 MBH22 MBX22 MCN22 MDD22 MDT22 MEJ22 MEZ22 MFP22 MGF22 MGV22 MHL22 MIB22 MIR22 MJH22 MJX22 MKN22 MLD22 MLT22 MMJ22 MMZ22 MNP22 MOF22 MOV22 MPL22 MQB22 MQR22 MRH22 MRX22 MSN22 MTD22 MTT22 MUJ22 MUZ22 MVP22 MWF22 MWV22 MXL22 MYB22 MYR22 MZH22 MZX22 NAN22 NBD22 NBT22 NCJ22 NCZ22 NDP22 NEF22 NEV22 NFL22 NGB22 NGR22 NHH22 NHX22 NIN22 NJD22 NJT22 NKJ22 NKZ22 NLP22 NMF22 NMV22 NNL22 NOB22 NOR22 NPH22 NPX22 NQN22 NRD22 NRT22 NSJ22 NSZ22 NTP22 NUF22 NUV22 NVL22 NWB22 NWR22 NXH22 NXX22 NYN22 NZD22 NZT22 OAJ22 OAZ22 OBP22 OCF22 OCV22 ODL22 OEB22 OER22 OFH22 OFX22 OGN22 OHD22 OHT22 OIJ22 OIZ22 OJP22 OKF22 OKV22 OLL22 OMB22 OMR22 ONH22 ONX22 OON22 OPD22 OPT22 OQJ22 OQZ22 ORP22 OSF22 OSV22 OTL22 OUB22 OUR22 OVH22 OVX22 OWN22 OXD22 OXT22 OYJ22 OYZ22 OZP22 PAF22 PAV22 PBL22 PCB22 PCR22 PDH22 PDX22 PEN22 PFD22 PFT22 PGJ22 PGZ22 PHP22 PIF22 PIV22 PJL22 PKB22 PKR22 PLH22 PLX22 PMN22 PND22 PNT22 POJ22 POZ22 PPP22 PQF22 PQV22 PRL22 PSB22 PSR22 PTH22 PTX22 PUN22 PVD22 PVT22 PWJ22 PWZ22 PXP22 PYF22 PYV22 PZL22 QAB22 QAR22 QBH22 QBX22 QCN22 QDD22 QDT22 QEJ22 QEZ22 QFP22 QGF22 QGV22 QHL22 QIB22 QIR22 QJH22 QJX22 QKN22 QLD22 QLT22 QMJ22 QMZ22 QNP22 QOF22 QOV22 QPL22 QQB22 QQR22 QRH22 QRX22 QSN22 QTD22 QTT22 QUJ22 QUZ22 QVP22 QWF22 QWV22 QXL22 QYB22 QYR22 QZH22 QZX22 RAN22 RBD22 RBT22 RCJ22 RCZ22 RDP22 REF22 REV22 RFL22 RGB22 RGR22 RHH22 RHX22 RIN22 RJD22 RJT22 RKJ22 RKZ22 RLP22 RMF22 RMV22 RNL22 ROB22 ROR22 RPH22 RPX22 RQN22 RRD22 RRT22 RSJ22 RSZ22 RTP22 RUF22 RUV22 RVL22 RWB22 RWR22 RXH22 RXX22 RYN22 RZD22 RZT22 SAJ22 SAZ22 SBP22 SCF22 SCV22 SDL22 SEB22 SER22 SFH22 SFX22 SGN22 SHD22 SHT22 SIJ22 SIZ22 SJP22 SKF22 SKV22 SLL22 SMB22 SMR22 SNH22 SNX22 SON22 SPD22 SPT22 SQJ22 SQZ22 SRP22 SSF22 SSV22 STL22 SUB22 SUR22 SVH22 SVX22 SWN22 SXD22 SXT22 SYJ22 SYZ22 SZP22 TAF22 TAV22 TBL22 TCB22 TCR22 TDH22 TDX22 TEN22 TFD22 TFT22 TGJ22 TGZ22 THP22 TIF22 TIV22 TJL22 TKB22 TKR22 TLH22 TLX22 TMN22 TND22 TNT22 TOJ22 TOZ22 TPP22 TQF22 TQV22 TRL22 TSB22 TSR22 TTH22 TTX22 TUN22 TVD22 TVT22 TWJ22 TWZ22 TXP22 TYF22 TYV22 TZL22 UAB22 UAR22 UBH22 UBX22 UCN22 UDD22 UDT22 UEJ22 UEZ22 UFP22 UGF22 UGV22 UHL22 UIB22 UIR22 UJH22 UJX22 UKN22 ULD22 ULT22 UMJ22 UMZ22 UNP22 UOF22 UOV22 UPL22 UQB22 UQR22 URH22 URX22 USN22 UTD22 UTT22 UUJ22 UUZ22 UVP22 UWF22 UWV22 UXL22 UYB22 UYR22 UZH22 UZX22 VAN22 VBD22 VBT22 VCJ22 VCZ22 VDP22 VEF22 VEV22 VFL22 VGB22 VGR22 VHH22 VHX22 VIN22 VJD22 VJT22 VKJ22 VKZ22 VLP22 VMF22 VMV22 VNL22 VOB22 VOR22 VPH22 VPX22 VQN22 VRD22 VRT22 VSJ22 VSZ22 VTP22 VUF22 VUV22 VVL22 VWB22 VWR22 VXH22 VXX22 VYN22 VZD22 VZT22 WAJ22 WAZ22 WBP22 WCF22 WCV22 WDL22 WEB22 WER22 WFH22 WFX22 WGN22 WHD22 WHT22 WIJ22 WIZ22 WJP22 WKF22 WKV22 WLL22 WMB22 WMR22 WNH22 WNX22 WON22 WPD22 WPT22 WQJ22 WQZ22 WRP22 WSF22 WSV22 WTL22 WUB22 WUR22 WVH22 WVX22 WWN22 WXD22 WXT22 WYJ22 WYZ22 WZP22 XAF22 XAV22 XBL22 XCB22 XCR22 XDH22 XDX22" xr:uid="{ADD1721A-07F1-4B65-9EFE-C0A45102211E}">
      <formula1>_xlfn.DAYS(#REF!,#REF!)</formula1>
    </dataValidation>
    <dataValidation type="custom" allowBlank="1" showInputMessage="1" showErrorMessage="1" sqref="XDW22 XCQ22 XEM22 XDG22 XFC22 BK22 CA22 CQ22 DG22 DW22 EM22 FC22 FS22 GI22 GY22 HO22 IE22 IU22 JK22 KA22 KQ22 LG22 LW22 MM22 NC22 NS22 OI22 OY22 PO22 QE22 QU22 RK22 SA22 SQ22 TG22 TW22 UM22 VC22 VS22 WI22 WY22 XO22 YE22 YU22 ZK22 AAA22 AAQ22 ABG22 ABW22 ACM22 ADC22 ADS22 AEI22 AEY22 AFO22 AGE22 AGU22 AHK22 AIA22 AIQ22 AJG22 AJW22 AKM22 ALC22 ALS22 AMI22 AMY22 ANO22 AOE22 AOU22 APK22 AQA22 AQQ22 ARG22 ARW22 ASM22 ATC22 ATS22 AUI22 AUY22 AVO22 AWE22 AWU22 AXK22 AYA22 AYQ22 AZG22 AZW22 BAM22 BBC22 BBS22 BCI22 BCY22 BDO22 BEE22 BEU22 BFK22 BGA22 BGQ22 BHG22 BHW22 BIM22 BJC22 BJS22 BKI22 BKY22 BLO22 BME22 BMU22 BNK22 BOA22 BOQ22 BPG22 BPW22 BQM22 BRC22 BRS22 BSI22 BSY22 BTO22 BUE22 BUU22 BVK22 BWA22 BWQ22 BXG22 BXW22 BYM22 BZC22 BZS22 CAI22 CAY22 CBO22 CCE22 CCU22 CDK22 CEA22 CEQ22 CFG22 CFW22 CGM22 CHC22 CHS22 CII22 CIY22 CJO22 CKE22 CKU22 CLK22 CMA22 CMQ22 CNG22 CNW22 COM22 CPC22 CPS22 CQI22 CQY22 CRO22 CSE22 CSU22 CTK22 CUA22 CUQ22 CVG22 CVW22 CWM22 CXC22 CXS22 CYI22 CYY22 CZO22 DAE22 DAU22 DBK22 DCA22 DCQ22 DDG22 DDW22 DEM22 DFC22 DFS22 DGI22 DGY22 DHO22 DIE22 DIU22 DJK22 DKA22 DKQ22 DLG22 DLW22 DMM22 DNC22 DNS22 DOI22 DOY22 DPO22 DQE22 DQU22 DRK22 DSA22 DSQ22 DTG22 DTW22 DUM22 DVC22 DVS22 DWI22 DWY22 DXO22 DYE22 DYU22 DZK22 EAA22 EAQ22 EBG22 EBW22 ECM22 EDC22 EDS22 EEI22 EEY22 EFO22 EGE22 EGU22 EHK22 EIA22 EIQ22 EJG22 EJW22 EKM22 ELC22 ELS22 EMI22 EMY22 ENO22 EOE22 EOU22 EPK22 EQA22 EQQ22 ERG22 ERW22 ESM22 ETC22 ETS22 EUI22 EUY22 EVO22 EWE22 EWU22 EXK22 EYA22 EYQ22 EZG22 EZW22 FAM22 FBC22 FBS22 FCI22 FCY22 FDO22 FEE22 FEU22 FFK22 FGA22 FGQ22 FHG22 FHW22 FIM22 FJC22 FJS22 FKI22 FKY22 FLO22 FME22 FMU22 FNK22 FOA22 FOQ22 FPG22 FPW22 FQM22 FRC22 FRS22 FSI22 FSY22 FTO22 FUE22 FUU22 FVK22 FWA22 FWQ22 FXG22 FXW22 FYM22 FZC22 FZS22 GAI22 GAY22 GBO22 GCE22 GCU22 GDK22 GEA22 GEQ22 GFG22 GFW22 GGM22 GHC22 GHS22 GII22 GIY22 GJO22 GKE22 GKU22 GLK22 GMA22 GMQ22 GNG22 GNW22 GOM22 GPC22 GPS22 GQI22 GQY22 GRO22 GSE22 GSU22 GTK22 GUA22 GUQ22 GVG22 GVW22 GWM22 GXC22 GXS22 GYI22 GYY22 GZO22 HAE22 HAU22 HBK22 HCA22 HCQ22 HDG22 HDW22 HEM22 HFC22 HFS22 HGI22 HGY22 HHO22 HIE22 HIU22 HJK22 HKA22 HKQ22 HLG22 HLW22 HMM22 HNC22 HNS22 HOI22 HOY22 HPO22 HQE22 HQU22 HRK22 HSA22 HSQ22 HTG22 HTW22 HUM22 HVC22 HVS22 HWI22 HWY22 HXO22 HYE22 HYU22 HZK22 IAA22 IAQ22 IBG22 IBW22 ICM22 IDC22 IDS22 IEI22 IEY22 IFO22 IGE22 IGU22 IHK22 IIA22 IIQ22 IJG22 IJW22 IKM22 ILC22 ILS22 IMI22 IMY22 INO22 IOE22 IOU22 IPK22 IQA22 IQQ22 IRG22 IRW22 ISM22 ITC22 ITS22 IUI22 IUY22 IVO22 IWE22 IWU22 IXK22 IYA22 IYQ22 IZG22 IZW22 JAM22 JBC22 JBS22 JCI22 JCY22 JDO22 JEE22 JEU22 JFK22 JGA22 JGQ22 JHG22 JHW22 JIM22 JJC22 JJS22 JKI22 JKY22 JLO22 JME22 JMU22 JNK22 JOA22 JOQ22 JPG22 JPW22 JQM22 JRC22 JRS22 JSI22 JSY22 JTO22 JUE22 JUU22 JVK22 JWA22 JWQ22 JXG22 JXW22 JYM22 JZC22 JZS22 KAI22 KAY22 KBO22 KCE22 KCU22 KDK22 KEA22 KEQ22 KFG22 KFW22 KGM22 KHC22 KHS22 KII22 KIY22 KJO22 KKE22 KKU22 KLK22 KMA22 KMQ22 KNG22 KNW22 KOM22 KPC22 KPS22 KQI22 KQY22 KRO22 KSE22 KSU22 KTK22 KUA22 KUQ22 KVG22 KVW22 KWM22 KXC22 KXS22 KYI22 KYY22 KZO22 LAE22 LAU22 LBK22 LCA22 LCQ22 LDG22 LDW22 LEM22 LFC22 LFS22 LGI22 LGY22 LHO22 LIE22 LIU22 LJK22 LKA22 LKQ22 LLG22 LLW22 LMM22 LNC22 LNS22 LOI22 LOY22 LPO22 LQE22 LQU22 LRK22 LSA22 LSQ22 LTG22 LTW22 LUM22 LVC22 LVS22 LWI22 LWY22 LXO22 LYE22 LYU22 LZK22 MAA22 MAQ22 MBG22 MBW22 MCM22 MDC22 MDS22 MEI22 MEY22 MFO22 MGE22 MGU22 MHK22 MIA22 MIQ22 MJG22 MJW22 MKM22 MLC22 MLS22 MMI22 MMY22 MNO22 MOE22 MOU22 MPK22 MQA22 MQQ22 MRG22 MRW22 MSM22 MTC22 MTS22 MUI22 MUY22 MVO22 MWE22 MWU22 MXK22 MYA22 MYQ22 MZG22 MZW22 NAM22 NBC22 NBS22 NCI22 NCY22 NDO22 NEE22 NEU22 NFK22 NGA22 NGQ22 NHG22 NHW22 NIM22 NJC22 NJS22 NKI22 NKY22 NLO22 NME22 NMU22 NNK22 NOA22 NOQ22 NPG22 NPW22 NQM22 NRC22 NRS22 NSI22 NSY22 NTO22 NUE22 NUU22 NVK22 NWA22 NWQ22 NXG22 NXW22 NYM22 NZC22 NZS22 OAI22 OAY22 OBO22 OCE22 OCU22 ODK22 OEA22 OEQ22 OFG22 OFW22 OGM22 OHC22 OHS22 OII22 OIY22 OJO22 OKE22 OKU22 OLK22 OMA22 OMQ22 ONG22 ONW22 OOM22 OPC22 OPS22 OQI22 OQY22 ORO22 OSE22 OSU22 OTK22 OUA22 OUQ22 OVG22 OVW22 OWM22 OXC22 OXS22 OYI22 OYY22 OZO22 PAE22 PAU22 PBK22 PCA22 PCQ22 PDG22 PDW22 PEM22 PFC22 PFS22 PGI22 PGY22 PHO22 PIE22 PIU22 PJK22 PKA22 PKQ22 PLG22 PLW22 PMM22 PNC22 PNS22 POI22 POY22 PPO22 PQE22 PQU22 PRK22 PSA22 PSQ22 PTG22 PTW22 PUM22 PVC22 PVS22 PWI22 PWY22 PXO22 PYE22 PYU22 PZK22 QAA22 QAQ22 QBG22 QBW22 QCM22 QDC22 QDS22 QEI22 QEY22 QFO22 QGE22 QGU22 QHK22 QIA22 QIQ22 QJG22 QJW22 QKM22 QLC22 QLS22 QMI22 QMY22 QNO22 QOE22 QOU22 QPK22 QQA22 QQQ22 QRG22 QRW22 QSM22 QTC22 QTS22 QUI22 QUY22 QVO22 QWE22 QWU22 QXK22 QYA22 QYQ22 QZG22 QZW22 RAM22 RBC22 RBS22 RCI22 RCY22 RDO22 REE22 REU22 RFK22 RGA22 RGQ22 RHG22 RHW22 RIM22 RJC22 RJS22 RKI22 RKY22 RLO22 RME22 RMU22 RNK22 ROA22 ROQ22 RPG22 RPW22 RQM22 RRC22 RRS22 RSI22 RSY22 RTO22 RUE22 RUU22 RVK22 RWA22 RWQ22 RXG22 RXW22 RYM22 RZC22 RZS22 SAI22 SAY22 SBO22 SCE22 SCU22 SDK22 SEA22 SEQ22 SFG22 SFW22 SGM22 SHC22 SHS22 SII22 SIY22 SJO22 SKE22 SKU22 SLK22 SMA22 SMQ22 SNG22 SNW22 SOM22 SPC22 SPS22 SQI22 SQY22 SRO22 SSE22 SSU22 STK22 SUA22 SUQ22 SVG22 SVW22 SWM22 SXC22 SXS22 SYI22 SYY22 SZO22 TAE22 TAU22 TBK22 TCA22 TCQ22 TDG22 TDW22 TEM22 TFC22 TFS22 TGI22 TGY22 THO22 TIE22 TIU22 TJK22 TKA22 TKQ22 TLG22 TLW22 TMM22 TNC22 TNS22 TOI22 TOY22 TPO22 TQE22 TQU22 TRK22 TSA22 TSQ22 TTG22 TTW22 TUM22 TVC22 TVS22 TWI22 TWY22 TXO22 TYE22 TYU22 TZK22 UAA22 UAQ22 UBG22 UBW22 UCM22 UDC22 UDS22 UEI22 UEY22 UFO22 UGE22 UGU22 UHK22 UIA22 UIQ22 UJG22 UJW22 UKM22 ULC22 ULS22 UMI22 UMY22 UNO22 UOE22 UOU22 UPK22 UQA22 UQQ22 URG22 URW22 USM22 UTC22 UTS22 UUI22 UUY22 UVO22 UWE22 UWU22 UXK22 UYA22 UYQ22 UZG22 UZW22 VAM22 VBC22 VBS22 VCI22 VCY22 VDO22 VEE22 VEU22 VFK22 VGA22 VGQ22 VHG22 VHW22 VIM22 VJC22 VJS22 VKI22 VKY22 VLO22 VME22 VMU22 VNK22 VOA22 VOQ22 VPG22 VPW22 VQM22 VRC22 VRS22 VSI22 VSY22 VTO22 VUE22 VUU22 VVK22 VWA22 VWQ22 VXG22 VXW22 VYM22 VZC22 VZS22 WAI22 WAY22 WBO22 WCE22 WCU22 WDK22 WEA22 WEQ22 WFG22 WFW22 WGM22 WHC22 WHS22 WII22 WIY22 WJO22 WKE22 WKU22 WLK22 WMA22 WMQ22 WNG22 WNW22 WOM22 WPC22 WPS22 WQI22 WQY22 WRO22 WSE22 WSU22 WTK22 WUA22 WUQ22 WVG22 WVW22 WWM22 WXC22 WXS22 WYI22 WYY22 WZO22 XAE22 XAU22 XBK22 XCA22" xr:uid="{90B3F59F-9EB6-4C27-BEF0-CE3CF0B36028}">
      <formula1>_xlfn.DAYS(#REF!,#REF!)</formula1>
    </dataValidation>
    <dataValidation type="custom" showInputMessage="1" showErrorMessage="1" sqref="K34:K35" xr:uid="{09DFB0E9-3C67-4195-A9EA-06B2FC95D81B}">
      <formula1>_xlfn.DAYS(H222,F222)</formula1>
    </dataValidation>
    <dataValidation type="custom" allowBlank="1" showInputMessage="1" showErrorMessage="1" sqref="AE38 O38" xr:uid="{AA2A133C-85E1-42A1-B2C4-0364E9CDCD4C}">
      <formula1>_xlfn.DAYS(L225,J225)</formula1>
    </dataValidation>
    <dataValidation type="custom" showInputMessage="1" showErrorMessage="1" sqref="AF38 P38" xr:uid="{8609D1AF-9134-46FA-B16C-F1BA5757749F}">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A4DBE8CF-1618-453A-A3FA-19139513A88B}">
          <x14:formula1>
            <xm:f>Cadastros!$N$12:$N$16</xm:f>
          </x14:formula1>
          <xm:sqref>XEW22 XDA22 XDQ22 XEG22 BE22 BU22 CK22 DA22 DQ22 EG22 EW22 FM22 GC22 GS22 HI22 HY22 IO22 JE22 JU22 KK22 LA22 LQ22 MG22 MW22 NM22 OC22 OS22 PI22 PY22 QO22 RE22 RU22 SK22 TA22 TQ22 UG22 UW22 VM22 WC22 WS22 XI22 XY22 YO22 ZE22 ZU22 AAK22 ABA22 ABQ22 ACG22 ACW22 ADM22 AEC22 AES22 AFI22 AFY22 AGO22 AHE22 AHU22 AIK22 AJA22 AJQ22 AKG22 AKW22 ALM22 AMC22 AMS22 ANI22 ANY22 AOO22 APE22 APU22 AQK22 ARA22 ARQ22 ASG22 ASW22 ATM22 AUC22 AUS22 AVI22 AVY22 AWO22 AXE22 AXU22 AYK22 AZA22 AZQ22 BAG22 BAW22 BBM22 BCC22 BCS22 BDI22 BDY22 BEO22 BFE22 BFU22 BGK22 BHA22 BHQ22 BIG22 BIW22 BJM22 BKC22 BKS22 BLI22 BLY22 BMO22 BNE22 BNU22 BOK22 BPA22 BPQ22 BQG22 BQW22 BRM22 BSC22 BSS22 BTI22 BTY22 BUO22 BVE22 BVU22 BWK22 BXA22 BXQ22 BYG22 BYW22 BZM22 CAC22 CAS22 CBI22 CBY22 CCO22 CDE22 CDU22 CEK22 CFA22 CFQ22 CGG22 CGW22 CHM22 CIC22 CIS22 CJI22 CJY22 CKO22 CLE22 CLU22 CMK22 CNA22 CNQ22 COG22 COW22 CPM22 CQC22 CQS22 CRI22 CRY22 CSO22 CTE22 CTU22 CUK22 CVA22 CVQ22 CWG22 CWW22 CXM22 CYC22 CYS22 CZI22 CZY22 DAO22 DBE22 DBU22 DCK22 DDA22 DDQ22 DEG22 DEW22 DFM22 DGC22 DGS22 DHI22 DHY22 DIO22 DJE22 DJU22 DKK22 DLA22 DLQ22 DMG22 DMW22 DNM22 DOC22 DOS22 DPI22 DPY22 DQO22 DRE22 DRU22 DSK22 DTA22 DTQ22 DUG22 DUW22 DVM22 DWC22 DWS22 DXI22 DXY22 DYO22 DZE22 DZU22 EAK22 EBA22 EBQ22 ECG22 ECW22 EDM22 EEC22 EES22 EFI22 EFY22 EGO22 EHE22 EHU22 EIK22 EJA22 EJQ22 EKG22 EKW22 ELM22 EMC22 EMS22 ENI22 ENY22 EOO22 EPE22 EPU22 EQK22 ERA22 ERQ22 ESG22 ESW22 ETM22 EUC22 EUS22 EVI22 EVY22 EWO22 EXE22 EXU22 EYK22 EZA22 EZQ22 FAG22 FAW22 FBM22 FCC22 FCS22 FDI22 FDY22 FEO22 FFE22 FFU22 FGK22 FHA22 FHQ22 FIG22 FIW22 FJM22 FKC22 FKS22 FLI22 FLY22 FMO22 FNE22 FNU22 FOK22 FPA22 FPQ22 FQG22 FQW22 FRM22 FSC22 FSS22 FTI22 FTY22 FUO22 FVE22 FVU22 FWK22 FXA22 FXQ22 FYG22 FYW22 FZM22 GAC22 GAS22 GBI22 GBY22 GCO22 GDE22 GDU22 GEK22 GFA22 GFQ22 GGG22 GGW22 GHM22 GIC22 GIS22 GJI22 GJY22 GKO22 GLE22 GLU22 GMK22 GNA22 GNQ22 GOG22 GOW22 GPM22 GQC22 GQS22 GRI22 GRY22 GSO22 GTE22 GTU22 GUK22 GVA22 GVQ22 GWG22 GWW22 GXM22 GYC22 GYS22 GZI22 GZY22 HAO22 HBE22 HBU22 HCK22 HDA22 HDQ22 HEG22 HEW22 HFM22 HGC22 HGS22 HHI22 HHY22 HIO22 HJE22 HJU22 HKK22 HLA22 HLQ22 HMG22 HMW22 HNM22 HOC22 HOS22 HPI22 HPY22 HQO22 HRE22 HRU22 HSK22 HTA22 HTQ22 HUG22 HUW22 HVM22 HWC22 HWS22 HXI22 HXY22 HYO22 HZE22 HZU22 IAK22 IBA22 IBQ22 ICG22 ICW22 IDM22 IEC22 IES22 IFI22 IFY22 IGO22 IHE22 IHU22 IIK22 IJA22 IJQ22 IKG22 IKW22 ILM22 IMC22 IMS22 INI22 INY22 IOO22 IPE22 IPU22 IQK22 IRA22 IRQ22 ISG22 ISW22 ITM22 IUC22 IUS22 IVI22 IVY22 IWO22 IXE22 IXU22 IYK22 IZA22 IZQ22 JAG22 JAW22 JBM22 JCC22 JCS22 JDI22 JDY22 JEO22 JFE22 JFU22 JGK22 JHA22 JHQ22 JIG22 JIW22 JJM22 JKC22 JKS22 JLI22 JLY22 JMO22 JNE22 JNU22 JOK22 JPA22 JPQ22 JQG22 JQW22 JRM22 JSC22 JSS22 JTI22 JTY22 JUO22 JVE22 JVU22 JWK22 JXA22 JXQ22 JYG22 JYW22 JZM22 KAC22 KAS22 KBI22 KBY22 KCO22 KDE22 KDU22 KEK22 KFA22 KFQ22 KGG22 KGW22 KHM22 KIC22 KIS22 KJI22 KJY22 KKO22 KLE22 KLU22 KMK22 KNA22 KNQ22 KOG22 KOW22 KPM22 KQC22 KQS22 KRI22 KRY22 KSO22 KTE22 KTU22 KUK22 KVA22 KVQ22 KWG22 KWW22 KXM22 KYC22 KYS22 KZI22 KZY22 LAO22 LBE22 LBU22 LCK22 LDA22 LDQ22 LEG22 LEW22 LFM22 LGC22 LGS22 LHI22 LHY22 LIO22 LJE22 LJU22 LKK22 LLA22 LLQ22 LMG22 LMW22 LNM22 LOC22 LOS22 LPI22 LPY22 LQO22 LRE22 LRU22 LSK22 LTA22 LTQ22 LUG22 LUW22 LVM22 LWC22 LWS22 LXI22 LXY22 LYO22 LZE22 LZU22 MAK22 MBA22 MBQ22 MCG22 MCW22 MDM22 MEC22 MES22 MFI22 MFY22 MGO22 MHE22 MHU22 MIK22 MJA22 MJQ22 MKG22 MKW22 MLM22 MMC22 MMS22 MNI22 MNY22 MOO22 MPE22 MPU22 MQK22 MRA22 MRQ22 MSG22 MSW22 MTM22 MUC22 MUS22 MVI22 MVY22 MWO22 MXE22 MXU22 MYK22 MZA22 MZQ22 NAG22 NAW22 NBM22 NCC22 NCS22 NDI22 NDY22 NEO22 NFE22 NFU22 NGK22 NHA22 NHQ22 NIG22 NIW22 NJM22 NKC22 NKS22 NLI22 NLY22 NMO22 NNE22 NNU22 NOK22 NPA22 NPQ22 NQG22 NQW22 NRM22 NSC22 NSS22 NTI22 NTY22 NUO22 NVE22 NVU22 NWK22 NXA22 NXQ22 NYG22 NYW22 NZM22 OAC22 OAS22 OBI22 OBY22 OCO22 ODE22 ODU22 OEK22 OFA22 OFQ22 OGG22 OGW22 OHM22 OIC22 OIS22 OJI22 OJY22 OKO22 OLE22 OLU22 OMK22 ONA22 ONQ22 OOG22 OOW22 OPM22 OQC22 OQS22 ORI22 ORY22 OSO22 OTE22 OTU22 OUK22 OVA22 OVQ22 OWG22 OWW22 OXM22 OYC22 OYS22 OZI22 OZY22 PAO22 PBE22 PBU22 PCK22 PDA22 PDQ22 PEG22 PEW22 PFM22 PGC22 PGS22 PHI22 PHY22 PIO22 PJE22 PJU22 PKK22 PLA22 PLQ22 PMG22 PMW22 PNM22 POC22 POS22 PPI22 PPY22 PQO22 PRE22 PRU22 PSK22 PTA22 PTQ22 PUG22 PUW22 PVM22 PWC22 PWS22 PXI22 PXY22 PYO22 PZE22 PZU22 QAK22 QBA22 QBQ22 QCG22 QCW22 QDM22 QEC22 QES22 QFI22 QFY22 QGO22 QHE22 QHU22 QIK22 QJA22 QJQ22 QKG22 QKW22 QLM22 QMC22 QMS22 QNI22 QNY22 QOO22 QPE22 QPU22 QQK22 QRA22 QRQ22 QSG22 QSW22 QTM22 QUC22 QUS22 QVI22 QVY22 QWO22 QXE22 QXU22 QYK22 QZA22 QZQ22 RAG22 RAW22 RBM22 RCC22 RCS22 RDI22 RDY22 REO22 RFE22 RFU22 RGK22 RHA22 RHQ22 RIG22 RIW22 RJM22 RKC22 RKS22 RLI22 RLY22 RMO22 RNE22 RNU22 ROK22 RPA22 RPQ22 RQG22 RQW22 RRM22 RSC22 RSS22 RTI22 RTY22 RUO22 RVE22 RVU22 RWK22 RXA22 RXQ22 RYG22 RYW22 RZM22 SAC22 SAS22 SBI22 SBY22 SCO22 SDE22 SDU22 SEK22 SFA22 SFQ22 SGG22 SGW22 SHM22 SIC22 SIS22 SJI22 SJY22 SKO22 SLE22 SLU22 SMK22 SNA22 SNQ22 SOG22 SOW22 SPM22 SQC22 SQS22 SRI22 SRY22 SSO22 STE22 STU22 SUK22 SVA22 SVQ22 SWG22 SWW22 SXM22 SYC22 SYS22 SZI22 SZY22 TAO22 TBE22 TBU22 TCK22 TDA22 TDQ22 TEG22 TEW22 TFM22 TGC22 TGS22 THI22 THY22 TIO22 TJE22 TJU22 TKK22 TLA22 TLQ22 TMG22 TMW22 TNM22 TOC22 TOS22 TPI22 TPY22 TQO22 TRE22 TRU22 TSK22 TTA22 TTQ22 TUG22 TUW22 TVM22 TWC22 TWS22 TXI22 TXY22 TYO22 TZE22 TZU22 UAK22 UBA22 UBQ22 UCG22 UCW22 UDM22 UEC22 UES22 UFI22 UFY22 UGO22 UHE22 UHU22 UIK22 UJA22 UJQ22 UKG22 UKW22 ULM22 UMC22 UMS22 UNI22 UNY22 UOO22 UPE22 UPU22 UQK22 URA22 URQ22 USG22 USW22 UTM22 UUC22 UUS22 UVI22 UVY22 UWO22 UXE22 UXU22 UYK22 UZA22 UZQ22 VAG22 VAW22 VBM22 VCC22 VCS22 VDI22 VDY22 VEO22 VFE22 VFU22 VGK22 VHA22 VHQ22 VIG22 VIW22 VJM22 VKC22 VKS22 VLI22 VLY22 VMO22 VNE22 VNU22 VOK22 VPA22 VPQ22 VQG22 VQW22 VRM22 VSC22 VSS22 VTI22 VTY22 VUO22 VVE22 VVU22 VWK22 VXA22 VXQ22 VYG22 VYW22 VZM22 WAC22 WAS22 WBI22 WBY22 WCO22 WDE22 WDU22 WEK22 WFA22 WFQ22 WGG22 WGW22 WHM22 WIC22 WIS22 WJI22 WJY22 WKO22 WLE22 WLU22 WMK22 WNA22 WNQ22 WOG22 WOW22 WPM22 WQC22 WQS22 WRI22 WRY22 WSO22 WTE22 WTU22 WUK22 WVA22 WVQ22 WWG22 WWW22 WXM22 WYC22 WYS22 WZI22 WZY22 XAO22 XBE22 XBU22 XCK22 I38 Y38 K26</xm:sqref>
        </x14:dataValidation>
        <x14:dataValidation type="list" allowBlank="1" showInputMessage="1" showErrorMessage="1" xr:uid="{3B105851-F422-4EC0-B1CB-D52CDAC7E830}">
          <x14:formula1>
            <xm:f>Cadastros!$Q$12:$Q$17</xm:f>
          </x14:formula1>
          <xm:sqref>XEY22 XDC22 XDS22 XEI22 BG22 BW22 CM22 DC22 DS22 EI22 EY22 FO22 GE22 GU22 HK22 IA22 IQ22 JG22 JW22 KM22 LC22 LS22 MI22 MY22 NO22 OE22 OU22 PK22 QA22 QQ22 RG22 RW22 SM22 TC22 TS22 UI22 UY22 VO22 WE22 WU22 XK22 YA22 YQ22 ZG22 ZW22 AAM22 ABC22 ABS22 ACI22 ACY22 ADO22 AEE22 AEU22 AFK22 AGA22 AGQ22 AHG22 AHW22 AIM22 AJC22 AJS22 AKI22 AKY22 ALO22 AME22 AMU22 ANK22 AOA22 AOQ22 APG22 APW22 AQM22 ARC22 ARS22 ASI22 ASY22 ATO22 AUE22 AUU22 AVK22 AWA22 AWQ22 AXG22 AXW22 AYM22 AZC22 AZS22 BAI22 BAY22 BBO22 BCE22 BCU22 BDK22 BEA22 BEQ22 BFG22 BFW22 BGM22 BHC22 BHS22 BII22 BIY22 BJO22 BKE22 BKU22 BLK22 BMA22 BMQ22 BNG22 BNW22 BOM22 BPC22 BPS22 BQI22 BQY22 BRO22 BSE22 BSU22 BTK22 BUA22 BUQ22 BVG22 BVW22 BWM22 BXC22 BXS22 BYI22 BYY22 BZO22 CAE22 CAU22 CBK22 CCA22 CCQ22 CDG22 CDW22 CEM22 CFC22 CFS22 CGI22 CGY22 CHO22 CIE22 CIU22 CJK22 CKA22 CKQ22 CLG22 CLW22 CMM22 CNC22 CNS22 COI22 COY22 CPO22 CQE22 CQU22 CRK22 CSA22 CSQ22 CTG22 CTW22 CUM22 CVC22 CVS22 CWI22 CWY22 CXO22 CYE22 CYU22 CZK22 DAA22 DAQ22 DBG22 DBW22 DCM22 DDC22 DDS22 DEI22 DEY22 DFO22 DGE22 DGU22 DHK22 DIA22 DIQ22 DJG22 DJW22 DKM22 DLC22 DLS22 DMI22 DMY22 DNO22 DOE22 DOU22 DPK22 DQA22 DQQ22 DRG22 DRW22 DSM22 DTC22 DTS22 DUI22 DUY22 DVO22 DWE22 DWU22 DXK22 DYA22 DYQ22 DZG22 DZW22 EAM22 EBC22 EBS22 ECI22 ECY22 EDO22 EEE22 EEU22 EFK22 EGA22 EGQ22 EHG22 EHW22 EIM22 EJC22 EJS22 EKI22 EKY22 ELO22 EME22 EMU22 ENK22 EOA22 EOQ22 EPG22 EPW22 EQM22 ERC22 ERS22 ESI22 ESY22 ETO22 EUE22 EUU22 EVK22 EWA22 EWQ22 EXG22 EXW22 EYM22 EZC22 EZS22 FAI22 FAY22 FBO22 FCE22 FCU22 FDK22 FEA22 FEQ22 FFG22 FFW22 FGM22 FHC22 FHS22 FII22 FIY22 FJO22 FKE22 FKU22 FLK22 FMA22 FMQ22 FNG22 FNW22 FOM22 FPC22 FPS22 FQI22 FQY22 FRO22 FSE22 FSU22 FTK22 FUA22 FUQ22 FVG22 FVW22 FWM22 FXC22 FXS22 FYI22 FYY22 FZO22 GAE22 GAU22 GBK22 GCA22 GCQ22 GDG22 GDW22 GEM22 GFC22 GFS22 GGI22 GGY22 GHO22 GIE22 GIU22 GJK22 GKA22 GKQ22 GLG22 GLW22 GMM22 GNC22 GNS22 GOI22 GOY22 GPO22 GQE22 GQU22 GRK22 GSA22 GSQ22 GTG22 GTW22 GUM22 GVC22 GVS22 GWI22 GWY22 GXO22 GYE22 GYU22 GZK22 HAA22 HAQ22 HBG22 HBW22 HCM22 HDC22 HDS22 HEI22 HEY22 HFO22 HGE22 HGU22 HHK22 HIA22 HIQ22 HJG22 HJW22 HKM22 HLC22 HLS22 HMI22 HMY22 HNO22 HOE22 HOU22 HPK22 HQA22 HQQ22 HRG22 HRW22 HSM22 HTC22 HTS22 HUI22 HUY22 HVO22 HWE22 HWU22 HXK22 HYA22 HYQ22 HZG22 HZW22 IAM22 IBC22 IBS22 ICI22 ICY22 IDO22 IEE22 IEU22 IFK22 IGA22 IGQ22 IHG22 IHW22 IIM22 IJC22 IJS22 IKI22 IKY22 ILO22 IME22 IMU22 INK22 IOA22 IOQ22 IPG22 IPW22 IQM22 IRC22 IRS22 ISI22 ISY22 ITO22 IUE22 IUU22 IVK22 IWA22 IWQ22 IXG22 IXW22 IYM22 IZC22 IZS22 JAI22 JAY22 JBO22 JCE22 JCU22 JDK22 JEA22 JEQ22 JFG22 JFW22 JGM22 JHC22 JHS22 JII22 JIY22 JJO22 JKE22 JKU22 JLK22 JMA22 JMQ22 JNG22 JNW22 JOM22 JPC22 JPS22 JQI22 JQY22 JRO22 JSE22 JSU22 JTK22 JUA22 JUQ22 JVG22 JVW22 JWM22 JXC22 JXS22 JYI22 JYY22 JZO22 KAE22 KAU22 KBK22 KCA22 KCQ22 KDG22 KDW22 KEM22 KFC22 KFS22 KGI22 KGY22 KHO22 KIE22 KIU22 KJK22 KKA22 KKQ22 KLG22 KLW22 KMM22 KNC22 KNS22 KOI22 KOY22 KPO22 KQE22 KQU22 KRK22 KSA22 KSQ22 KTG22 KTW22 KUM22 KVC22 KVS22 KWI22 KWY22 KXO22 KYE22 KYU22 KZK22 LAA22 LAQ22 LBG22 LBW22 LCM22 LDC22 LDS22 LEI22 LEY22 LFO22 LGE22 LGU22 LHK22 LIA22 LIQ22 LJG22 LJW22 LKM22 LLC22 LLS22 LMI22 LMY22 LNO22 LOE22 LOU22 LPK22 LQA22 LQQ22 LRG22 LRW22 LSM22 LTC22 LTS22 LUI22 LUY22 LVO22 LWE22 LWU22 LXK22 LYA22 LYQ22 LZG22 LZW22 MAM22 MBC22 MBS22 MCI22 MCY22 MDO22 MEE22 MEU22 MFK22 MGA22 MGQ22 MHG22 MHW22 MIM22 MJC22 MJS22 MKI22 MKY22 MLO22 MME22 MMU22 MNK22 MOA22 MOQ22 MPG22 MPW22 MQM22 MRC22 MRS22 MSI22 MSY22 MTO22 MUE22 MUU22 MVK22 MWA22 MWQ22 MXG22 MXW22 MYM22 MZC22 MZS22 NAI22 NAY22 NBO22 NCE22 NCU22 NDK22 NEA22 NEQ22 NFG22 NFW22 NGM22 NHC22 NHS22 NII22 NIY22 NJO22 NKE22 NKU22 NLK22 NMA22 NMQ22 NNG22 NNW22 NOM22 NPC22 NPS22 NQI22 NQY22 NRO22 NSE22 NSU22 NTK22 NUA22 NUQ22 NVG22 NVW22 NWM22 NXC22 NXS22 NYI22 NYY22 NZO22 OAE22 OAU22 OBK22 OCA22 OCQ22 ODG22 ODW22 OEM22 OFC22 OFS22 OGI22 OGY22 OHO22 OIE22 OIU22 OJK22 OKA22 OKQ22 OLG22 OLW22 OMM22 ONC22 ONS22 OOI22 OOY22 OPO22 OQE22 OQU22 ORK22 OSA22 OSQ22 OTG22 OTW22 OUM22 OVC22 OVS22 OWI22 OWY22 OXO22 OYE22 OYU22 OZK22 PAA22 PAQ22 PBG22 PBW22 PCM22 PDC22 PDS22 PEI22 PEY22 PFO22 PGE22 PGU22 PHK22 PIA22 PIQ22 PJG22 PJW22 PKM22 PLC22 PLS22 PMI22 PMY22 PNO22 POE22 POU22 PPK22 PQA22 PQQ22 PRG22 PRW22 PSM22 PTC22 PTS22 PUI22 PUY22 PVO22 PWE22 PWU22 PXK22 PYA22 PYQ22 PZG22 PZW22 QAM22 QBC22 QBS22 QCI22 QCY22 QDO22 QEE22 QEU22 QFK22 QGA22 QGQ22 QHG22 QHW22 QIM22 QJC22 QJS22 QKI22 QKY22 QLO22 QME22 QMU22 QNK22 QOA22 QOQ22 QPG22 QPW22 QQM22 QRC22 QRS22 QSI22 QSY22 QTO22 QUE22 QUU22 QVK22 QWA22 QWQ22 QXG22 QXW22 QYM22 QZC22 QZS22 RAI22 RAY22 RBO22 RCE22 RCU22 RDK22 REA22 REQ22 RFG22 RFW22 RGM22 RHC22 RHS22 RII22 RIY22 RJO22 RKE22 RKU22 RLK22 RMA22 RMQ22 RNG22 RNW22 ROM22 RPC22 RPS22 RQI22 RQY22 RRO22 RSE22 RSU22 RTK22 RUA22 RUQ22 RVG22 RVW22 RWM22 RXC22 RXS22 RYI22 RYY22 RZO22 SAE22 SAU22 SBK22 SCA22 SCQ22 SDG22 SDW22 SEM22 SFC22 SFS22 SGI22 SGY22 SHO22 SIE22 SIU22 SJK22 SKA22 SKQ22 SLG22 SLW22 SMM22 SNC22 SNS22 SOI22 SOY22 SPO22 SQE22 SQU22 SRK22 SSA22 SSQ22 STG22 STW22 SUM22 SVC22 SVS22 SWI22 SWY22 SXO22 SYE22 SYU22 SZK22 TAA22 TAQ22 TBG22 TBW22 TCM22 TDC22 TDS22 TEI22 TEY22 TFO22 TGE22 TGU22 THK22 TIA22 TIQ22 TJG22 TJW22 TKM22 TLC22 TLS22 TMI22 TMY22 TNO22 TOE22 TOU22 TPK22 TQA22 TQQ22 TRG22 TRW22 TSM22 TTC22 TTS22 TUI22 TUY22 TVO22 TWE22 TWU22 TXK22 TYA22 TYQ22 TZG22 TZW22 UAM22 UBC22 UBS22 UCI22 UCY22 UDO22 UEE22 UEU22 UFK22 UGA22 UGQ22 UHG22 UHW22 UIM22 UJC22 UJS22 UKI22 UKY22 ULO22 UME22 UMU22 UNK22 UOA22 UOQ22 UPG22 UPW22 UQM22 URC22 URS22 USI22 USY22 UTO22 UUE22 UUU22 UVK22 UWA22 UWQ22 UXG22 UXW22 UYM22 UZC22 UZS22 VAI22 VAY22 VBO22 VCE22 VCU22 VDK22 VEA22 VEQ22 VFG22 VFW22 VGM22 VHC22 VHS22 VII22 VIY22 VJO22 VKE22 VKU22 VLK22 VMA22 VMQ22 VNG22 VNW22 VOM22 VPC22 VPS22 VQI22 VQY22 VRO22 VSE22 VSU22 VTK22 VUA22 VUQ22 VVG22 VVW22 VWM22 VXC22 VXS22 VYI22 VYY22 VZO22 WAE22 WAU22 WBK22 WCA22 WCQ22 WDG22 WDW22 WEM22 WFC22 WFS22 WGI22 WGY22 WHO22 WIE22 WIU22 WJK22 WKA22 WKQ22 WLG22 WLW22 WMM22 WNC22 WNS22 WOI22 WOY22 WPO22 WQE22 WQU22 WRK22 WSA22 WSQ22 WTG22 WTW22 WUM22 WVC22 WVS22 WWI22 WWY22 WXO22 WYE22 WYU22 WZK22 XAA22 XAQ22 XBG22 XBW22 XCM22 K38 AA38 K28 F28 K40:K155</xm:sqref>
        </x14:dataValidation>
        <x14:dataValidation type="list" allowBlank="1" showInputMessage="1" showErrorMessage="1" xr:uid="{46982E07-1858-41ED-A723-439BF177E36E}">
          <x14:formula1>
            <xm:f>Cadastros!$F$12:$F$25</xm:f>
          </x14:formula1>
          <xm:sqref>XEU22 XCY22 XDO22 XEE22 BC22 BS22 CI22 CY22 DO22 EE22 EU22 FK22 GA22 GQ22 HG22 HW22 IM22 JC22 JS22 KI22 KY22 LO22 ME22 MU22 NK22 OA22 OQ22 PG22 PW22 QM22 RC22 RS22 SI22 SY22 TO22 UE22 UU22 VK22 WA22 WQ22 XG22 XW22 YM22 ZC22 ZS22 AAI22 AAY22 ABO22 ACE22 ACU22 ADK22 AEA22 AEQ22 AFG22 AFW22 AGM22 AHC22 AHS22 AII22 AIY22 AJO22 AKE22 AKU22 ALK22 AMA22 AMQ22 ANG22 ANW22 AOM22 APC22 APS22 AQI22 AQY22 ARO22 ASE22 ASU22 ATK22 AUA22 AUQ22 AVG22 AVW22 AWM22 AXC22 AXS22 AYI22 AYY22 AZO22 BAE22 BAU22 BBK22 BCA22 BCQ22 BDG22 BDW22 BEM22 BFC22 BFS22 BGI22 BGY22 BHO22 BIE22 BIU22 BJK22 BKA22 BKQ22 BLG22 BLW22 BMM22 BNC22 BNS22 BOI22 BOY22 BPO22 BQE22 BQU22 BRK22 BSA22 BSQ22 BTG22 BTW22 BUM22 BVC22 BVS22 BWI22 BWY22 BXO22 BYE22 BYU22 BZK22 CAA22 CAQ22 CBG22 CBW22 CCM22 CDC22 CDS22 CEI22 CEY22 CFO22 CGE22 CGU22 CHK22 CIA22 CIQ22 CJG22 CJW22 CKM22 CLC22 CLS22 CMI22 CMY22 CNO22 COE22 COU22 CPK22 CQA22 CQQ22 CRG22 CRW22 CSM22 CTC22 CTS22 CUI22 CUY22 CVO22 CWE22 CWU22 CXK22 CYA22 CYQ22 CZG22 CZW22 DAM22 DBC22 DBS22 DCI22 DCY22 DDO22 DEE22 DEU22 DFK22 DGA22 DGQ22 DHG22 DHW22 DIM22 DJC22 DJS22 DKI22 DKY22 DLO22 DME22 DMU22 DNK22 DOA22 DOQ22 DPG22 DPW22 DQM22 DRC22 DRS22 DSI22 DSY22 DTO22 DUE22 DUU22 DVK22 DWA22 DWQ22 DXG22 DXW22 DYM22 DZC22 DZS22 EAI22 EAY22 EBO22 ECE22 ECU22 EDK22 EEA22 EEQ22 EFG22 EFW22 EGM22 EHC22 EHS22 EII22 EIY22 EJO22 EKE22 EKU22 ELK22 EMA22 EMQ22 ENG22 ENW22 EOM22 EPC22 EPS22 EQI22 EQY22 ERO22 ESE22 ESU22 ETK22 EUA22 EUQ22 EVG22 EVW22 EWM22 EXC22 EXS22 EYI22 EYY22 EZO22 FAE22 FAU22 FBK22 FCA22 FCQ22 FDG22 FDW22 FEM22 FFC22 FFS22 FGI22 FGY22 FHO22 FIE22 FIU22 FJK22 FKA22 FKQ22 FLG22 FLW22 FMM22 FNC22 FNS22 FOI22 FOY22 FPO22 FQE22 FQU22 FRK22 FSA22 FSQ22 FTG22 FTW22 FUM22 FVC22 FVS22 FWI22 FWY22 FXO22 FYE22 FYU22 FZK22 GAA22 GAQ22 GBG22 GBW22 GCM22 GDC22 GDS22 GEI22 GEY22 GFO22 GGE22 GGU22 GHK22 GIA22 GIQ22 GJG22 GJW22 GKM22 GLC22 GLS22 GMI22 GMY22 GNO22 GOE22 GOU22 GPK22 GQA22 GQQ22 GRG22 GRW22 GSM22 GTC22 GTS22 GUI22 GUY22 GVO22 GWE22 GWU22 GXK22 GYA22 GYQ22 GZG22 GZW22 HAM22 HBC22 HBS22 HCI22 HCY22 HDO22 HEE22 HEU22 HFK22 HGA22 HGQ22 HHG22 HHW22 HIM22 HJC22 HJS22 HKI22 HKY22 HLO22 HME22 HMU22 HNK22 HOA22 HOQ22 HPG22 HPW22 HQM22 HRC22 HRS22 HSI22 HSY22 HTO22 HUE22 HUU22 HVK22 HWA22 HWQ22 HXG22 HXW22 HYM22 HZC22 HZS22 IAI22 IAY22 IBO22 ICE22 ICU22 IDK22 IEA22 IEQ22 IFG22 IFW22 IGM22 IHC22 IHS22 III22 IIY22 IJO22 IKE22 IKU22 ILK22 IMA22 IMQ22 ING22 INW22 IOM22 IPC22 IPS22 IQI22 IQY22 IRO22 ISE22 ISU22 ITK22 IUA22 IUQ22 IVG22 IVW22 IWM22 IXC22 IXS22 IYI22 IYY22 IZO22 JAE22 JAU22 JBK22 JCA22 JCQ22 JDG22 JDW22 JEM22 JFC22 JFS22 JGI22 JGY22 JHO22 JIE22 JIU22 JJK22 JKA22 JKQ22 JLG22 JLW22 JMM22 JNC22 JNS22 JOI22 JOY22 JPO22 JQE22 JQU22 JRK22 JSA22 JSQ22 JTG22 JTW22 JUM22 JVC22 JVS22 JWI22 JWY22 JXO22 JYE22 JYU22 JZK22 KAA22 KAQ22 KBG22 KBW22 KCM22 KDC22 KDS22 KEI22 KEY22 KFO22 KGE22 KGU22 KHK22 KIA22 KIQ22 KJG22 KJW22 KKM22 KLC22 KLS22 KMI22 KMY22 KNO22 KOE22 KOU22 KPK22 KQA22 KQQ22 KRG22 KRW22 KSM22 KTC22 KTS22 KUI22 KUY22 KVO22 KWE22 KWU22 KXK22 KYA22 KYQ22 KZG22 KZW22 LAM22 LBC22 LBS22 LCI22 LCY22 LDO22 LEE22 LEU22 LFK22 LGA22 LGQ22 LHG22 LHW22 LIM22 LJC22 LJS22 LKI22 LKY22 LLO22 LME22 LMU22 LNK22 LOA22 LOQ22 LPG22 LPW22 LQM22 LRC22 LRS22 LSI22 LSY22 LTO22 LUE22 LUU22 LVK22 LWA22 LWQ22 LXG22 LXW22 LYM22 LZC22 LZS22 MAI22 MAY22 MBO22 MCE22 MCU22 MDK22 MEA22 MEQ22 MFG22 MFW22 MGM22 MHC22 MHS22 MII22 MIY22 MJO22 MKE22 MKU22 MLK22 MMA22 MMQ22 MNG22 MNW22 MOM22 MPC22 MPS22 MQI22 MQY22 MRO22 MSE22 MSU22 MTK22 MUA22 MUQ22 MVG22 MVW22 MWM22 MXC22 MXS22 MYI22 MYY22 MZO22 NAE22 NAU22 NBK22 NCA22 NCQ22 NDG22 NDW22 NEM22 NFC22 NFS22 NGI22 NGY22 NHO22 NIE22 NIU22 NJK22 NKA22 NKQ22 NLG22 NLW22 NMM22 NNC22 NNS22 NOI22 NOY22 NPO22 NQE22 NQU22 NRK22 NSA22 NSQ22 NTG22 NTW22 NUM22 NVC22 NVS22 NWI22 NWY22 NXO22 NYE22 NYU22 NZK22 OAA22 OAQ22 OBG22 OBW22 OCM22 ODC22 ODS22 OEI22 OEY22 OFO22 OGE22 OGU22 OHK22 OIA22 OIQ22 OJG22 OJW22 OKM22 OLC22 OLS22 OMI22 OMY22 ONO22 OOE22 OOU22 OPK22 OQA22 OQQ22 ORG22 ORW22 OSM22 OTC22 OTS22 OUI22 OUY22 OVO22 OWE22 OWU22 OXK22 OYA22 OYQ22 OZG22 OZW22 PAM22 PBC22 PBS22 PCI22 PCY22 PDO22 PEE22 PEU22 PFK22 PGA22 PGQ22 PHG22 PHW22 PIM22 PJC22 PJS22 PKI22 PKY22 PLO22 PME22 PMU22 PNK22 POA22 POQ22 PPG22 PPW22 PQM22 PRC22 PRS22 PSI22 PSY22 PTO22 PUE22 PUU22 PVK22 PWA22 PWQ22 PXG22 PXW22 PYM22 PZC22 PZS22 QAI22 QAY22 QBO22 QCE22 QCU22 QDK22 QEA22 QEQ22 QFG22 QFW22 QGM22 QHC22 QHS22 QII22 QIY22 QJO22 QKE22 QKU22 QLK22 QMA22 QMQ22 QNG22 QNW22 QOM22 QPC22 QPS22 QQI22 QQY22 QRO22 QSE22 QSU22 QTK22 QUA22 QUQ22 QVG22 QVW22 QWM22 QXC22 QXS22 QYI22 QYY22 QZO22 RAE22 RAU22 RBK22 RCA22 RCQ22 RDG22 RDW22 REM22 RFC22 RFS22 RGI22 RGY22 RHO22 RIE22 RIU22 RJK22 RKA22 RKQ22 RLG22 RLW22 RMM22 RNC22 RNS22 ROI22 ROY22 RPO22 RQE22 RQU22 RRK22 RSA22 RSQ22 RTG22 RTW22 RUM22 RVC22 RVS22 RWI22 RWY22 RXO22 RYE22 RYU22 RZK22 SAA22 SAQ22 SBG22 SBW22 SCM22 SDC22 SDS22 SEI22 SEY22 SFO22 SGE22 SGU22 SHK22 SIA22 SIQ22 SJG22 SJW22 SKM22 SLC22 SLS22 SMI22 SMY22 SNO22 SOE22 SOU22 SPK22 SQA22 SQQ22 SRG22 SRW22 SSM22 STC22 STS22 SUI22 SUY22 SVO22 SWE22 SWU22 SXK22 SYA22 SYQ22 SZG22 SZW22 TAM22 TBC22 TBS22 TCI22 TCY22 TDO22 TEE22 TEU22 TFK22 TGA22 TGQ22 THG22 THW22 TIM22 TJC22 TJS22 TKI22 TKY22 TLO22 TME22 TMU22 TNK22 TOA22 TOQ22 TPG22 TPW22 TQM22 TRC22 TRS22 TSI22 TSY22 TTO22 TUE22 TUU22 TVK22 TWA22 TWQ22 TXG22 TXW22 TYM22 TZC22 TZS22 UAI22 UAY22 UBO22 UCE22 UCU22 UDK22 UEA22 UEQ22 UFG22 UFW22 UGM22 UHC22 UHS22 UII22 UIY22 UJO22 UKE22 UKU22 ULK22 UMA22 UMQ22 UNG22 UNW22 UOM22 UPC22 UPS22 UQI22 UQY22 URO22 USE22 USU22 UTK22 UUA22 UUQ22 UVG22 UVW22 UWM22 UXC22 UXS22 UYI22 UYY22 UZO22 VAE22 VAU22 VBK22 VCA22 VCQ22 VDG22 VDW22 VEM22 VFC22 VFS22 VGI22 VGY22 VHO22 VIE22 VIU22 VJK22 VKA22 VKQ22 VLG22 VLW22 VMM22 VNC22 VNS22 VOI22 VOY22 VPO22 VQE22 VQU22 VRK22 VSA22 VSQ22 VTG22 VTW22 VUM22 VVC22 VVS22 VWI22 VWY22 VXO22 VYE22 VYU22 VZK22 WAA22 WAQ22 WBG22 WBW22 WCM22 WDC22 WDS22 WEI22 WEY22 WFO22 WGE22 WGU22 WHK22 WIA22 WIQ22 WJG22 WJW22 WKM22 WLC22 WLS22 WMI22 WMY22 WNO22 WOE22 WOU22 WPK22 WQA22 WQQ22 WRG22 WRW22 WSM22 WTC22 WTS22 WUI22 WUY22 WVO22 WWE22 WWU22 WXK22 WYA22 WYQ22 WZG22 WZW22 XAM22 XBC22 XBS22 XCI22 G38 AM38 K24 F23 F40:F155</xm:sqref>
        </x14:dataValidation>
        <x14:dataValidation type="list" allowBlank="1" showInputMessage="1" showErrorMessage="1" xr:uid="{CBA7AC5B-63D9-437C-8CD1-88B52BC06079}">
          <x14:formula1>
            <xm:f>Cadastros!$S$12:$S$13</xm:f>
          </x14:formula1>
          <xm:sqref>XFA22:XFB22 XDE22:XDF22 XDU22:XDV22 XEK22:XEL22 BI22:BJ22 BY22:BZ22 CO22:CP22 DE22:DF22 DU22:DV22 EK22:EL22 FA22:FB22 FQ22:FR22 GG22:GH22 GW22:GX22 HM22:HN22 IC22:ID22 IS22:IT22 JI22:JJ22 JY22:JZ22 KO22:KP22 LE22:LF22 LU22:LV22 MK22:ML22 NA22:NB22 NQ22:NR22 OG22:OH22 OW22:OX22 PM22:PN22 QC22:QD22 QS22:QT22 RI22:RJ22 RY22:RZ22 SO22:SP22 TE22:TF22 TU22:TV22 UK22:UL22 VA22:VB22 VQ22:VR22 WG22:WH22 WW22:WX22 XM22:XN22 YC22:YD22 YS22:YT22 ZI22:ZJ22 ZY22:ZZ22 AAO22:AAP22 ABE22:ABF22 ABU22:ABV22 ACK22:ACL22 ADA22:ADB22 ADQ22:ADR22 AEG22:AEH22 AEW22:AEX22 AFM22:AFN22 AGC22:AGD22 AGS22:AGT22 AHI22:AHJ22 AHY22:AHZ22 AIO22:AIP22 AJE22:AJF22 AJU22:AJV22 AKK22:AKL22 ALA22:ALB22 ALQ22:ALR22 AMG22:AMH22 AMW22:AMX22 ANM22:ANN22 AOC22:AOD22 AOS22:AOT22 API22:APJ22 APY22:APZ22 AQO22:AQP22 ARE22:ARF22 ARU22:ARV22 ASK22:ASL22 ATA22:ATB22 ATQ22:ATR22 AUG22:AUH22 AUW22:AUX22 AVM22:AVN22 AWC22:AWD22 AWS22:AWT22 AXI22:AXJ22 AXY22:AXZ22 AYO22:AYP22 AZE22:AZF22 AZU22:AZV22 BAK22:BAL22 BBA22:BBB22 BBQ22:BBR22 BCG22:BCH22 BCW22:BCX22 BDM22:BDN22 BEC22:BED22 BES22:BET22 BFI22:BFJ22 BFY22:BFZ22 BGO22:BGP22 BHE22:BHF22 BHU22:BHV22 BIK22:BIL22 BJA22:BJB22 BJQ22:BJR22 BKG22:BKH22 BKW22:BKX22 BLM22:BLN22 BMC22:BMD22 BMS22:BMT22 BNI22:BNJ22 BNY22:BNZ22 BOO22:BOP22 BPE22:BPF22 BPU22:BPV22 BQK22:BQL22 BRA22:BRB22 BRQ22:BRR22 BSG22:BSH22 BSW22:BSX22 BTM22:BTN22 BUC22:BUD22 BUS22:BUT22 BVI22:BVJ22 BVY22:BVZ22 BWO22:BWP22 BXE22:BXF22 BXU22:BXV22 BYK22:BYL22 BZA22:BZB22 BZQ22:BZR22 CAG22:CAH22 CAW22:CAX22 CBM22:CBN22 CCC22:CCD22 CCS22:CCT22 CDI22:CDJ22 CDY22:CDZ22 CEO22:CEP22 CFE22:CFF22 CFU22:CFV22 CGK22:CGL22 CHA22:CHB22 CHQ22:CHR22 CIG22:CIH22 CIW22:CIX22 CJM22:CJN22 CKC22:CKD22 CKS22:CKT22 CLI22:CLJ22 CLY22:CLZ22 CMO22:CMP22 CNE22:CNF22 CNU22:CNV22 COK22:COL22 CPA22:CPB22 CPQ22:CPR22 CQG22:CQH22 CQW22:CQX22 CRM22:CRN22 CSC22:CSD22 CSS22:CST22 CTI22:CTJ22 CTY22:CTZ22 CUO22:CUP22 CVE22:CVF22 CVU22:CVV22 CWK22:CWL22 CXA22:CXB22 CXQ22:CXR22 CYG22:CYH22 CYW22:CYX22 CZM22:CZN22 DAC22:DAD22 DAS22:DAT22 DBI22:DBJ22 DBY22:DBZ22 DCO22:DCP22 DDE22:DDF22 DDU22:DDV22 DEK22:DEL22 DFA22:DFB22 DFQ22:DFR22 DGG22:DGH22 DGW22:DGX22 DHM22:DHN22 DIC22:DID22 DIS22:DIT22 DJI22:DJJ22 DJY22:DJZ22 DKO22:DKP22 DLE22:DLF22 DLU22:DLV22 DMK22:DML22 DNA22:DNB22 DNQ22:DNR22 DOG22:DOH22 DOW22:DOX22 DPM22:DPN22 DQC22:DQD22 DQS22:DQT22 DRI22:DRJ22 DRY22:DRZ22 DSO22:DSP22 DTE22:DTF22 DTU22:DTV22 DUK22:DUL22 DVA22:DVB22 DVQ22:DVR22 DWG22:DWH22 DWW22:DWX22 DXM22:DXN22 DYC22:DYD22 DYS22:DYT22 DZI22:DZJ22 DZY22:DZZ22 EAO22:EAP22 EBE22:EBF22 EBU22:EBV22 ECK22:ECL22 EDA22:EDB22 EDQ22:EDR22 EEG22:EEH22 EEW22:EEX22 EFM22:EFN22 EGC22:EGD22 EGS22:EGT22 EHI22:EHJ22 EHY22:EHZ22 EIO22:EIP22 EJE22:EJF22 EJU22:EJV22 EKK22:EKL22 ELA22:ELB22 ELQ22:ELR22 EMG22:EMH22 EMW22:EMX22 ENM22:ENN22 EOC22:EOD22 EOS22:EOT22 EPI22:EPJ22 EPY22:EPZ22 EQO22:EQP22 ERE22:ERF22 ERU22:ERV22 ESK22:ESL22 ETA22:ETB22 ETQ22:ETR22 EUG22:EUH22 EUW22:EUX22 EVM22:EVN22 EWC22:EWD22 EWS22:EWT22 EXI22:EXJ22 EXY22:EXZ22 EYO22:EYP22 EZE22:EZF22 EZU22:EZV22 FAK22:FAL22 FBA22:FBB22 FBQ22:FBR22 FCG22:FCH22 FCW22:FCX22 FDM22:FDN22 FEC22:FED22 FES22:FET22 FFI22:FFJ22 FFY22:FFZ22 FGO22:FGP22 FHE22:FHF22 FHU22:FHV22 FIK22:FIL22 FJA22:FJB22 FJQ22:FJR22 FKG22:FKH22 FKW22:FKX22 FLM22:FLN22 FMC22:FMD22 FMS22:FMT22 FNI22:FNJ22 FNY22:FNZ22 FOO22:FOP22 FPE22:FPF22 FPU22:FPV22 FQK22:FQL22 FRA22:FRB22 FRQ22:FRR22 FSG22:FSH22 FSW22:FSX22 FTM22:FTN22 FUC22:FUD22 FUS22:FUT22 FVI22:FVJ22 FVY22:FVZ22 FWO22:FWP22 FXE22:FXF22 FXU22:FXV22 FYK22:FYL22 FZA22:FZB22 FZQ22:FZR22 GAG22:GAH22 GAW22:GAX22 GBM22:GBN22 GCC22:GCD22 GCS22:GCT22 GDI22:GDJ22 GDY22:GDZ22 GEO22:GEP22 GFE22:GFF22 GFU22:GFV22 GGK22:GGL22 GHA22:GHB22 GHQ22:GHR22 GIG22:GIH22 GIW22:GIX22 GJM22:GJN22 GKC22:GKD22 GKS22:GKT22 GLI22:GLJ22 GLY22:GLZ22 GMO22:GMP22 GNE22:GNF22 GNU22:GNV22 GOK22:GOL22 GPA22:GPB22 GPQ22:GPR22 GQG22:GQH22 GQW22:GQX22 GRM22:GRN22 GSC22:GSD22 GSS22:GST22 GTI22:GTJ22 GTY22:GTZ22 GUO22:GUP22 GVE22:GVF22 GVU22:GVV22 GWK22:GWL22 GXA22:GXB22 GXQ22:GXR22 GYG22:GYH22 GYW22:GYX22 GZM22:GZN22 HAC22:HAD22 HAS22:HAT22 HBI22:HBJ22 HBY22:HBZ22 HCO22:HCP22 HDE22:HDF22 HDU22:HDV22 HEK22:HEL22 HFA22:HFB22 HFQ22:HFR22 HGG22:HGH22 HGW22:HGX22 HHM22:HHN22 HIC22:HID22 HIS22:HIT22 HJI22:HJJ22 HJY22:HJZ22 HKO22:HKP22 HLE22:HLF22 HLU22:HLV22 HMK22:HML22 HNA22:HNB22 HNQ22:HNR22 HOG22:HOH22 HOW22:HOX22 HPM22:HPN22 HQC22:HQD22 HQS22:HQT22 HRI22:HRJ22 HRY22:HRZ22 HSO22:HSP22 HTE22:HTF22 HTU22:HTV22 HUK22:HUL22 HVA22:HVB22 HVQ22:HVR22 HWG22:HWH22 HWW22:HWX22 HXM22:HXN22 HYC22:HYD22 HYS22:HYT22 HZI22:HZJ22 HZY22:HZZ22 IAO22:IAP22 IBE22:IBF22 IBU22:IBV22 ICK22:ICL22 IDA22:IDB22 IDQ22:IDR22 IEG22:IEH22 IEW22:IEX22 IFM22:IFN22 IGC22:IGD22 IGS22:IGT22 IHI22:IHJ22 IHY22:IHZ22 IIO22:IIP22 IJE22:IJF22 IJU22:IJV22 IKK22:IKL22 ILA22:ILB22 ILQ22:ILR22 IMG22:IMH22 IMW22:IMX22 INM22:INN22 IOC22:IOD22 IOS22:IOT22 IPI22:IPJ22 IPY22:IPZ22 IQO22:IQP22 IRE22:IRF22 IRU22:IRV22 ISK22:ISL22 ITA22:ITB22 ITQ22:ITR22 IUG22:IUH22 IUW22:IUX22 IVM22:IVN22 IWC22:IWD22 IWS22:IWT22 IXI22:IXJ22 IXY22:IXZ22 IYO22:IYP22 IZE22:IZF22 IZU22:IZV22 JAK22:JAL22 JBA22:JBB22 JBQ22:JBR22 JCG22:JCH22 JCW22:JCX22 JDM22:JDN22 JEC22:JED22 JES22:JET22 JFI22:JFJ22 JFY22:JFZ22 JGO22:JGP22 JHE22:JHF22 JHU22:JHV22 JIK22:JIL22 JJA22:JJB22 JJQ22:JJR22 JKG22:JKH22 JKW22:JKX22 JLM22:JLN22 JMC22:JMD22 JMS22:JMT22 JNI22:JNJ22 JNY22:JNZ22 JOO22:JOP22 JPE22:JPF22 JPU22:JPV22 JQK22:JQL22 JRA22:JRB22 JRQ22:JRR22 JSG22:JSH22 JSW22:JSX22 JTM22:JTN22 JUC22:JUD22 JUS22:JUT22 JVI22:JVJ22 JVY22:JVZ22 JWO22:JWP22 JXE22:JXF22 JXU22:JXV22 JYK22:JYL22 JZA22:JZB22 JZQ22:JZR22 KAG22:KAH22 KAW22:KAX22 KBM22:KBN22 KCC22:KCD22 KCS22:KCT22 KDI22:KDJ22 KDY22:KDZ22 KEO22:KEP22 KFE22:KFF22 KFU22:KFV22 KGK22:KGL22 KHA22:KHB22 KHQ22:KHR22 KIG22:KIH22 KIW22:KIX22 KJM22:KJN22 KKC22:KKD22 KKS22:KKT22 KLI22:KLJ22 KLY22:KLZ22 KMO22:KMP22 KNE22:KNF22 KNU22:KNV22 KOK22:KOL22 KPA22:KPB22 KPQ22:KPR22 KQG22:KQH22 KQW22:KQX22 KRM22:KRN22 KSC22:KSD22 KSS22:KST22 KTI22:KTJ22 KTY22:KTZ22 KUO22:KUP22 KVE22:KVF22 KVU22:KVV22 KWK22:KWL22 KXA22:KXB22 KXQ22:KXR22 KYG22:KYH22 KYW22:KYX22 KZM22:KZN22 LAC22:LAD22 LAS22:LAT22 LBI22:LBJ22 LBY22:LBZ22 LCO22:LCP22 LDE22:LDF22 LDU22:LDV22 LEK22:LEL22 LFA22:LFB22 LFQ22:LFR22 LGG22:LGH22 LGW22:LGX22 LHM22:LHN22 LIC22:LID22 LIS22:LIT22 LJI22:LJJ22 LJY22:LJZ22 LKO22:LKP22 LLE22:LLF22 LLU22:LLV22 LMK22:LML22 LNA22:LNB22 LNQ22:LNR22 LOG22:LOH22 LOW22:LOX22 LPM22:LPN22 LQC22:LQD22 LQS22:LQT22 LRI22:LRJ22 LRY22:LRZ22 LSO22:LSP22 LTE22:LTF22 LTU22:LTV22 LUK22:LUL22 LVA22:LVB22 LVQ22:LVR22 LWG22:LWH22 LWW22:LWX22 LXM22:LXN22 LYC22:LYD22 LYS22:LYT22 LZI22:LZJ22 LZY22:LZZ22 MAO22:MAP22 MBE22:MBF22 MBU22:MBV22 MCK22:MCL22 MDA22:MDB22 MDQ22:MDR22 MEG22:MEH22 MEW22:MEX22 MFM22:MFN22 MGC22:MGD22 MGS22:MGT22 MHI22:MHJ22 MHY22:MHZ22 MIO22:MIP22 MJE22:MJF22 MJU22:MJV22 MKK22:MKL22 MLA22:MLB22 MLQ22:MLR22 MMG22:MMH22 MMW22:MMX22 MNM22:MNN22 MOC22:MOD22 MOS22:MOT22 MPI22:MPJ22 MPY22:MPZ22 MQO22:MQP22 MRE22:MRF22 MRU22:MRV22 MSK22:MSL22 MTA22:MTB22 MTQ22:MTR22 MUG22:MUH22 MUW22:MUX22 MVM22:MVN22 MWC22:MWD22 MWS22:MWT22 MXI22:MXJ22 MXY22:MXZ22 MYO22:MYP22 MZE22:MZF22 MZU22:MZV22 NAK22:NAL22 NBA22:NBB22 NBQ22:NBR22 NCG22:NCH22 NCW22:NCX22 NDM22:NDN22 NEC22:NED22 NES22:NET22 NFI22:NFJ22 NFY22:NFZ22 NGO22:NGP22 NHE22:NHF22 NHU22:NHV22 NIK22:NIL22 NJA22:NJB22 NJQ22:NJR22 NKG22:NKH22 NKW22:NKX22 NLM22:NLN22 NMC22:NMD22 NMS22:NMT22 NNI22:NNJ22 NNY22:NNZ22 NOO22:NOP22 NPE22:NPF22 NPU22:NPV22 NQK22:NQL22 NRA22:NRB22 NRQ22:NRR22 NSG22:NSH22 NSW22:NSX22 NTM22:NTN22 NUC22:NUD22 NUS22:NUT22 NVI22:NVJ22 NVY22:NVZ22 NWO22:NWP22 NXE22:NXF22 NXU22:NXV22 NYK22:NYL22 NZA22:NZB22 NZQ22:NZR22 OAG22:OAH22 OAW22:OAX22 OBM22:OBN22 OCC22:OCD22 OCS22:OCT22 ODI22:ODJ22 ODY22:ODZ22 OEO22:OEP22 OFE22:OFF22 OFU22:OFV22 OGK22:OGL22 OHA22:OHB22 OHQ22:OHR22 OIG22:OIH22 OIW22:OIX22 OJM22:OJN22 OKC22:OKD22 OKS22:OKT22 OLI22:OLJ22 OLY22:OLZ22 OMO22:OMP22 ONE22:ONF22 ONU22:ONV22 OOK22:OOL22 OPA22:OPB22 OPQ22:OPR22 OQG22:OQH22 OQW22:OQX22 ORM22:ORN22 OSC22:OSD22 OSS22:OST22 OTI22:OTJ22 OTY22:OTZ22 OUO22:OUP22 OVE22:OVF22 OVU22:OVV22 OWK22:OWL22 OXA22:OXB22 OXQ22:OXR22 OYG22:OYH22 OYW22:OYX22 OZM22:OZN22 PAC22:PAD22 PAS22:PAT22 PBI22:PBJ22 PBY22:PBZ22 PCO22:PCP22 PDE22:PDF22 PDU22:PDV22 PEK22:PEL22 PFA22:PFB22 PFQ22:PFR22 PGG22:PGH22 PGW22:PGX22 PHM22:PHN22 PIC22:PID22 PIS22:PIT22 PJI22:PJJ22 PJY22:PJZ22 PKO22:PKP22 PLE22:PLF22 PLU22:PLV22 PMK22:PML22 PNA22:PNB22 PNQ22:PNR22 POG22:POH22 POW22:POX22 PPM22:PPN22 PQC22:PQD22 PQS22:PQT22 PRI22:PRJ22 PRY22:PRZ22 PSO22:PSP22 PTE22:PTF22 PTU22:PTV22 PUK22:PUL22 PVA22:PVB22 PVQ22:PVR22 PWG22:PWH22 PWW22:PWX22 PXM22:PXN22 PYC22:PYD22 PYS22:PYT22 PZI22:PZJ22 PZY22:PZZ22 QAO22:QAP22 QBE22:QBF22 QBU22:QBV22 QCK22:QCL22 QDA22:QDB22 QDQ22:QDR22 QEG22:QEH22 QEW22:QEX22 QFM22:QFN22 QGC22:QGD22 QGS22:QGT22 QHI22:QHJ22 QHY22:QHZ22 QIO22:QIP22 QJE22:QJF22 QJU22:QJV22 QKK22:QKL22 QLA22:QLB22 QLQ22:QLR22 QMG22:QMH22 QMW22:QMX22 QNM22:QNN22 QOC22:QOD22 QOS22:QOT22 QPI22:QPJ22 QPY22:QPZ22 QQO22:QQP22 QRE22:QRF22 QRU22:QRV22 QSK22:QSL22 QTA22:QTB22 QTQ22:QTR22 QUG22:QUH22 QUW22:QUX22 QVM22:QVN22 QWC22:QWD22 QWS22:QWT22 QXI22:QXJ22 QXY22:QXZ22 QYO22:QYP22 QZE22:QZF22 QZU22:QZV22 RAK22:RAL22 RBA22:RBB22 RBQ22:RBR22 RCG22:RCH22 RCW22:RCX22 RDM22:RDN22 REC22:RED22 RES22:RET22 RFI22:RFJ22 RFY22:RFZ22 RGO22:RGP22 RHE22:RHF22 RHU22:RHV22 RIK22:RIL22 RJA22:RJB22 RJQ22:RJR22 RKG22:RKH22 RKW22:RKX22 RLM22:RLN22 RMC22:RMD22 RMS22:RMT22 RNI22:RNJ22 RNY22:RNZ22 ROO22:ROP22 RPE22:RPF22 RPU22:RPV22 RQK22:RQL22 RRA22:RRB22 RRQ22:RRR22 RSG22:RSH22 RSW22:RSX22 RTM22:RTN22 RUC22:RUD22 RUS22:RUT22 RVI22:RVJ22 RVY22:RVZ22 RWO22:RWP22 RXE22:RXF22 RXU22:RXV22 RYK22:RYL22 RZA22:RZB22 RZQ22:RZR22 SAG22:SAH22 SAW22:SAX22 SBM22:SBN22 SCC22:SCD22 SCS22:SCT22 SDI22:SDJ22 SDY22:SDZ22 SEO22:SEP22 SFE22:SFF22 SFU22:SFV22 SGK22:SGL22 SHA22:SHB22 SHQ22:SHR22 SIG22:SIH22 SIW22:SIX22 SJM22:SJN22 SKC22:SKD22 SKS22:SKT22 SLI22:SLJ22 SLY22:SLZ22 SMO22:SMP22 SNE22:SNF22 SNU22:SNV22 SOK22:SOL22 SPA22:SPB22 SPQ22:SPR22 SQG22:SQH22 SQW22:SQX22 SRM22:SRN22 SSC22:SSD22 SSS22:SST22 STI22:STJ22 STY22:STZ22 SUO22:SUP22 SVE22:SVF22 SVU22:SVV22 SWK22:SWL22 SXA22:SXB22 SXQ22:SXR22 SYG22:SYH22 SYW22:SYX22 SZM22:SZN22 TAC22:TAD22 TAS22:TAT22 TBI22:TBJ22 TBY22:TBZ22 TCO22:TCP22 TDE22:TDF22 TDU22:TDV22 TEK22:TEL22 TFA22:TFB22 TFQ22:TFR22 TGG22:TGH22 TGW22:TGX22 THM22:THN22 TIC22:TID22 TIS22:TIT22 TJI22:TJJ22 TJY22:TJZ22 TKO22:TKP22 TLE22:TLF22 TLU22:TLV22 TMK22:TML22 TNA22:TNB22 TNQ22:TNR22 TOG22:TOH22 TOW22:TOX22 TPM22:TPN22 TQC22:TQD22 TQS22:TQT22 TRI22:TRJ22 TRY22:TRZ22 TSO22:TSP22 TTE22:TTF22 TTU22:TTV22 TUK22:TUL22 TVA22:TVB22 TVQ22:TVR22 TWG22:TWH22 TWW22:TWX22 TXM22:TXN22 TYC22:TYD22 TYS22:TYT22 TZI22:TZJ22 TZY22:TZZ22 UAO22:UAP22 UBE22:UBF22 UBU22:UBV22 UCK22:UCL22 UDA22:UDB22 UDQ22:UDR22 UEG22:UEH22 UEW22:UEX22 UFM22:UFN22 UGC22:UGD22 UGS22:UGT22 UHI22:UHJ22 UHY22:UHZ22 UIO22:UIP22 UJE22:UJF22 UJU22:UJV22 UKK22:UKL22 ULA22:ULB22 ULQ22:ULR22 UMG22:UMH22 UMW22:UMX22 UNM22:UNN22 UOC22:UOD22 UOS22:UOT22 UPI22:UPJ22 UPY22:UPZ22 UQO22:UQP22 URE22:URF22 URU22:URV22 USK22:USL22 UTA22:UTB22 UTQ22:UTR22 UUG22:UUH22 UUW22:UUX22 UVM22:UVN22 UWC22:UWD22 UWS22:UWT22 UXI22:UXJ22 UXY22:UXZ22 UYO22:UYP22 UZE22:UZF22 UZU22:UZV22 VAK22:VAL22 VBA22:VBB22 VBQ22:VBR22 VCG22:VCH22 VCW22:VCX22 VDM22:VDN22 VEC22:VED22 VES22:VET22 VFI22:VFJ22 VFY22:VFZ22 VGO22:VGP22 VHE22:VHF22 VHU22:VHV22 VIK22:VIL22 VJA22:VJB22 VJQ22:VJR22 VKG22:VKH22 VKW22:VKX22 VLM22:VLN22 VMC22:VMD22 VMS22:VMT22 VNI22:VNJ22 VNY22:VNZ22 VOO22:VOP22 VPE22:VPF22 VPU22:VPV22 VQK22:VQL22 VRA22:VRB22 VRQ22:VRR22 VSG22:VSH22 VSW22:VSX22 VTM22:VTN22 VUC22:VUD22 VUS22:VUT22 VVI22:VVJ22 VVY22:VVZ22 VWO22:VWP22 VXE22:VXF22 VXU22:VXV22 VYK22:VYL22 VZA22:VZB22 VZQ22:VZR22 WAG22:WAH22 WAW22:WAX22 WBM22:WBN22 WCC22:WCD22 WCS22:WCT22 WDI22:WDJ22 WDY22:WDZ22 WEO22:WEP22 WFE22:WFF22 WFU22:WFV22 WGK22:WGL22 WHA22:WHB22 WHQ22:WHR22 WIG22:WIH22 WIW22:WIX22 WJM22:WJN22 WKC22:WKD22 WKS22:WKT22 WLI22:WLJ22 WLY22:WLZ22 WMO22:WMP22 WNE22:WNF22 WNU22:WNV22 WOK22:WOL22 WPA22:WPB22 WPQ22:WPR22 WQG22:WQH22 WQW22:WQX22 WRM22:WRN22 WSC22:WSD22 WSS22:WST22 WTI22:WTJ22 WTY22:WTZ22 WUO22:WUP22 WVE22:WVF22 WVU22:WVV22 WWK22:WWL22 WXA22:WXB22 WXQ22:WXR22 WYG22:WYH22 WYW22:WYX22 WZM22:WZN22 XAC22:XAD22 XAS22:XAT22 XBI22:XBJ22 XBY22:XBZ22 XCO22:XCP22 M38:N38 AC38:AD38 K30:K31 F30:F31 M40:N155</xm:sqref>
        </x14:dataValidation>
        <x14:dataValidation type="list" errorStyle="information" allowBlank="1" showInputMessage="1" showErrorMessage="1" xr:uid="{C567852B-3B5F-4C85-818E-3CF7125893ED}">
          <x14:formula1>
            <xm:f>Cadastros!$I$12:$I$21</xm:f>
          </x14:formula1>
          <xm:sqref>XEV22 XCZ22 XDP22 XEF22 BD22 BT22 CJ22 CZ22 DP22 EF22 EV22 FL22 GB22 GR22 HH22 HX22 IN22 JD22 JT22 KJ22 KZ22 LP22 MF22 MV22 NL22 OB22 OR22 PH22 PX22 QN22 RD22 RT22 SJ22 SZ22 TP22 UF22 UV22 VL22 WB22 WR22 XH22 XX22 YN22 ZD22 ZT22 AAJ22 AAZ22 ABP22 ACF22 ACV22 ADL22 AEB22 AER22 AFH22 AFX22 AGN22 AHD22 AHT22 AIJ22 AIZ22 AJP22 AKF22 AKV22 ALL22 AMB22 AMR22 ANH22 ANX22 AON22 APD22 APT22 AQJ22 AQZ22 ARP22 ASF22 ASV22 ATL22 AUB22 AUR22 AVH22 AVX22 AWN22 AXD22 AXT22 AYJ22 AYZ22 AZP22 BAF22 BAV22 BBL22 BCB22 BCR22 BDH22 BDX22 BEN22 BFD22 BFT22 BGJ22 BGZ22 BHP22 BIF22 BIV22 BJL22 BKB22 BKR22 BLH22 BLX22 BMN22 BND22 BNT22 BOJ22 BOZ22 BPP22 BQF22 BQV22 BRL22 BSB22 BSR22 BTH22 BTX22 BUN22 BVD22 BVT22 BWJ22 BWZ22 BXP22 BYF22 BYV22 BZL22 CAB22 CAR22 CBH22 CBX22 CCN22 CDD22 CDT22 CEJ22 CEZ22 CFP22 CGF22 CGV22 CHL22 CIB22 CIR22 CJH22 CJX22 CKN22 CLD22 CLT22 CMJ22 CMZ22 CNP22 COF22 COV22 CPL22 CQB22 CQR22 CRH22 CRX22 CSN22 CTD22 CTT22 CUJ22 CUZ22 CVP22 CWF22 CWV22 CXL22 CYB22 CYR22 CZH22 CZX22 DAN22 DBD22 DBT22 DCJ22 DCZ22 DDP22 DEF22 DEV22 DFL22 DGB22 DGR22 DHH22 DHX22 DIN22 DJD22 DJT22 DKJ22 DKZ22 DLP22 DMF22 DMV22 DNL22 DOB22 DOR22 DPH22 DPX22 DQN22 DRD22 DRT22 DSJ22 DSZ22 DTP22 DUF22 DUV22 DVL22 DWB22 DWR22 DXH22 DXX22 DYN22 DZD22 DZT22 EAJ22 EAZ22 EBP22 ECF22 ECV22 EDL22 EEB22 EER22 EFH22 EFX22 EGN22 EHD22 EHT22 EIJ22 EIZ22 EJP22 EKF22 EKV22 ELL22 EMB22 EMR22 ENH22 ENX22 EON22 EPD22 EPT22 EQJ22 EQZ22 ERP22 ESF22 ESV22 ETL22 EUB22 EUR22 EVH22 EVX22 EWN22 EXD22 EXT22 EYJ22 EYZ22 EZP22 FAF22 FAV22 FBL22 FCB22 FCR22 FDH22 FDX22 FEN22 FFD22 FFT22 FGJ22 FGZ22 FHP22 FIF22 FIV22 FJL22 FKB22 FKR22 FLH22 FLX22 FMN22 FND22 FNT22 FOJ22 FOZ22 FPP22 FQF22 FQV22 FRL22 FSB22 FSR22 FTH22 FTX22 FUN22 FVD22 FVT22 FWJ22 FWZ22 FXP22 FYF22 FYV22 FZL22 GAB22 GAR22 GBH22 GBX22 GCN22 GDD22 GDT22 GEJ22 GEZ22 GFP22 GGF22 GGV22 GHL22 GIB22 GIR22 GJH22 GJX22 GKN22 GLD22 GLT22 GMJ22 GMZ22 GNP22 GOF22 GOV22 GPL22 GQB22 GQR22 GRH22 GRX22 GSN22 GTD22 GTT22 GUJ22 GUZ22 GVP22 GWF22 GWV22 GXL22 GYB22 GYR22 GZH22 GZX22 HAN22 HBD22 HBT22 HCJ22 HCZ22 HDP22 HEF22 HEV22 HFL22 HGB22 HGR22 HHH22 HHX22 HIN22 HJD22 HJT22 HKJ22 HKZ22 HLP22 HMF22 HMV22 HNL22 HOB22 HOR22 HPH22 HPX22 HQN22 HRD22 HRT22 HSJ22 HSZ22 HTP22 HUF22 HUV22 HVL22 HWB22 HWR22 HXH22 HXX22 HYN22 HZD22 HZT22 IAJ22 IAZ22 IBP22 ICF22 ICV22 IDL22 IEB22 IER22 IFH22 IFX22 IGN22 IHD22 IHT22 IIJ22 IIZ22 IJP22 IKF22 IKV22 ILL22 IMB22 IMR22 INH22 INX22 ION22 IPD22 IPT22 IQJ22 IQZ22 IRP22 ISF22 ISV22 ITL22 IUB22 IUR22 IVH22 IVX22 IWN22 IXD22 IXT22 IYJ22 IYZ22 IZP22 JAF22 JAV22 JBL22 JCB22 JCR22 JDH22 JDX22 JEN22 JFD22 JFT22 JGJ22 JGZ22 JHP22 JIF22 JIV22 JJL22 JKB22 JKR22 JLH22 JLX22 JMN22 JND22 JNT22 JOJ22 JOZ22 JPP22 JQF22 JQV22 JRL22 JSB22 JSR22 JTH22 JTX22 JUN22 JVD22 JVT22 JWJ22 JWZ22 JXP22 JYF22 JYV22 JZL22 KAB22 KAR22 KBH22 KBX22 KCN22 KDD22 KDT22 KEJ22 KEZ22 KFP22 KGF22 KGV22 KHL22 KIB22 KIR22 KJH22 KJX22 KKN22 KLD22 KLT22 KMJ22 KMZ22 KNP22 KOF22 KOV22 KPL22 KQB22 KQR22 KRH22 KRX22 KSN22 KTD22 KTT22 KUJ22 KUZ22 KVP22 KWF22 KWV22 KXL22 KYB22 KYR22 KZH22 KZX22 LAN22 LBD22 LBT22 LCJ22 LCZ22 LDP22 LEF22 LEV22 LFL22 LGB22 LGR22 LHH22 LHX22 LIN22 LJD22 LJT22 LKJ22 LKZ22 LLP22 LMF22 LMV22 LNL22 LOB22 LOR22 LPH22 LPX22 LQN22 LRD22 LRT22 LSJ22 LSZ22 LTP22 LUF22 LUV22 LVL22 LWB22 LWR22 LXH22 LXX22 LYN22 LZD22 LZT22 MAJ22 MAZ22 MBP22 MCF22 MCV22 MDL22 MEB22 MER22 MFH22 MFX22 MGN22 MHD22 MHT22 MIJ22 MIZ22 MJP22 MKF22 MKV22 MLL22 MMB22 MMR22 MNH22 MNX22 MON22 MPD22 MPT22 MQJ22 MQZ22 MRP22 MSF22 MSV22 MTL22 MUB22 MUR22 MVH22 MVX22 MWN22 MXD22 MXT22 MYJ22 MYZ22 MZP22 NAF22 NAV22 NBL22 NCB22 NCR22 NDH22 NDX22 NEN22 NFD22 NFT22 NGJ22 NGZ22 NHP22 NIF22 NIV22 NJL22 NKB22 NKR22 NLH22 NLX22 NMN22 NND22 NNT22 NOJ22 NOZ22 NPP22 NQF22 NQV22 NRL22 NSB22 NSR22 NTH22 NTX22 NUN22 NVD22 NVT22 NWJ22 NWZ22 NXP22 NYF22 NYV22 NZL22 OAB22 OAR22 OBH22 OBX22 OCN22 ODD22 ODT22 OEJ22 OEZ22 OFP22 OGF22 OGV22 OHL22 OIB22 OIR22 OJH22 OJX22 OKN22 OLD22 OLT22 OMJ22 OMZ22 ONP22 OOF22 OOV22 OPL22 OQB22 OQR22 ORH22 ORX22 OSN22 OTD22 OTT22 OUJ22 OUZ22 OVP22 OWF22 OWV22 OXL22 OYB22 OYR22 OZH22 OZX22 PAN22 PBD22 PBT22 PCJ22 PCZ22 PDP22 PEF22 PEV22 PFL22 PGB22 PGR22 PHH22 PHX22 PIN22 PJD22 PJT22 PKJ22 PKZ22 PLP22 PMF22 PMV22 PNL22 POB22 POR22 PPH22 PPX22 PQN22 PRD22 PRT22 PSJ22 PSZ22 PTP22 PUF22 PUV22 PVL22 PWB22 PWR22 PXH22 PXX22 PYN22 PZD22 PZT22 QAJ22 QAZ22 QBP22 QCF22 QCV22 QDL22 QEB22 QER22 QFH22 QFX22 QGN22 QHD22 QHT22 QIJ22 QIZ22 QJP22 QKF22 QKV22 QLL22 QMB22 QMR22 QNH22 QNX22 QON22 QPD22 QPT22 QQJ22 QQZ22 QRP22 QSF22 QSV22 QTL22 QUB22 QUR22 QVH22 QVX22 QWN22 QXD22 QXT22 QYJ22 QYZ22 QZP22 RAF22 RAV22 RBL22 RCB22 RCR22 RDH22 RDX22 REN22 RFD22 RFT22 RGJ22 RGZ22 RHP22 RIF22 RIV22 RJL22 RKB22 RKR22 RLH22 RLX22 RMN22 RND22 RNT22 ROJ22 ROZ22 RPP22 RQF22 RQV22 RRL22 RSB22 RSR22 RTH22 RTX22 RUN22 RVD22 RVT22 RWJ22 RWZ22 RXP22 RYF22 RYV22 RZL22 SAB22 SAR22 SBH22 SBX22 SCN22 SDD22 SDT22 SEJ22 SEZ22 SFP22 SGF22 SGV22 SHL22 SIB22 SIR22 SJH22 SJX22 SKN22 SLD22 SLT22 SMJ22 SMZ22 SNP22 SOF22 SOV22 SPL22 SQB22 SQR22 SRH22 SRX22 SSN22 STD22 STT22 SUJ22 SUZ22 SVP22 SWF22 SWV22 SXL22 SYB22 SYR22 SZH22 SZX22 TAN22 TBD22 TBT22 TCJ22 TCZ22 TDP22 TEF22 TEV22 TFL22 TGB22 TGR22 THH22 THX22 TIN22 TJD22 TJT22 TKJ22 TKZ22 TLP22 TMF22 TMV22 TNL22 TOB22 TOR22 TPH22 TPX22 TQN22 TRD22 TRT22 TSJ22 TSZ22 TTP22 TUF22 TUV22 TVL22 TWB22 TWR22 TXH22 TXX22 TYN22 TZD22 TZT22 UAJ22 UAZ22 UBP22 UCF22 UCV22 UDL22 UEB22 UER22 UFH22 UFX22 UGN22 UHD22 UHT22 UIJ22 UIZ22 UJP22 UKF22 UKV22 ULL22 UMB22 UMR22 UNH22 UNX22 UON22 UPD22 UPT22 UQJ22 UQZ22 URP22 USF22 USV22 UTL22 UUB22 UUR22 UVH22 UVX22 UWN22 UXD22 UXT22 UYJ22 UYZ22 UZP22 VAF22 VAV22 VBL22 VCB22 VCR22 VDH22 VDX22 VEN22 VFD22 VFT22 VGJ22 VGZ22 VHP22 VIF22 VIV22 VJL22 VKB22 VKR22 VLH22 VLX22 VMN22 VND22 VNT22 VOJ22 VOZ22 VPP22 VQF22 VQV22 VRL22 VSB22 VSR22 VTH22 VTX22 VUN22 VVD22 VVT22 VWJ22 VWZ22 VXP22 VYF22 VYV22 VZL22 WAB22 WAR22 WBH22 WBX22 WCN22 WDD22 WDT22 WEJ22 WEZ22 WFP22 WGF22 WGV22 WHL22 WIB22 WIR22 WJH22 WJX22 WKN22 WLD22 WLT22 WMJ22 WMZ22 WNP22 WOF22 WOV22 WPL22 WQB22 WQR22 WRH22 WRX22 WSN22 WTD22 WTT22 WUJ22 WUZ22 WVP22 WWF22 WWV22 WXL22 WYB22 WYR22 WZH22 WZX22 XAN22 XBD22 XBT22 XCJ22 H38 K25</xm:sqref>
        </x14:dataValidation>
        <x14:dataValidation type="list" showInputMessage="1" showErrorMessage="1" xr:uid="{E2D883FE-7796-4712-804D-597264C60DAC}">
          <x14:formula1>
            <xm:f>Cadastros!$C$12:$C$16</xm:f>
          </x14:formula1>
          <xm:sqref>XES22 BA22 XEC22 XDM22 XCW22 XCG22 XBQ22 XBA22 XAK22 WZU22 WZE22 WYO22 WXY22 WXI22 WWS22 WWC22 WVM22 WUW22 WUG22 WTQ22 WTA22 WSK22 WRU22 WRE22 WQO22 WPY22 WPI22 WOS22 WOC22 WNM22 WMW22 WMG22 WLQ22 WLA22 WKK22 WJU22 WJE22 WIO22 WHY22 WHI22 WGS22 WGC22 WFM22 WEW22 WEG22 WDQ22 WDA22 WCK22 WBU22 WBE22 WAO22 VZY22 VZI22 VYS22 VYC22 VXM22 VWW22 VWG22 VVQ22 VVA22 VUK22 VTU22 VTE22 VSO22 VRY22 VRI22 VQS22 VQC22 VPM22 VOW22 VOG22 VNQ22 VNA22 VMK22 VLU22 VLE22 VKO22 VJY22 VJI22 VIS22 VIC22 VHM22 VGW22 VGG22 VFQ22 VFA22 VEK22 VDU22 VDE22 VCO22 VBY22 VBI22 VAS22 VAC22 UZM22 UYW22 UYG22 UXQ22 UXA22 UWK22 UVU22 UVE22 UUO22 UTY22 UTI22 USS22 USC22 URM22 UQW22 UQG22 UPQ22 UPA22 UOK22 UNU22 UNE22 UMO22 ULY22 ULI22 UKS22 UKC22 UJM22 UIW22 UIG22 UHQ22 UHA22 UGK22 UFU22 UFE22 UEO22 UDY22 UDI22 UCS22 UCC22 UBM22 UAW22 UAG22 TZQ22 TZA22 TYK22 TXU22 TXE22 TWO22 TVY22 TVI22 TUS22 TUC22 TTM22 TSW22 TSG22 TRQ22 TRA22 TQK22 TPU22 TPE22 TOO22 TNY22 TNI22 TMS22 TMC22 TLM22 TKW22 TKG22 TJQ22 TJA22 TIK22 THU22 THE22 TGO22 TFY22 TFI22 TES22 TEC22 TDM22 TCW22 TCG22 TBQ22 TBA22 TAK22 SZU22 SZE22 SYO22 SXY22 SXI22 SWS22 SWC22 SVM22 SUW22 SUG22 STQ22 STA22 SSK22 SRU22 SRE22 SQO22 SPY22 SPI22 SOS22 SOC22 SNM22 SMW22 SMG22 SLQ22 SLA22 SKK22 SJU22 SJE22 SIO22 SHY22 SHI22 SGS22 SGC22 SFM22 SEW22 SEG22 SDQ22 SDA22 SCK22 SBU22 SBE22 SAO22 RZY22 RZI22 RYS22 RYC22 RXM22 RWW22 RWG22 RVQ22 RVA22 RUK22 RTU22 RTE22 RSO22 RRY22 RRI22 RQS22 RQC22 RPM22 ROW22 ROG22 RNQ22 RNA22 RMK22 RLU22 RLE22 RKO22 RJY22 RJI22 RIS22 RIC22 RHM22 RGW22 RGG22 RFQ22 RFA22 REK22 RDU22 RDE22 RCO22 RBY22 RBI22 RAS22 RAC22 QZM22 QYW22 QYG22 QXQ22 QXA22 QWK22 QVU22 QVE22 QUO22 QTY22 QTI22 QSS22 QSC22 QRM22 QQW22 QQG22 QPQ22 QPA22 QOK22 QNU22 QNE22 QMO22 QLY22 QLI22 QKS22 QKC22 QJM22 QIW22 QIG22 QHQ22 QHA22 QGK22 QFU22 QFE22 QEO22 QDY22 QDI22 QCS22 QCC22 QBM22 QAW22 QAG22 PZQ22 PZA22 PYK22 PXU22 PXE22 PWO22 PVY22 PVI22 PUS22 PUC22 PTM22 PSW22 PSG22 PRQ22 PRA22 PQK22 PPU22 PPE22 POO22 PNY22 PNI22 PMS22 PMC22 PLM22 PKW22 PKG22 PJQ22 PJA22 PIK22 PHU22 PHE22 PGO22 PFY22 PFI22 PES22 PEC22 PDM22 PCW22 PCG22 PBQ22 PBA22 PAK22 OZU22 OZE22 OYO22 OXY22 OXI22 OWS22 OWC22 OVM22 OUW22 OUG22 OTQ22 OTA22 OSK22 ORU22 ORE22 OQO22 OPY22 OPI22 OOS22 OOC22 ONM22 OMW22 OMG22 OLQ22 OLA22 OKK22 OJU22 OJE22 OIO22 OHY22 OHI22 OGS22 OGC22 OFM22 OEW22 OEG22 ODQ22 ODA22 OCK22 OBU22 OBE22 OAO22 NZY22 NZI22 NYS22 NYC22 NXM22 NWW22 NWG22 NVQ22 NVA22 NUK22 NTU22 NTE22 NSO22 NRY22 NRI22 NQS22 NQC22 NPM22 NOW22 NOG22 NNQ22 NNA22 NMK22 NLU22 NLE22 NKO22 NJY22 NJI22 NIS22 NIC22 NHM22 NGW22 NGG22 NFQ22 NFA22 NEK22 NDU22 NDE22 NCO22 NBY22 NBI22 NAS22 NAC22 MZM22 MYW22 MYG22 MXQ22 MXA22 MWK22 MVU22 MVE22 MUO22 MTY22 MTI22 MSS22 MSC22 MRM22 MQW22 MQG22 MPQ22 MPA22 MOK22 MNU22 MNE22 MMO22 MLY22 MLI22 MKS22 MKC22 MJM22 MIW22 MIG22 MHQ22 MHA22 MGK22 MFU22 MFE22 MEO22 MDY22 MDI22 MCS22 MCC22 MBM22 MAW22 MAG22 LZQ22 LZA22 LYK22 LXU22 LXE22 LWO22 LVY22 LVI22 LUS22 LUC22 LTM22 LSW22 LSG22 LRQ22 LRA22 LQK22 LPU22 LPE22 LOO22 LNY22 LNI22 LMS22 LMC22 LLM22 LKW22 LKG22 LJQ22 LJA22 LIK22 LHU22 LHE22 LGO22 LFY22 LFI22 LES22 LEC22 LDM22 LCW22 LCG22 LBQ22 LBA22 LAK22 KZU22 KZE22 KYO22 KXY22 KXI22 KWS22 KWC22 KVM22 KUW22 KUG22 KTQ22 KTA22 KSK22 KRU22 KRE22 KQO22 KPY22 KPI22 KOS22 KOC22 KNM22 KMW22 KMG22 KLQ22 KLA22 KKK22 KJU22 KJE22 KIO22 KHY22 KHI22 KGS22 KGC22 KFM22 KEW22 KEG22 KDQ22 KDA22 KCK22 KBU22 KBE22 KAO22 JZY22 JZI22 JYS22 JYC22 JXM22 JWW22 JWG22 JVQ22 JVA22 JUK22 JTU22 JTE22 JSO22 JRY22 JRI22 JQS22 JQC22 JPM22 JOW22 JOG22 JNQ22 JNA22 JMK22 JLU22 JLE22 JKO22 JJY22 JJI22 JIS22 JIC22 JHM22 JGW22 JGG22 JFQ22 JFA22 JEK22 JDU22 JDE22 JCO22 JBY22 JBI22 JAS22 JAC22 IZM22 IYW22 IYG22 IXQ22 IXA22 IWK22 IVU22 IVE22 IUO22 ITY22 ITI22 ISS22 ISC22 IRM22 IQW22 IQG22 IPQ22 IPA22 IOK22 INU22 INE22 IMO22 ILY22 ILI22 IKS22 IKC22 IJM22 IIW22 IIG22 IHQ22 IHA22 IGK22 IFU22 IFE22 IEO22 IDY22 IDI22 ICS22 ICC22 IBM22 IAW22 IAG22 HZQ22 HZA22 HYK22 HXU22 HXE22 HWO22 HVY22 HVI22 HUS22 HUC22 HTM22 HSW22 HSG22 HRQ22 HRA22 HQK22 HPU22 HPE22 HOO22 HNY22 HNI22 HMS22 HMC22 HLM22 HKW22 HKG22 HJQ22 HJA22 HIK22 HHU22 HHE22 HGO22 HFY22 HFI22 HES22 HEC22 HDM22 HCW22 HCG22 HBQ22 HBA22 HAK22 GZU22 GZE22 GYO22 GXY22 GXI22 GWS22 GWC22 GVM22 GUW22 GUG22 GTQ22 GTA22 GSK22 GRU22 GRE22 GQO22 GPY22 GPI22 GOS22 GOC22 GNM22 GMW22 GMG22 GLQ22 GLA22 GKK22 GJU22 GJE22 GIO22 GHY22 GHI22 GGS22 GGC22 GFM22 GEW22 GEG22 GDQ22 GDA22 GCK22 GBU22 GBE22 GAO22 FZY22 FZI22 FYS22 FYC22 FXM22 FWW22 FWG22 FVQ22 FVA22 FUK22 FTU22 FTE22 FSO22 FRY22 FRI22 FQS22 FQC22 FPM22 FOW22 FOG22 FNQ22 FNA22 FMK22 FLU22 FLE22 FKO22 FJY22 FJI22 FIS22 FIC22 FHM22 FGW22 FGG22 FFQ22 FFA22 FEK22 FDU22 FDE22 FCO22 FBY22 FBI22 FAS22 FAC22 EZM22 EYW22 EYG22 EXQ22 EXA22 EWK22 EVU22 EVE22 EUO22 ETY22 ETI22 ESS22 ESC22 ERM22 EQW22 EQG22 EPQ22 EPA22 EOK22 ENU22 ENE22 EMO22 ELY22 ELI22 EKS22 EKC22 EJM22 EIW22 EIG22 EHQ22 EHA22 EGK22 EFU22 EFE22 EEO22 EDY22 EDI22 ECS22 ECC22 EBM22 EAW22 EAG22 DZQ22 DZA22 DYK22 DXU22 DXE22 DWO22 DVY22 DVI22 DUS22 DUC22 DTM22 DSW22 DSG22 DRQ22 DRA22 DQK22 DPU22 DPE22 DOO22 DNY22 DNI22 DMS22 DMC22 DLM22 DKW22 DKG22 DJQ22 DJA22 DIK22 DHU22 DHE22 DGO22 DFY22 DFI22 DES22 DEC22 DDM22 DCW22 DCG22 DBQ22 DBA22 DAK22 CZU22 CZE22 CYO22 CXY22 CXI22 CWS22 CWC22 CVM22 CUW22 CUG22 CTQ22 CTA22 CSK22 CRU22 CRE22 CQO22 CPY22 CPI22 COS22 COC22 CNM22 CMW22 CMG22 CLQ22 CLA22 CKK22 CJU22 CJE22 CIO22 CHY22 CHI22 CGS22 CGC22 CFM22 CEW22 CEG22 CDQ22 CDA22 CCK22 CBU22 CBE22 CAO22 BZY22 BZI22 BYS22 BYC22 BXM22 BWW22 BWG22 BVQ22 BVA22 BUK22 BTU22 BTE22 BSO22 BRY22 BRI22 BQS22 BQC22 BPM22 BOW22 BOG22 BNQ22 BNA22 BMK22 BLU22 BLE22 BKO22 BJY22 BJI22 BIS22 BIC22 BHM22 BGW22 BGG22 BFQ22 BFA22 BEK22 BDU22 BDE22 BCO22 BBY22 BBI22 BAS22 BAC22 AZM22 AYW22 AYG22 AXQ22 AXA22 AWK22 AVU22 AVE22 AUO22 ATY22 ATI22 ASS22 ASC22 ARM22 AQW22 AQG22 APQ22 APA22 AOK22 ANU22 ANE22 AMO22 ALY22 ALI22 AKS22 AKC22 AJM22 AIW22 AIG22 AHQ22 AHA22 AGK22 AFU22 AFE22 AEO22 ADY22 ADI22 ACS22 ACC22 ABM22 AAW22 AAG22 ZQ22 ZA22 YK22 XU22 XE22 WO22 VY22 VI22 US22 UC22 TM22 SW22 SG22 RQ22 RA22 QK22 PU22 PE22 OO22 NY22 NI22 MS22 MC22 LM22 KW22 KG22 JQ22 JA22 IK22 HU22 HE22 GO22 FY22 FI22 ES22 EC22 DM22 CW22 CG22 BQ22 K22 AK38 E38 F22 E40:E155</xm:sqref>
        </x14:dataValidation>
        <x14:dataValidation type="list" errorStyle="information" allowBlank="1" showInputMessage="1" showErrorMessage="1" xr:uid="{1E2BD422-7568-4D3B-B53C-0F12EB9C7E40}">
          <x14:formula1>
            <xm:f>Cadastros!$I$12:$I$36</xm:f>
          </x14:formula1>
          <xm:sqref>F25 H40:H155</xm:sqref>
        </x14:dataValidation>
        <x14:dataValidation type="list" allowBlank="1" showInputMessage="1" showErrorMessage="1" xr:uid="{8E85BE27-DA8B-4C5F-AFFF-8045CB4C4BF8}">
          <x14:formula1>
            <xm:f>Cadastros!$N$12:$N$19</xm:f>
          </x14:formula1>
          <xm:sqref>F26 I40:I155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EC9-9611-41B0-997F-157D3DF9E139}">
  <sheetPr codeName="Planilha12"/>
  <dimension ref="A1:AT169"/>
  <sheetViews>
    <sheetView topLeftCell="A23" zoomScale="85" zoomScaleNormal="85" workbookViewId="0">
      <selection activeCell="A40" sqref="A40:AT169"/>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109.28515625" customWidth="1"/>
    <col min="8" max="8" width="15.28515625" bestFit="1" customWidth="1"/>
    <col min="9" max="9" width="12.28515625" bestFit="1" customWidth="1"/>
    <col min="10" max="10" width="9.28515625" customWidth="1"/>
    <col min="11" max="11" width="6.28515625" bestFit="1" customWidth="1"/>
    <col min="12" max="12" width="14.28515625" bestFit="1" customWidth="1"/>
    <col min="13" max="13" width="16.8554687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COUNTA(B$40:B321)</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COUNTIFS(H$39:H439,U5,K$39:K439,V4)</f>
        <v>0</v>
      </c>
      <c r="W5" s="147">
        <f>COUNTIFS(H$39:H439,U5,K$39:K439,W4)</f>
        <v>0</v>
      </c>
      <c r="X5" s="147">
        <f>COUNTIFS(H$39:H439,U5,K$39:K439,X4)</f>
        <v>0</v>
      </c>
      <c r="Y5" s="148">
        <f t="shared" ref="Y5:Y29" si="0">SUM(V5:X5)</f>
        <v>0</v>
      </c>
      <c r="Z5" s="13"/>
      <c r="AA5" s="88" t="str">
        <f t="shared" ref="AA5:AA29" si="1">U5</f>
        <v>Bárbara Leite</v>
      </c>
      <c r="AB5" s="33">
        <f>SUMIFS(J$40:J360,H$40:H360,AA5,E$40:E360,"SAL")</f>
        <v>0</v>
      </c>
      <c r="AC5" s="34">
        <f>SUMIFS(J$40:J434,H$40:H434,AA5,E$40:E434,"SAM")</f>
        <v>0</v>
      </c>
      <c r="AD5" s="34">
        <f>SUMIFS(J$40:J434,H$40:H434,AA5,E$40:E434,"NE")</f>
        <v>0</v>
      </c>
      <c r="AE5" s="34">
        <f>SUMIFS(J$40:J434,H$40:H434,AA5,E$40:E434,"SAIL")</f>
        <v>0</v>
      </c>
      <c r="AF5" s="35">
        <f t="shared" ref="AF5:AF29" si="2">SUBTOTAL(9,AB5:AE5)</f>
        <v>0</v>
      </c>
      <c r="AH5" s="88" t="str">
        <f t="shared" ref="AH5:AH29" si="3">U5</f>
        <v>Bárbara Leite</v>
      </c>
      <c r="AI5" s="33">
        <f>COUNTIFS(H$40:H434,AH5,E$40:E434,"SAL")</f>
        <v>0</v>
      </c>
      <c r="AJ5" s="34">
        <f t="shared" ref="AJ5:AJ29" si="4">COUNTIFS(H$40:H$434,AH5,E$40:E$434,"SAM")</f>
        <v>0</v>
      </c>
      <c r="AK5" s="34">
        <f>COUNTIFS(H$40:H434,AH5,E$40:E$434,"NE")</f>
        <v>0</v>
      </c>
      <c r="AL5" s="34">
        <f>COUNTIFS(H$40:H434,AH5,E$40:E434,"SAIL")</f>
        <v>0</v>
      </c>
      <c r="AM5" s="35">
        <f t="shared" ref="AM5:AM29" si="5">SUBTOTAL(9,AI5:AL5)</f>
        <v>0</v>
      </c>
      <c r="AO5" s="88" t="str">
        <f t="shared" ref="AO5:AO29" si="6">U5</f>
        <v>Bárbara Leite</v>
      </c>
      <c r="AP5" s="33">
        <f t="shared" ref="AP5:AP29" si="7">SUMIFS(Q$40:Q$359,H$40:H$359,AO5,E$40:E$359,"SAL")</f>
        <v>0</v>
      </c>
      <c r="AQ5" s="34">
        <f t="shared" ref="AQ5:AQ29" si="8">SUMIFS(Q$40:Q$359,H$40:H$359,AO5,E$40:E$359,"SAM")</f>
        <v>0</v>
      </c>
      <c r="AR5" s="34">
        <f t="shared" ref="AR5:AR29" si="9">SUMIFS(Q$40:Q$359,H$40:H$359,AO5,E$40:E$359,"NE")</f>
        <v>0</v>
      </c>
      <c r="AS5" s="34">
        <f t="shared" ref="AS5:AS29" si="10">SUMIFS(Q$40:Q$359,H$40:H$359,AO5,E$40:E$359,"SAIL")</f>
        <v>0</v>
      </c>
      <c r="AT5" s="35">
        <f t="shared" ref="AT5:AT29" si="11">SUBTOTAL(9,AP5:AS5)</f>
        <v>0</v>
      </c>
    </row>
    <row r="6" spans="21:46" ht="15.75" thickBot="1">
      <c r="U6" s="87" t="str">
        <f>Cadastros!I13</f>
        <v>Bárbara Teixeira</v>
      </c>
      <c r="V6" s="85">
        <f>COUNTIFS(H$39:H439,U6,K$39:K439,V4)</f>
        <v>0</v>
      </c>
      <c r="W6" s="18">
        <f>COUNTIFS(H$39:H439,U6,K$39:K439,W4)</f>
        <v>0</v>
      </c>
      <c r="X6" s="18">
        <f>COUNTIFS(H$39:H439,U6,K$39:K439,X4)</f>
        <v>0</v>
      </c>
      <c r="Y6" s="19">
        <f t="shared" si="0"/>
        <v>0</v>
      </c>
      <c r="Z6" s="13"/>
      <c r="AA6" s="22" t="str">
        <f t="shared" si="1"/>
        <v>Bárbara Teixeira</v>
      </c>
      <c r="AB6" s="30">
        <f>SUMIFS(J$40:J361,H$40:H361,AA6,E$40:E361,"SAL")</f>
        <v>0</v>
      </c>
      <c r="AC6" s="29">
        <f>SUMIFS(J$40:J435,H$40:H435,AA6,E$40:E435,"SAM")</f>
        <v>0</v>
      </c>
      <c r="AD6" s="29">
        <f>SUMIFS(J$40:J435,H$40:H435,AA6,E$40:E435,"NE")</f>
        <v>0</v>
      </c>
      <c r="AE6" s="29">
        <f>SUMIFS(J$40:J435,H$40:H435,AA6,E$40:E435,"SAIL")</f>
        <v>0</v>
      </c>
      <c r="AF6" s="31">
        <f t="shared" si="2"/>
        <v>0</v>
      </c>
      <c r="AH6" s="22" t="str">
        <f t="shared" si="3"/>
        <v>Bárbara Teixeira</v>
      </c>
      <c r="AI6" s="30">
        <f>COUNTIFS(H$40:H435,AH6,E$40:E435,"SAL")</f>
        <v>0</v>
      </c>
      <c r="AJ6" s="29">
        <f t="shared" si="4"/>
        <v>0</v>
      </c>
      <c r="AK6" s="29">
        <f t="shared" ref="AK6:AK29" si="12">COUNTIFS(H$40:H$434,AH6,E$40:E$434,"NE")</f>
        <v>0</v>
      </c>
      <c r="AL6" s="29">
        <f>COUNTIFS(H$40:H435,AH6,E$40:E435,"SAIL")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COUNTIFS(H$39:H439,U7,K$39:K439,V4)</f>
        <v>0</v>
      </c>
      <c r="W7" s="14">
        <f>COUNTIFS(H$39:H439,U7,K$39:K439,W4)</f>
        <v>0</v>
      </c>
      <c r="X7" s="14">
        <f>COUNTIFS(H$39:H439,U7,K$39:K439,X4)</f>
        <v>0</v>
      </c>
      <c r="Y7" s="15">
        <f t="shared" si="0"/>
        <v>0</v>
      </c>
      <c r="Z7" s="13"/>
      <c r="AA7" s="21" t="str">
        <f t="shared" si="1"/>
        <v>Bruna Ferro</v>
      </c>
      <c r="AB7" s="37">
        <f>SUMIFS(J$40:J362,H$40:H362,AA7,E$40:E362,"SAL")</f>
        <v>0</v>
      </c>
      <c r="AC7" s="38">
        <f>SUMIFS(J$40:J436,H$40:H436,AA7,E$40:E436,"SAM")</f>
        <v>0</v>
      </c>
      <c r="AD7" s="38">
        <f>SUMIFS(J$40:J436,H$40:H436,AA7,E$40:E436,"NE")</f>
        <v>0</v>
      </c>
      <c r="AE7" s="38">
        <f>SUMIFS(J$40:J436,H$40:H436,AA7,E$40:E436,"SAIL")</f>
        <v>0</v>
      </c>
      <c r="AF7" s="39">
        <f t="shared" si="2"/>
        <v>0</v>
      </c>
      <c r="AH7" s="21" t="str">
        <f t="shared" si="3"/>
        <v>Bruna Ferro</v>
      </c>
      <c r="AI7" s="37">
        <f>COUNTIFS(H$40:H436,AH7,E$40:E436,"SAL")</f>
        <v>0</v>
      </c>
      <c r="AJ7" s="38">
        <f t="shared" si="4"/>
        <v>0</v>
      </c>
      <c r="AK7" s="38">
        <f t="shared" si="12"/>
        <v>0</v>
      </c>
      <c r="AL7" s="38">
        <f>COUNTIFS(H$40:H436,AH7,E$40:E436,"SAIL")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COUNTIFS(H$39:H439,U8,K$39:K439,V4)</f>
        <v>0</v>
      </c>
      <c r="W8" s="18">
        <f>COUNTIFS(H$39:H439,U8,K$39:K439,W4)</f>
        <v>0</v>
      </c>
      <c r="X8" s="18">
        <f>COUNTIFS(H$39:H439,U8,K$39:K439,X4)</f>
        <v>0</v>
      </c>
      <c r="Y8" s="19">
        <f t="shared" si="0"/>
        <v>0</v>
      </c>
      <c r="Z8" s="13"/>
      <c r="AA8" s="22" t="str">
        <f t="shared" si="1"/>
        <v>Carolina Esmeraldino</v>
      </c>
      <c r="AB8" s="30">
        <f>SUMIFS(J$40:J363,H$40:H363,AA8,E$40:E363,"SAL")</f>
        <v>0</v>
      </c>
      <c r="AC8" s="29">
        <f>SUMIFS(J$40:J437,H$40:H437,AA8,E$40:E437,"SAM")</f>
        <v>0</v>
      </c>
      <c r="AD8" s="29">
        <f>SUMIFS(J$40:J437,H$40:H437,AA8,E$40:E437,"NE")</f>
        <v>0</v>
      </c>
      <c r="AE8" s="29">
        <f>SUMIFS(J$40:J437,H$40:H437,AA8,E$40:E437,"SAIL")</f>
        <v>0</v>
      </c>
      <c r="AF8" s="31">
        <f t="shared" si="2"/>
        <v>0</v>
      </c>
      <c r="AH8" s="22" t="str">
        <f t="shared" si="3"/>
        <v>Carolina Esmeraldino</v>
      </c>
      <c r="AI8" s="30">
        <f>COUNTIFS(H$40:H437,AH8,E$40:E437,"SAL")</f>
        <v>0</v>
      </c>
      <c r="AJ8" s="29">
        <f t="shared" si="4"/>
        <v>0</v>
      </c>
      <c r="AK8" s="29">
        <f t="shared" si="12"/>
        <v>0</v>
      </c>
      <c r="AL8" s="29">
        <f>COUNTIFS(H$40:H437,AH8,E$40:E437,"SAIL")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COUNTIFS(H$39:H439,U9,K$39:K439,V4)</f>
        <v>0</v>
      </c>
      <c r="W9" s="14">
        <f>COUNTIFS(H$39:H439,U9,K$39:K439,W4)</f>
        <v>0</v>
      </c>
      <c r="X9" s="14">
        <f>COUNTIFS(H$39:H439,U9,K$39:K439,X4)</f>
        <v>0</v>
      </c>
      <c r="Y9" s="15">
        <f t="shared" si="0"/>
        <v>0</v>
      </c>
      <c r="Z9" s="13"/>
      <c r="AA9" s="21" t="str">
        <f t="shared" si="1"/>
        <v>Claudia Savois</v>
      </c>
      <c r="AB9" s="37">
        <f>SUMIFS(J$40:J364,H$40:H364,AA9,E$40:E364,"SAL")</f>
        <v>0</v>
      </c>
      <c r="AC9" s="38">
        <f>SUMIFS(J$40:J438,H$40:H438,AA9,E$40:E438,"SAM")</f>
        <v>0</v>
      </c>
      <c r="AD9" s="38">
        <f>SUMIFS(J$40:J438,H$40:H438,AA9,E$40:E438,"NE")</f>
        <v>0</v>
      </c>
      <c r="AE9" s="38">
        <f>SUMIFS(J$40:J438,H$40:H438,AA9,E$40:E438,"SAIL")</f>
        <v>0</v>
      </c>
      <c r="AF9" s="39">
        <f t="shared" si="2"/>
        <v>0</v>
      </c>
      <c r="AH9" s="21" t="str">
        <f t="shared" si="3"/>
        <v>Claudia Savois</v>
      </c>
      <c r="AI9" s="37">
        <f>COUNTIFS(H$40:H438,AH9,E$40:E438,"SAL")</f>
        <v>0</v>
      </c>
      <c r="AJ9" s="38">
        <f t="shared" si="4"/>
        <v>0</v>
      </c>
      <c r="AK9" s="38">
        <f t="shared" si="12"/>
        <v>0</v>
      </c>
      <c r="AL9" s="38">
        <f>COUNTIFS(H$40:H438,AH9,E$40:E438,"SAIL")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COUNTIFS(H$39:H440,U10,K$39:K440,V4)</f>
        <v>0</v>
      </c>
      <c r="W10" s="14">
        <f>COUNTIFS(H$39:H440,U10,K$39:K440,W4)</f>
        <v>0</v>
      </c>
      <c r="X10" s="14">
        <f>COUNTIFS(H$39:H440,U10,K$39:K440,X4)</f>
        <v>0</v>
      </c>
      <c r="Y10" s="15">
        <f t="shared" si="0"/>
        <v>0</v>
      </c>
      <c r="Z10" s="13"/>
      <c r="AA10" s="22" t="str">
        <f t="shared" si="1"/>
        <v>Daniela Stupp</v>
      </c>
      <c r="AB10" s="30">
        <f>SUMIFS(J$40:J365,H$40:H365,AA10,E$40:E365,"SAL")</f>
        <v>0</v>
      </c>
      <c r="AC10" s="29">
        <f>SUMIFS(J$40:J439,H$40:H439,AA10,E$40:E439,"SAM")</f>
        <v>0</v>
      </c>
      <c r="AD10" s="29">
        <f>SUMIFS(J$40:J439,H$40:H439,AA10,E$40:E439,"NE")</f>
        <v>0</v>
      </c>
      <c r="AE10" s="29">
        <f>SUMIFS(J$40:J439,H$40:H439,AA10,E$40:E439,"SAIL")</f>
        <v>0</v>
      </c>
      <c r="AF10" s="31">
        <f t="shared" si="2"/>
        <v>0</v>
      </c>
      <c r="AH10" s="22" t="str">
        <f t="shared" si="3"/>
        <v>Daniela Stupp</v>
      </c>
      <c r="AI10" s="30">
        <f>COUNTIFS(H$40:H439,AH10,E$40:E439,"SAL")</f>
        <v>0</v>
      </c>
      <c r="AJ10" s="29">
        <f t="shared" si="4"/>
        <v>0</v>
      </c>
      <c r="AK10" s="29">
        <f t="shared" si="12"/>
        <v>0</v>
      </c>
      <c r="AL10" s="29">
        <f>COUNTIFS(H$40:H439,AH10,E$40:E439,"SAIL")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COUNTIFS(H$39:H439,U11,K$39:K439,V4)</f>
        <v>0</v>
      </c>
      <c r="W11" s="18">
        <f>COUNTIFS(H$39:H439,U11,K$39:K439,W4)</f>
        <v>0</v>
      </c>
      <c r="X11" s="18">
        <f>COUNTIFS(H$39:H439,U11,K$39:K439,X4)</f>
        <v>0</v>
      </c>
      <c r="Y11" s="19">
        <f t="shared" si="0"/>
        <v>0</v>
      </c>
      <c r="Z11" s="13"/>
      <c r="AA11" s="21" t="str">
        <f t="shared" si="1"/>
        <v>Gabriely</v>
      </c>
      <c r="AB11" s="37">
        <f>SUMIFS(J$40:J366,H$40:H366,AA11,E$40:E366,"SAL")</f>
        <v>0</v>
      </c>
      <c r="AC11" s="38">
        <f>SUMIFS(J$40:J440,H$40:H440,AA11,E$40:E440,"SAM")</f>
        <v>0</v>
      </c>
      <c r="AD11" s="38">
        <f>SUMIFS(J$40:J440,H$40:H440,AA11,E$40:E440,"NE")</f>
        <v>0</v>
      </c>
      <c r="AE11" s="38">
        <f>SUMIFS(J$40:J440,H$40:H440,AA11,E$40:E440,"SAIL")</f>
        <v>0</v>
      </c>
      <c r="AF11" s="39">
        <f t="shared" si="2"/>
        <v>0</v>
      </c>
      <c r="AH11" s="21" t="str">
        <f t="shared" si="3"/>
        <v>Gabriely</v>
      </c>
      <c r="AI11" s="37">
        <f>COUNTIFS(H$40:H440,AH11,E$40:E440,"SAL")</f>
        <v>0</v>
      </c>
      <c r="AJ11" s="38">
        <f t="shared" si="4"/>
        <v>0</v>
      </c>
      <c r="AK11" s="38">
        <f t="shared" si="12"/>
        <v>0</v>
      </c>
      <c r="AL11" s="38">
        <f>COUNTIFS(H$40:H440,AH11,E$40:E440,"SAIL")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COUNTIFS(H$39:H440,U12,K$39:K440,V4)</f>
        <v>0</v>
      </c>
      <c r="W12" s="14">
        <f>COUNTIFS(H$39:H440,U12,K$39:K440,W4)</f>
        <v>0</v>
      </c>
      <c r="X12" s="14">
        <f>COUNTIFS(H$39:H440,U12,K$39:K440,X4)</f>
        <v>0</v>
      </c>
      <c r="Y12" s="15">
        <f t="shared" si="0"/>
        <v>0</v>
      </c>
      <c r="AA12" s="22" t="str">
        <f t="shared" si="1"/>
        <v>Fabio Sasso</v>
      </c>
      <c r="AB12" s="30">
        <f>SUMIFS(J$40:J367,H$40:H367,AA12,E$40:E367,"SAL")</f>
        <v>0</v>
      </c>
      <c r="AC12" s="29">
        <f>SUMIFS(J$40:J441,H$40:H441,AA12,E$40:E441,"SAM")</f>
        <v>0</v>
      </c>
      <c r="AD12" s="29">
        <f>SUMIFS(J$40:J441,H$40:H441,AA12,E$40:E441,"NE")</f>
        <v>0</v>
      </c>
      <c r="AE12" s="29">
        <f>SUMIFS(J$40:J441,H$40:H441,AA12,E$40:E441,"SAIL")</f>
        <v>0</v>
      </c>
      <c r="AF12" s="31">
        <f t="shared" si="2"/>
        <v>0</v>
      </c>
      <c r="AH12" s="22" t="str">
        <f t="shared" si="3"/>
        <v>Fabio Sasso</v>
      </c>
      <c r="AI12" s="30">
        <f>COUNTIFS(H$40:H441,AH12,E$40:E441,"SAL")</f>
        <v>0</v>
      </c>
      <c r="AJ12" s="29">
        <f t="shared" si="4"/>
        <v>0</v>
      </c>
      <c r="AK12" s="29">
        <f t="shared" si="12"/>
        <v>0</v>
      </c>
      <c r="AL12" s="29">
        <f>COUNTIFS(H$40:H441,AH12,E$40:E441,"SAIL")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COUNTIFS(H$39:H441,U13,K$39:K441,V$4)</f>
        <v>0</v>
      </c>
      <c r="W13" s="18">
        <f>COUNTIFS(H$39:H441,U13,K$39:K441,W$4)</f>
        <v>0</v>
      </c>
      <c r="X13" s="18">
        <f>COUNTIFS(H$39:H441,U13,K$39:K441,X$4)</f>
        <v>0</v>
      </c>
      <c r="Y13" s="19">
        <f t="shared" si="0"/>
        <v>0</v>
      </c>
      <c r="AA13" s="21" t="str">
        <f t="shared" si="1"/>
        <v>Felipi Ferreira</v>
      </c>
      <c r="AB13" s="37">
        <f>SUMIFS(J$40:J368,H$40:H368,AA13,E$40:E368,"SAL")</f>
        <v>0</v>
      </c>
      <c r="AC13" s="38">
        <f>SUMIFS(J$40:J442,H$40:H442,AA13,E$40:E442,"SAM")</f>
        <v>0</v>
      </c>
      <c r="AD13" s="38">
        <f>SUMIFS(J$40:J442,H$40:H442,AA13,E$40:E442,"NE")</f>
        <v>0</v>
      </c>
      <c r="AE13" s="38">
        <f>SUMIFS(J$40:J442,H$40:H442,AA13,E$40:E442,"SAIL")</f>
        <v>0</v>
      </c>
      <c r="AF13" s="39">
        <f t="shared" si="2"/>
        <v>0</v>
      </c>
      <c r="AH13" s="21" t="str">
        <f t="shared" si="3"/>
        <v>Felipi Ferreira</v>
      </c>
      <c r="AI13" s="37">
        <f>COUNTIFS(H$40:H442,AH13,E$40:E442,"SAL")</f>
        <v>0</v>
      </c>
      <c r="AJ13" s="38">
        <f t="shared" si="4"/>
        <v>0</v>
      </c>
      <c r="AK13" s="38">
        <f t="shared" si="12"/>
        <v>0</v>
      </c>
      <c r="AL13" s="38">
        <f>COUNTIFS(H$40:H442,AH13,E$40:E442,"SAIL")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COUNTIFS(H$39:H442,U14,K$39:K442,V$4)</f>
        <v>0</v>
      </c>
      <c r="W14" s="14">
        <f>COUNTIFS(H$39:H442,U14,K$39:K442,W$4)</f>
        <v>0</v>
      </c>
      <c r="X14" s="14">
        <f>COUNTIFS(H$39:H442,U14,K$39:K442,X$4)</f>
        <v>0</v>
      </c>
      <c r="Y14" s="15">
        <f t="shared" si="0"/>
        <v>0</v>
      </c>
      <c r="AA14" s="22" t="str">
        <f t="shared" si="1"/>
        <v>Flávia Cardoso</v>
      </c>
      <c r="AB14" s="30">
        <f>SUMIFS(J$40:J369,H$40:H369,AA14,E$40:E369,"SAL")</f>
        <v>0</v>
      </c>
      <c r="AC14" s="29">
        <f>SUMIFS(J$40:J443,H$40:H443,AA14,E$40:E443,"SAM")</f>
        <v>0</v>
      </c>
      <c r="AD14" s="29">
        <f>SUMIFS(J$40:J443,H$40:H443,AA14,E$40:E443,"NE")</f>
        <v>0</v>
      </c>
      <c r="AE14" s="29">
        <f>SUMIFS(J$40:J443,H$40:H443,AA14,E$40:E443,"SAIL")</f>
        <v>0</v>
      </c>
      <c r="AF14" s="31">
        <f t="shared" si="2"/>
        <v>0</v>
      </c>
      <c r="AH14" s="22" t="str">
        <f t="shared" si="3"/>
        <v>Flávia Cardoso</v>
      </c>
      <c r="AI14" s="30">
        <f>COUNTIFS(H$40:H443,AH14,E$40:E443,"SAL")</f>
        <v>0</v>
      </c>
      <c r="AJ14" s="29">
        <f t="shared" si="4"/>
        <v>0</v>
      </c>
      <c r="AK14" s="29">
        <f t="shared" si="12"/>
        <v>0</v>
      </c>
      <c r="AL14" s="29">
        <f>COUNTIFS(H$40:H443,AH14,E$40:E443,"SAIL")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COUNTIFS(H$39:H443,U15,K$39:K443,V$4)</f>
        <v>0</v>
      </c>
      <c r="W15" s="18">
        <f>COUNTIFS(H$39:H443,U15,K$39:K443,W$4)</f>
        <v>0</v>
      </c>
      <c r="X15" s="18">
        <f>COUNTIFS(H$39:H443,U15,K$39:K443,X$4)</f>
        <v>0</v>
      </c>
      <c r="Y15" s="19">
        <f t="shared" si="0"/>
        <v>0</v>
      </c>
      <c r="AA15" s="21" t="str">
        <f t="shared" si="1"/>
        <v>Giovani cunha</v>
      </c>
      <c r="AB15" s="37">
        <f>SUMIFS(J$40:J370,H$40:H370,AA15,E$40:E370,"SAL")</f>
        <v>0</v>
      </c>
      <c r="AC15" s="38">
        <f>SUMIFS(J$40:J444,H$40:H444,AA15,E$40:E444,"SAM")</f>
        <v>0</v>
      </c>
      <c r="AD15" s="38">
        <f>SUMIFS(J$40:J444,H$40:H444,AA15,E$40:E444,"NE")</f>
        <v>0</v>
      </c>
      <c r="AE15" s="38">
        <f>SUMIFS(J$40:J444,H$40:H444,AA15,E$40:E444,"SAIL")</f>
        <v>0</v>
      </c>
      <c r="AF15" s="39">
        <f t="shared" si="2"/>
        <v>0</v>
      </c>
      <c r="AH15" s="21" t="str">
        <f t="shared" si="3"/>
        <v>Giovani cunha</v>
      </c>
      <c r="AI15" s="37">
        <f>COUNTIFS(H$40:H444,AH15,E$40:E444,"SAL")</f>
        <v>0</v>
      </c>
      <c r="AJ15" s="38">
        <f t="shared" si="4"/>
        <v>0</v>
      </c>
      <c r="AK15" s="38">
        <f t="shared" si="12"/>
        <v>0</v>
      </c>
      <c r="AL15" s="38">
        <f>COUNTIFS(H$40:H444,AH15,E$40:E444,"SAIL")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COUNTIFS(H$39:H444,U16,K$39:K444,V$4)</f>
        <v>0</v>
      </c>
      <c r="W16" s="14">
        <f>COUNTIFS(H$39:H444,U16,K$39:K444,W$4)</f>
        <v>0</v>
      </c>
      <c r="X16" s="14">
        <f>COUNTIFS(H$39:H444,U16,K$39:K444,X$4)</f>
        <v>0</v>
      </c>
      <c r="Y16" s="15">
        <f t="shared" si="0"/>
        <v>0</v>
      </c>
      <c r="AA16" s="22" t="str">
        <f t="shared" si="1"/>
        <v>Jennifer Rodrigues</v>
      </c>
      <c r="AB16" s="30">
        <f>SUMIFS(J$40:J371,H$40:H371,AA16,E$40:E371,"SAL")</f>
        <v>0</v>
      </c>
      <c r="AC16" s="29">
        <f>SUMIFS(J$40:J445,H$40:H445,AA16,E$40:E445,"SAM")</f>
        <v>0</v>
      </c>
      <c r="AD16" s="29">
        <f>SUMIFS(J$40:J445,H$40:H445,AA16,E$40:E445,"NE")</f>
        <v>0</v>
      </c>
      <c r="AE16" s="29">
        <f>SUMIFS(J$40:J445,H$40:H445,AA16,E$40:E445,"SAIL")</f>
        <v>0</v>
      </c>
      <c r="AF16" s="31">
        <f t="shared" si="2"/>
        <v>0</v>
      </c>
      <c r="AH16" s="22" t="str">
        <f t="shared" si="3"/>
        <v>Jennifer Rodrigues</v>
      </c>
      <c r="AI16" s="30">
        <f>COUNTIFS(H$40:H445,AH16,E$40:E445,"SAL")</f>
        <v>0</v>
      </c>
      <c r="AJ16" s="29">
        <f t="shared" si="4"/>
        <v>0</v>
      </c>
      <c r="AK16" s="29">
        <f t="shared" si="12"/>
        <v>0</v>
      </c>
      <c r="AL16" s="29">
        <f>COUNTIFS(H$40:H445,AH16,E$40:E445,"SAIL")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COUNTIFS(H$39:H445,U17,K$39:K445,V$4)</f>
        <v>0</v>
      </c>
      <c r="W17" s="18">
        <f>COUNTIFS(H$39:H445,U17,K$39:K445,W$4)</f>
        <v>0</v>
      </c>
      <c r="X17" s="18">
        <f>COUNTIFS(H$39:H445,U17,K$39:K445,X$4)</f>
        <v>0</v>
      </c>
      <c r="Y17" s="19">
        <f t="shared" si="0"/>
        <v>0</v>
      </c>
      <c r="AA17" s="21" t="str">
        <f t="shared" si="1"/>
        <v>Juliana Guizoni</v>
      </c>
      <c r="AB17" s="37">
        <f>SUMIFS(J$40:J372,H$40:H372,AA17,E$40:E372,"SAL")</f>
        <v>0</v>
      </c>
      <c r="AC17" s="38">
        <f>SUMIFS(J$40:J446,H$40:H446,AA17,E$40:E446,"SAM")</f>
        <v>0</v>
      </c>
      <c r="AD17" s="38">
        <f>SUMIFS(J$40:J446,H$40:H446,AA17,E$40:E446,"NE")</f>
        <v>0</v>
      </c>
      <c r="AE17" s="38">
        <f>SUMIFS(J$40:J446,H$40:H446,AA17,E$40:E446,"SAIL")</f>
        <v>0</v>
      </c>
      <c r="AF17" s="39">
        <f t="shared" si="2"/>
        <v>0</v>
      </c>
      <c r="AH17" s="21" t="str">
        <f t="shared" si="3"/>
        <v>Juliana Guizoni</v>
      </c>
      <c r="AI17" s="37">
        <f>COUNTIFS(H$40:H446,AH17,E$40:E446,"SAL")</f>
        <v>0</v>
      </c>
      <c r="AJ17" s="38">
        <f t="shared" si="4"/>
        <v>0</v>
      </c>
      <c r="AK17" s="38">
        <f t="shared" si="12"/>
        <v>0</v>
      </c>
      <c r="AL17" s="38">
        <f>COUNTIFS(H$40:H446,AH17,E$40:E446,"SAIL")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v>45944</v>
      </c>
      <c r="G18" s="11"/>
      <c r="K18" s="4"/>
      <c r="U18" s="87" t="str">
        <f>Cadastros!I25</f>
        <v>Vinicyos Maguns</v>
      </c>
      <c r="V18" s="86">
        <f>COUNTIFS(H$39:H446,U18,K$39:K446,V$4)</f>
        <v>0</v>
      </c>
      <c r="W18" s="14">
        <f>COUNTIFS(H$39:H446,U18,K$39:K446,W$4)</f>
        <v>0</v>
      </c>
      <c r="X18" s="14">
        <f>COUNTIFS(H$39:H446,U18,K$39:K446,X$4)</f>
        <v>0</v>
      </c>
      <c r="Y18" s="15">
        <f t="shared" si="0"/>
        <v>0</v>
      </c>
      <c r="AA18" s="22" t="str">
        <f t="shared" si="1"/>
        <v>Vinicyos Maguns</v>
      </c>
      <c r="AB18" s="30">
        <f>SUMIFS(J$40:J373,H$40:H373,AA18,E$40:E373,"SAL")</f>
        <v>0</v>
      </c>
      <c r="AC18" s="29">
        <f>SUMIFS(J$40:J447,H$40:H447,AA18,E$40:E447,"SAM")</f>
        <v>0</v>
      </c>
      <c r="AD18" s="29">
        <f>SUMIFS(J$40:J447,H$40:H447,AA18,E$40:E447,"NE")</f>
        <v>0</v>
      </c>
      <c r="AE18" s="29">
        <f>SUMIFS(J$40:J447,H$40:H447,AA18,E$40:E447,"SAIL")</f>
        <v>0</v>
      </c>
      <c r="AF18" s="31">
        <f t="shared" si="2"/>
        <v>0</v>
      </c>
      <c r="AH18" s="22" t="str">
        <f t="shared" si="3"/>
        <v>Vinicyos Maguns</v>
      </c>
      <c r="AI18" s="30">
        <f>COUNTIFS(H$40:H447,AH18,E$40:E447,"SAL")</f>
        <v>0</v>
      </c>
      <c r="AJ18" s="29">
        <f t="shared" si="4"/>
        <v>0</v>
      </c>
      <c r="AK18" s="29">
        <f t="shared" si="12"/>
        <v>0</v>
      </c>
      <c r="AL18" s="29">
        <f>COUNTIFS(H$40:H447,AH18,E$40:E447,"SAIL")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VLOOKUP(F19,B40:B273,1,0)</f>
        <v>#N/A</v>
      </c>
      <c r="C19" s="45" t="e">
        <f>VLOOKUP(F21,D40:D273,1,0)</f>
        <v>#N/A</v>
      </c>
      <c r="D19" s="10"/>
      <c r="E19" s="74" t="s">
        <v>79</v>
      </c>
      <c r="F19" s="5">
        <v>122280</v>
      </c>
      <c r="G19" s="11"/>
      <c r="K19" s="5"/>
      <c r="U19" s="87" t="str">
        <f>Cadastros!I26</f>
        <v>Laís Andrade</v>
      </c>
      <c r="V19" s="85">
        <f>COUNTIFS(H$39:H447,U19,K$39:K447,V$4)</f>
        <v>0</v>
      </c>
      <c r="W19" s="18">
        <f>COUNTIFS(H$39:H447,U19,K$39:K447,W$4)</f>
        <v>0</v>
      </c>
      <c r="X19" s="18">
        <f>COUNTIFS(H$39:H447,U19,K$39:K447,X$4)</f>
        <v>0</v>
      </c>
      <c r="Y19" s="19">
        <f t="shared" si="0"/>
        <v>0</v>
      </c>
      <c r="AA19" s="21" t="str">
        <f t="shared" si="1"/>
        <v>Laís Andrade</v>
      </c>
      <c r="AB19" s="37">
        <f>SUMIFS(J$40:J374,H$40:H374,AA19,E$40:E374,"SAL")</f>
        <v>0</v>
      </c>
      <c r="AC19" s="38">
        <f>SUMIFS(J$40:J448,H$40:H448,AA19,E$40:E448,"SAM")</f>
        <v>0</v>
      </c>
      <c r="AD19" s="38">
        <f>SUMIFS(J$40:J448,H$40:H448,AA19,E$40:E448,"NE")</f>
        <v>0</v>
      </c>
      <c r="AE19" s="38">
        <f>SUMIFS(J$40:J448,H$40:H448,AA19,E$40:E448,"SAIL")</f>
        <v>0</v>
      </c>
      <c r="AF19" s="39">
        <f t="shared" si="2"/>
        <v>0</v>
      </c>
      <c r="AH19" s="21" t="str">
        <f t="shared" si="3"/>
        <v>Laís Andrade</v>
      </c>
      <c r="AI19" s="37">
        <f>COUNTIFS(H$40:H448,AH19,E$40:E448,"SAL")</f>
        <v>0</v>
      </c>
      <c r="AJ19" s="38">
        <f t="shared" si="4"/>
        <v>0</v>
      </c>
      <c r="AK19" s="38">
        <f t="shared" si="12"/>
        <v>0</v>
      </c>
      <c r="AL19" s="38">
        <f>COUNTIFS(H$40:H448,AH19,E$40:E448,"SAIL")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v>45944</v>
      </c>
      <c r="G20" s="11"/>
      <c r="K20" s="4"/>
      <c r="U20" s="87" t="str">
        <f>Cadastros!I27</f>
        <v>Luciana Mercante</v>
      </c>
      <c r="V20" s="86">
        <f>COUNTIFS(H$39:H448,U20,K$39:K448,V$4)</f>
        <v>0</v>
      </c>
      <c r="W20" s="14">
        <f>COUNTIFS(H$39:H448,U20,K$39:K448,W$4)</f>
        <v>0</v>
      </c>
      <c r="X20" s="14">
        <f>COUNTIFS(H$39:H448,U20,K$39:K448,X$4)</f>
        <v>0</v>
      </c>
      <c r="Y20" s="15">
        <f t="shared" si="0"/>
        <v>0</v>
      </c>
      <c r="AA20" s="22" t="str">
        <f t="shared" si="1"/>
        <v>Luciana Mercante</v>
      </c>
      <c r="AB20" s="30">
        <f>SUMIFS(J$40:J375,H$40:H375,AA20,E$40:E375,"SAL")</f>
        <v>0</v>
      </c>
      <c r="AC20" s="29">
        <f>SUMIFS(J$40:J449,H$40:H449,AA20,E$40:E449,"SAM")</f>
        <v>0</v>
      </c>
      <c r="AD20" s="29">
        <f>SUMIFS(J$40:J449,H$40:H449,AA20,E$40:E449,"NE")</f>
        <v>0</v>
      </c>
      <c r="AE20" s="29">
        <f>SUMIFS(J$40:J449,H$40:H449,AA20,E$40:E449,"SAIL")</f>
        <v>0</v>
      </c>
      <c r="AF20" s="31">
        <f t="shared" si="2"/>
        <v>0</v>
      </c>
      <c r="AH20" s="22" t="str">
        <f t="shared" si="3"/>
        <v>Luciana Mercante</v>
      </c>
      <c r="AI20" s="30">
        <f>COUNTIFS(H$40:H449,AH20,E$40:E449,"SAL")</f>
        <v>0</v>
      </c>
      <c r="AJ20" s="29">
        <f t="shared" si="4"/>
        <v>0</v>
      </c>
      <c r="AK20" s="29">
        <f t="shared" si="12"/>
        <v>0</v>
      </c>
      <c r="AL20" s="29">
        <f>COUNTIFS(H$40:H449,AH20,E$40:E449,"SAIL")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v>97326</v>
      </c>
      <c r="G21" s="11"/>
      <c r="K21" s="5"/>
      <c r="U21" s="87" t="str">
        <f>Cadastros!I28</f>
        <v>Mateus Alves</v>
      </c>
      <c r="V21" s="85">
        <f>COUNTIFS(H$39:H449,U21,K$39:K449,V$4)</f>
        <v>0</v>
      </c>
      <c r="W21" s="18">
        <f>COUNTIFS(H$39:H449,U21,K$39:K449,W$4)</f>
        <v>0</v>
      </c>
      <c r="X21" s="18">
        <f>COUNTIFS(H$39:H449,U21,K$39:K449,X$4)</f>
        <v>0</v>
      </c>
      <c r="Y21" s="19">
        <f t="shared" si="0"/>
        <v>0</v>
      </c>
      <c r="AA21" s="21" t="str">
        <f t="shared" si="1"/>
        <v>Mateus Alves</v>
      </c>
      <c r="AB21" s="37">
        <f>SUMIFS(J$40:J376,H$40:H376,AA21,E$40:E376,"SAL")</f>
        <v>0</v>
      </c>
      <c r="AC21" s="38">
        <f>SUMIFS(J$40:J450,H$40:H450,AA21,E$40:E450,"SAM")</f>
        <v>0</v>
      </c>
      <c r="AD21" s="38">
        <f>SUMIFS(J$40:J450,H$40:H450,AA21,E$40:E450,"NE")</f>
        <v>0</v>
      </c>
      <c r="AE21" s="38">
        <f>SUMIFS(J$40:J450,H$40:H450,AA21,E$40:E450,"SAIL")</f>
        <v>0</v>
      </c>
      <c r="AF21" s="39">
        <f t="shared" si="2"/>
        <v>0</v>
      </c>
      <c r="AH21" s="21" t="str">
        <f t="shared" si="3"/>
        <v>Mateus Alves</v>
      </c>
      <c r="AI21" s="37">
        <f>COUNTIFS(H$40:H450,AH21,E$40:E450,"SAL")</f>
        <v>0</v>
      </c>
      <c r="AJ21" s="38">
        <f t="shared" si="4"/>
        <v>0</v>
      </c>
      <c r="AK21" s="38">
        <f t="shared" si="12"/>
        <v>0</v>
      </c>
      <c r="AL21" s="38">
        <f>COUNTIFS(H$40:H450,AH21,E$40:E450,"SAIL")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t="s">
        <v>18</v>
      </c>
      <c r="G22" s="11"/>
      <c r="K22" s="5"/>
      <c r="U22" s="87" t="str">
        <f>Cadastros!I29</f>
        <v>Patricia Costa</v>
      </c>
      <c r="V22" s="86">
        <f>COUNTIFS(H$39:H450,U22,K$39:K450,V$4)</f>
        <v>0</v>
      </c>
      <c r="W22" s="14">
        <f>COUNTIFS(H$39:H450,U22,K$39:K450,W$4)</f>
        <v>0</v>
      </c>
      <c r="X22" s="14">
        <f>COUNTIFS(H$39:H450,U22,K$39:K450,X$4)</f>
        <v>0</v>
      </c>
      <c r="Y22" s="15">
        <f t="shared" si="0"/>
        <v>0</v>
      </c>
      <c r="AA22" s="22" t="str">
        <f t="shared" si="1"/>
        <v>Patricia Costa</v>
      </c>
      <c r="AB22" s="30">
        <f>SUMIFS(J$40:J377,H$40:H377,AA22,E$40:E377,"SAL")</f>
        <v>0</v>
      </c>
      <c r="AC22" s="29">
        <f>SUMIFS(J$40:J451,H$40:H451,AA22,E$40:E451,"SAM")</f>
        <v>0</v>
      </c>
      <c r="AD22" s="29">
        <f>SUMIFS(J$40:J451,H$40:H451,AA22,E$40:E451,"NE")</f>
        <v>0</v>
      </c>
      <c r="AE22" s="29">
        <f>SUMIFS(J$40:J451,H$40:H451,AA22,E$40:E451,"SAIL")</f>
        <v>0</v>
      </c>
      <c r="AF22" s="31">
        <f t="shared" si="2"/>
        <v>0</v>
      </c>
      <c r="AH22" s="22" t="str">
        <f t="shared" si="3"/>
        <v>Patricia Costa</v>
      </c>
      <c r="AI22" s="30">
        <f>COUNTIFS(H$40:H451,AH22,E$40:E451,"SAL")</f>
        <v>0</v>
      </c>
      <c r="AJ22" s="29">
        <f t="shared" si="4"/>
        <v>0</v>
      </c>
      <c r="AK22" s="29">
        <f t="shared" si="12"/>
        <v>0</v>
      </c>
      <c r="AL22" s="29">
        <f>COUNTIFS(H$40:H451,AH22,E$40:E451,"SAIL")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t="s">
        <v>30</v>
      </c>
      <c r="G23" s="11"/>
      <c r="U23" s="87" t="str">
        <f>Cadastros!I30</f>
        <v>Rafaela Ribeiro</v>
      </c>
      <c r="V23" s="85">
        <f>COUNTIFS(H$39:H451,U23,K$39:K451,V$4)</f>
        <v>0</v>
      </c>
      <c r="W23" s="18">
        <f>COUNTIFS(H$39:H451,U23,K$39:K451,W$4)</f>
        <v>0</v>
      </c>
      <c r="X23" s="18">
        <f>COUNTIFS(H$39:H451,U23,K$39:K451,X$4)</f>
        <v>0</v>
      </c>
      <c r="Y23" s="19">
        <f t="shared" si="0"/>
        <v>0</v>
      </c>
      <c r="AA23" s="21" t="str">
        <f t="shared" si="1"/>
        <v>Rafaela Ribeiro</v>
      </c>
      <c r="AB23" s="37">
        <f>SUMIFS(J$40:J378,H$40:H378,AA23,E$40:E378,"SAL")</f>
        <v>0</v>
      </c>
      <c r="AC23" s="38">
        <f>SUMIFS(J$40:J452,H$40:H452,AA23,E$40:E452,"SAM")</f>
        <v>0</v>
      </c>
      <c r="AD23" s="38">
        <f>SUMIFS(J$40:J452,H$40:H452,AA23,E$40:E452,"NE")</f>
        <v>0</v>
      </c>
      <c r="AE23" s="38">
        <f>SUMIFS(J$40:J452,H$40:H452,AA23,E$40:E452,"SAIL")</f>
        <v>0</v>
      </c>
      <c r="AF23" s="39">
        <f t="shared" si="2"/>
        <v>0</v>
      </c>
      <c r="AH23" s="21" t="str">
        <f t="shared" si="3"/>
        <v>Rafaela Ribeiro</v>
      </c>
      <c r="AI23" s="37">
        <f>COUNTIFS(H$40:H452,AH23,E$40:E452,"SAL")</f>
        <v>0</v>
      </c>
      <c r="AJ23" s="38">
        <f t="shared" si="4"/>
        <v>0</v>
      </c>
      <c r="AK23" s="38">
        <f t="shared" si="12"/>
        <v>0</v>
      </c>
      <c r="AL23" s="38">
        <f>COUNTIFS(H$40:H452,AH23,E$40:E452,"SAIL")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F24" t="s">
        <v>615</v>
      </c>
      <c r="G24" s="11"/>
      <c r="K24" s="5"/>
      <c r="U24" s="87" t="str">
        <f>Cadastros!I31</f>
        <v>Renan Maiato</v>
      </c>
      <c r="V24" s="86">
        <f>COUNTIFS(H$39:H452,U24,K$39:K452,V$4)</f>
        <v>0</v>
      </c>
      <c r="W24" s="14">
        <f>COUNTIFS(H$39:H452,U24,K$39:K452,W$4)</f>
        <v>0</v>
      </c>
      <c r="X24" s="14">
        <f>COUNTIFS(H$39:H452,U24,K$39:K452,X$4)</f>
        <v>0</v>
      </c>
      <c r="Y24" s="15">
        <f t="shared" si="0"/>
        <v>0</v>
      </c>
      <c r="AA24" s="22" t="str">
        <f t="shared" si="1"/>
        <v>Renan Maiato</v>
      </c>
      <c r="AB24" s="30">
        <f>SUMIFS(J$40:J379,H$40:H379,AA24,E$40:E379,"SAL")</f>
        <v>0</v>
      </c>
      <c r="AC24" s="29">
        <f>SUMIFS(J$40:J453,H$40:H453,AA24,E$40:E453,"SAM")</f>
        <v>0</v>
      </c>
      <c r="AD24" s="29">
        <f>SUMIFS(J$40:J453,H$40:H453,AA24,E$40:E453,"NE")</f>
        <v>0</v>
      </c>
      <c r="AE24" s="29">
        <f>SUMIFS(J$40:J453,H$40:H453,AA24,E$40:E453,"SAIL")</f>
        <v>0</v>
      </c>
      <c r="AF24" s="31">
        <f t="shared" si="2"/>
        <v>0</v>
      </c>
      <c r="AH24" s="22" t="str">
        <f t="shared" si="3"/>
        <v>Renan Maiato</v>
      </c>
      <c r="AI24" s="30">
        <f>COUNTIFS(H$40:H453,AH24,E$40:E453,"SAL")</f>
        <v>0</v>
      </c>
      <c r="AJ24" s="29">
        <f t="shared" si="4"/>
        <v>0</v>
      </c>
      <c r="AK24" s="29">
        <f t="shared" si="12"/>
        <v>0</v>
      </c>
      <c r="AL24" s="29">
        <f>COUNTIFS(H$40:H453,AH24,E$40:E453,"SAIL")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t="s">
        <v>39</v>
      </c>
      <c r="G25" s="11"/>
      <c r="K25" s="5"/>
      <c r="U25" s="87" t="str">
        <f>Cadastros!I32</f>
        <v>Sabrine Neves</v>
      </c>
      <c r="V25" s="85">
        <f>COUNTIFS(H$39:H453,U25,K$39:K453,V$4)</f>
        <v>0</v>
      </c>
      <c r="W25" s="18">
        <f>COUNTIFS(H$39:H453,U25,K$39:K453,W$4)</f>
        <v>0</v>
      </c>
      <c r="X25" s="18">
        <f>COUNTIFS(H$39:H453,U25,K$39:K453,X$4)</f>
        <v>0</v>
      </c>
      <c r="Y25" s="19">
        <f t="shared" si="0"/>
        <v>0</v>
      </c>
      <c r="AA25" s="21" t="str">
        <f t="shared" si="1"/>
        <v>Sabrine Neves</v>
      </c>
      <c r="AB25" s="37">
        <f>SUMIFS(J$40:J380,H$40:H380,AA25,E$40:E380,"SAL")</f>
        <v>0</v>
      </c>
      <c r="AC25" s="38">
        <f>SUMIFS(J$40:J454,H$40:H454,AA25,E$40:E454,"SAM")</f>
        <v>0</v>
      </c>
      <c r="AD25" s="38">
        <f>SUMIFS(J$40:J454,H$40:H454,AA25,E$40:E454,"NE")</f>
        <v>0</v>
      </c>
      <c r="AE25" s="38">
        <f>SUMIFS(J$40:J454,H$40:H454,AA25,E$40:E454,"SAIL")</f>
        <v>0</v>
      </c>
      <c r="AF25" s="39">
        <f t="shared" si="2"/>
        <v>0</v>
      </c>
      <c r="AH25" s="21" t="str">
        <f t="shared" si="3"/>
        <v>Sabrine Neves</v>
      </c>
      <c r="AI25" s="37">
        <f>COUNTIFS(H$40:H454,AH25,E$40:E454,"SAL")</f>
        <v>0</v>
      </c>
      <c r="AJ25" s="38">
        <f t="shared" si="4"/>
        <v>0</v>
      </c>
      <c r="AK25" s="38">
        <f t="shared" si="12"/>
        <v>0</v>
      </c>
      <c r="AL25" s="38">
        <f>COUNTIFS(H$40:H454,AH25,E$40:E454,"SAIL")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t="s">
        <v>43</v>
      </c>
      <c r="G26" s="11"/>
      <c r="K26" s="5"/>
      <c r="U26" s="87" t="str">
        <f>Cadastros!I33</f>
        <v>Victor Ferreira</v>
      </c>
      <c r="V26" s="86">
        <f>COUNTIFS(H$39:H454,U26,K$39:K454,V$4)</f>
        <v>0</v>
      </c>
      <c r="W26" s="14">
        <f>COUNTIFS(H$39:H454,U26,K$39:K454,W$4)</f>
        <v>0</v>
      </c>
      <c r="X26" s="14">
        <f>COUNTIFS(H$39:H454,U26,K$39:K454,X$4)</f>
        <v>0</v>
      </c>
      <c r="Y26" s="15">
        <f t="shared" si="0"/>
        <v>0</v>
      </c>
      <c r="AA26" s="22" t="str">
        <f t="shared" si="1"/>
        <v>Victor Ferreira</v>
      </c>
      <c r="AB26" s="30">
        <f>SUMIFS(J$40:J381,H$40:H381,AA26,E$40:E381,"SAL")</f>
        <v>0</v>
      </c>
      <c r="AC26" s="29">
        <f>SUMIFS(J$40:J455,H$40:H455,AA26,E$40:E455,"SAM")</f>
        <v>0</v>
      </c>
      <c r="AD26" s="29">
        <f>SUMIFS(J$40:J455,H$40:H455,AA26,E$40:E455,"NE")</f>
        <v>0</v>
      </c>
      <c r="AE26" s="29">
        <f>SUMIFS(J$40:J455,H$40:H455,AA26,E$40:E455,"SAIL")</f>
        <v>0</v>
      </c>
      <c r="AF26" s="31">
        <f t="shared" si="2"/>
        <v>0</v>
      </c>
      <c r="AH26" s="22" t="str">
        <f t="shared" si="3"/>
        <v>Victor Ferreira</v>
      </c>
      <c r="AI26" s="30">
        <f>COUNTIFS(H$40:H455,AH26,E$40:E455,"SAL")</f>
        <v>0</v>
      </c>
      <c r="AJ26" s="29">
        <f t="shared" si="4"/>
        <v>0</v>
      </c>
      <c r="AK26" s="29">
        <f t="shared" si="12"/>
        <v>0</v>
      </c>
      <c r="AL26" s="29">
        <f>COUNTIFS(H$40:H455,AH26,E$40:E455,"SAIL")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v>721</v>
      </c>
      <c r="G27" s="11"/>
      <c r="K27" s="5"/>
      <c r="U27" s="87" t="str">
        <f>Cadastros!I34</f>
        <v>Erick Vicente</v>
      </c>
      <c r="V27" s="85">
        <f>COUNTIFS(H$39:H455,U27,K$39:K455,V$4)</f>
        <v>0</v>
      </c>
      <c r="W27" s="18">
        <f>COUNTIFS(H$39:H455,U27,K$39:K455,W$4)</f>
        <v>0</v>
      </c>
      <c r="X27" s="18">
        <f>COUNTIFS(H$39:H455,U27,K$39:K455,X$4)</f>
        <v>0</v>
      </c>
      <c r="Y27" s="19">
        <f t="shared" si="0"/>
        <v>0</v>
      </c>
      <c r="AA27" s="21" t="str">
        <f t="shared" si="1"/>
        <v>Erick Vicente</v>
      </c>
      <c r="AB27" s="37">
        <f>SUMIFS(J$40:J382,H$40:H382,AA27,E$40:E382,"SAL")</f>
        <v>0</v>
      </c>
      <c r="AC27" s="38">
        <f>SUMIFS(J$40:J456,H$40:H456,AA27,E$40:E456,"SAM")</f>
        <v>0</v>
      </c>
      <c r="AD27" s="38">
        <f>SUMIFS(J$40:J456,H$40:H456,AA27,E$40:E456,"NE")</f>
        <v>0</v>
      </c>
      <c r="AE27" s="38">
        <f>SUMIFS(J$40:J456,H$40:H456,AA27,E$40:E456,"SAIL")</f>
        <v>0</v>
      </c>
      <c r="AF27" s="39">
        <f t="shared" si="2"/>
        <v>0</v>
      </c>
      <c r="AH27" s="21" t="str">
        <f t="shared" si="3"/>
        <v>Erick Vicente</v>
      </c>
      <c r="AI27" s="37">
        <f>COUNTIFS(H$40:H456,AH27,E$40:E456,"SAL")</f>
        <v>0</v>
      </c>
      <c r="AJ27" s="38">
        <f t="shared" si="4"/>
        <v>0</v>
      </c>
      <c r="AK27" s="38">
        <f t="shared" si="12"/>
        <v>0</v>
      </c>
      <c r="AL27" s="38">
        <f>COUNTIFS(H$40:H456,AH27,E$40:E456,"SAIL")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t="s">
        <v>10</v>
      </c>
      <c r="G28" s="11"/>
      <c r="K28" s="5"/>
      <c r="U28" s="87" t="str">
        <f>Cadastros!I35</f>
        <v>Rafaela Sampaio</v>
      </c>
      <c r="V28" s="86">
        <f>COUNTIFS(H$39:H456,U28,K$39:K456,V$4)</f>
        <v>0</v>
      </c>
      <c r="W28" s="14">
        <f>COUNTIFS(H$39:H456,U28,K$39:K456,W$4)</f>
        <v>0</v>
      </c>
      <c r="X28" s="14">
        <f>COUNTIFS(H$39:H456,U28,K$39:K456,X$4)</f>
        <v>0</v>
      </c>
      <c r="Y28" s="15">
        <f t="shared" si="0"/>
        <v>0</v>
      </c>
      <c r="AA28" s="22" t="str">
        <f t="shared" si="1"/>
        <v>Rafaela Sampaio</v>
      </c>
      <c r="AB28" s="30">
        <f>SUMIFS(J$40:J383,H$40:H383,AA28,E$40:E383,"SAL")</f>
        <v>0</v>
      </c>
      <c r="AC28" s="29">
        <f>SUMIFS(J$40:J457,H$40:H457,AA28,E$40:E457,"SAM")</f>
        <v>0</v>
      </c>
      <c r="AD28" s="29">
        <f>SUMIFS(J$40:J457,H$40:H457,AA28,E$40:E457,"NE")</f>
        <v>0</v>
      </c>
      <c r="AE28" s="29">
        <f>SUMIFS(J$40:J457,H$40:H457,AA28,E$40:E457,"SAIL")</f>
        <v>0</v>
      </c>
      <c r="AF28" s="31">
        <f t="shared" si="2"/>
        <v>0</v>
      </c>
      <c r="AH28" s="22" t="str">
        <f t="shared" si="3"/>
        <v>Rafaela Sampaio</v>
      </c>
      <c r="AI28" s="30">
        <f>COUNTIFS(H$40:H457,AH28,E$40:E457,"SAL")</f>
        <v>0</v>
      </c>
      <c r="AJ28" s="29">
        <f t="shared" si="4"/>
        <v>0</v>
      </c>
      <c r="AK28" s="29">
        <f t="shared" si="12"/>
        <v>0</v>
      </c>
      <c r="AL28" s="29">
        <f>COUNTIFS(H$40:H457,AH28,E$40:E457,"SAIL")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v>1</v>
      </c>
      <c r="G29" s="11"/>
      <c r="K29" s="5"/>
      <c r="U29" s="87" t="str">
        <f>Cadastros!I36</f>
        <v>Laysa Gabriela</v>
      </c>
      <c r="V29" s="97">
        <f>COUNTIFS(H$39:H457,U29,K$39:K457,V$4)</f>
        <v>0</v>
      </c>
      <c r="W29" s="98">
        <f>COUNTIFS(H$39:H457,U29,K$39:K457,W$4)</f>
        <v>0</v>
      </c>
      <c r="X29" s="98">
        <f>COUNTIFS(H$39:H457,U29,K$39:K457,X$4)</f>
        <v>0</v>
      </c>
      <c r="Y29" s="99">
        <f t="shared" si="0"/>
        <v>0</v>
      </c>
      <c r="AA29" s="89" t="str">
        <f t="shared" si="1"/>
        <v>Laysa Gabriela</v>
      </c>
      <c r="AB29" s="90">
        <f>SUMIFS(J$40:J384,H$40:H384,AA29,E$40:E384,"SAL")</f>
        <v>0</v>
      </c>
      <c r="AC29" s="91">
        <f>SUMIFS(J$40:J458,H$40:H458,AA29,E$40:E458,"SAM")</f>
        <v>0</v>
      </c>
      <c r="AD29" s="91">
        <f>SUMIFS(J$40:J458,H$40:H458,AA29,E$40:E458,"NE")</f>
        <v>0</v>
      </c>
      <c r="AE29" s="91">
        <f>SUMIFS(J$40:J458,H$40:H458,AA29,E$40:E458,"SAIL")</f>
        <v>0</v>
      </c>
      <c r="AF29" s="92">
        <f t="shared" si="2"/>
        <v>0</v>
      </c>
      <c r="AH29" s="89" t="str">
        <f t="shared" si="3"/>
        <v>Laysa Gabriela</v>
      </c>
      <c r="AI29" s="90">
        <f>COUNTIFS(H$40:H458,AH29,E$40:E458,"SAL")</f>
        <v>0</v>
      </c>
      <c r="AJ29" s="91">
        <f t="shared" si="4"/>
        <v>0</v>
      </c>
      <c r="AK29" s="91">
        <f t="shared" si="12"/>
        <v>0</v>
      </c>
      <c r="AL29" s="91">
        <f>COUNTIFS(H$40:H458,AH29,E$40:E458,"SAIL")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t="s">
        <v>33</v>
      </c>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t="s">
        <v>33</v>
      </c>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t="15" customHeight="1">
      <c r="A40" s="78"/>
      <c r="B40" s="78"/>
      <c r="C40" s="78"/>
      <c r="D40" s="78"/>
      <c r="E40" s="78"/>
      <c r="F40" s="78"/>
      <c r="G40" s="78"/>
      <c r="H40" s="78"/>
      <c r="I40" s="78"/>
      <c r="J40" s="78"/>
      <c r="K40" s="78"/>
      <c r="L40" s="78"/>
      <c r="M40" s="78"/>
      <c r="N40" s="78"/>
      <c r="O40" s="78"/>
      <c r="P40" s="78"/>
      <c r="Q40" s="78"/>
    </row>
    <row r="42" spans="1:18" ht="15" customHeight="1">
      <c r="A42" s="4"/>
      <c r="B42" s="5"/>
      <c r="C42" s="4"/>
      <c r="D42" s="5"/>
      <c r="E42" s="5"/>
      <c r="F42" s="5"/>
      <c r="H42" s="5"/>
      <c r="I42" s="5"/>
      <c r="J42" s="5"/>
      <c r="K42" s="5"/>
      <c r="L42" s="5"/>
      <c r="M42" s="5"/>
      <c r="N42" s="5"/>
      <c r="O42" s="5"/>
      <c r="P42" s="5"/>
      <c r="Q42" s="5"/>
      <c r="R42" s="5"/>
    </row>
    <row r="43" spans="1:18" ht="15" customHeight="1">
      <c r="A43" s="4"/>
      <c r="B43" s="5"/>
      <c r="C43" s="4"/>
      <c r="D43" s="5"/>
      <c r="E43" s="5"/>
      <c r="F43" s="5"/>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H58" s="5"/>
      <c r="I58" s="5"/>
      <c r="J58" s="5"/>
      <c r="K58" s="5"/>
      <c r="L58" s="5"/>
      <c r="M58" s="5"/>
      <c r="N58" s="5"/>
      <c r="O58" s="5"/>
      <c r="P58" s="5"/>
      <c r="Q58" s="5"/>
      <c r="R58" s="5"/>
    </row>
    <row r="59" spans="1:18" ht="15" customHeight="1">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ht="15" customHeight="1">
      <c r="A61" s="4"/>
      <c r="B61" s="5"/>
      <c r="C61" s="4"/>
      <c r="D61" s="5"/>
      <c r="E61" s="5"/>
      <c r="F61" s="5"/>
      <c r="H61" s="5"/>
      <c r="I61" s="5"/>
      <c r="J61" s="5"/>
      <c r="K61" s="5"/>
      <c r="L61" s="5"/>
      <c r="M61" s="5"/>
      <c r="N61" s="5"/>
      <c r="O61" s="5"/>
      <c r="P61" s="5"/>
      <c r="Q61" s="5"/>
      <c r="R61" s="5"/>
    </row>
    <row r="62" spans="1:18" ht="15" customHeight="1">
      <c r="A62" s="4"/>
      <c r="B62" s="5"/>
      <c r="C62" s="4"/>
      <c r="D62" s="5"/>
      <c r="E62" s="5"/>
      <c r="F62" s="5"/>
      <c r="H62" s="5"/>
      <c r="I62" s="5"/>
      <c r="J62" s="5"/>
      <c r="K62" s="5"/>
      <c r="L62" s="5"/>
      <c r="M62" s="5"/>
      <c r="N62" s="5"/>
      <c r="O62" s="5"/>
      <c r="P62" s="5"/>
      <c r="Q62" s="5"/>
      <c r="R62" s="5"/>
    </row>
    <row r="63" spans="1:18" ht="15" customHeight="1">
      <c r="A63" s="4"/>
      <c r="B63" s="5"/>
      <c r="C63" s="4"/>
      <c r="D63" s="5"/>
      <c r="E63" s="5"/>
      <c r="F63" s="5"/>
      <c r="H63" s="5"/>
      <c r="I63" s="5"/>
      <c r="J63" s="5"/>
      <c r="K63" s="5"/>
      <c r="L63" s="5"/>
      <c r="M63" s="5"/>
      <c r="N63" s="5"/>
      <c r="O63" s="5"/>
      <c r="P63" s="5"/>
      <c r="Q63" s="5"/>
      <c r="R63" s="5"/>
    </row>
    <row r="64" spans="1:18" ht="15" customHeight="1">
      <c r="A64" s="4"/>
      <c r="B64" s="5"/>
      <c r="C64" s="4"/>
      <c r="D64" s="5"/>
      <c r="E64" s="5"/>
      <c r="F64" s="5"/>
      <c r="G64" s="168"/>
      <c r="H64" s="5"/>
      <c r="I64" s="5"/>
      <c r="J64" s="5"/>
      <c r="K64" s="5"/>
      <c r="L64" s="5"/>
      <c r="M64" s="5"/>
      <c r="N64" s="5"/>
      <c r="O64" s="5"/>
      <c r="P64" s="5"/>
      <c r="Q64" s="5"/>
      <c r="R64" s="5"/>
    </row>
    <row r="65" spans="1:18" ht="15" customHeight="1">
      <c r="A65" s="4"/>
      <c r="B65" s="5"/>
      <c r="C65" s="4"/>
      <c r="D65" s="5"/>
      <c r="E65" s="5"/>
      <c r="F65" s="5"/>
      <c r="H65" s="5"/>
      <c r="I65" s="5"/>
      <c r="J65" s="5"/>
      <c r="K65" s="5"/>
      <c r="L65" s="5"/>
      <c r="M65" s="5"/>
      <c r="N65" s="5"/>
      <c r="O65" s="5"/>
      <c r="P65" s="5"/>
      <c r="Q65" s="5"/>
      <c r="R65" s="5"/>
    </row>
    <row r="66" spans="1:18" ht="15" customHeight="1">
      <c r="A66" s="4"/>
      <c r="B66" s="5"/>
      <c r="C66" s="4"/>
      <c r="D66" s="5"/>
      <c r="E66" s="5"/>
      <c r="F66" s="5"/>
      <c r="H66" s="5"/>
      <c r="I66" s="5"/>
      <c r="J66" s="5"/>
      <c r="K66" s="5"/>
      <c r="L66" s="5"/>
      <c r="M66" s="5"/>
      <c r="N66" s="5"/>
      <c r="O66" s="5"/>
      <c r="P66" s="5"/>
      <c r="Q66" s="5"/>
      <c r="R66" s="5"/>
    </row>
    <row r="67" spans="1:18" ht="15" customHeight="1">
      <c r="A67" s="4"/>
      <c r="B67" s="5"/>
      <c r="C67" s="4"/>
      <c r="D67" s="5"/>
      <c r="E67" s="5"/>
      <c r="F67" s="5"/>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G89" s="136"/>
      <c r="H89" s="5"/>
      <c r="I89" s="5"/>
      <c r="J89" s="5"/>
      <c r="K89" s="5"/>
      <c r="L89" s="5"/>
      <c r="M89" s="5"/>
      <c r="N89" s="5"/>
      <c r="O89" s="5"/>
      <c r="P89" s="5"/>
      <c r="Q89" s="5"/>
      <c r="R89" s="5"/>
    </row>
    <row r="90" spans="1:18" ht="15" customHeight="1">
      <c r="A90" s="4"/>
      <c r="B90" s="5"/>
      <c r="C90" s="4"/>
      <c r="D90" s="5"/>
      <c r="E90" s="5"/>
      <c r="F90" s="5"/>
      <c r="G90" s="168"/>
      <c r="H90" s="5"/>
      <c r="I90" s="5"/>
      <c r="J90" s="5"/>
      <c r="K90" s="5"/>
      <c r="L90" s="5"/>
      <c r="M90" s="5"/>
      <c r="N90" s="5"/>
      <c r="O90" s="5"/>
      <c r="P90" s="5"/>
      <c r="Q90" s="5"/>
      <c r="R90" s="5"/>
    </row>
    <row r="91" spans="1:18" ht="15" customHeight="1">
      <c r="A91" s="4"/>
      <c r="B91" s="5"/>
      <c r="C91" s="4"/>
      <c r="D91" s="5"/>
      <c r="E91" s="5"/>
      <c r="F91" s="5"/>
      <c r="G91" s="168"/>
      <c r="H91" s="5"/>
      <c r="I91" s="5"/>
      <c r="J91" s="5"/>
      <c r="K91" s="5"/>
      <c r="L91" s="5"/>
      <c r="M91" s="5"/>
      <c r="N91" s="5"/>
      <c r="O91" s="5"/>
      <c r="P91" s="5"/>
      <c r="Q91" s="5"/>
      <c r="R91" s="5"/>
    </row>
    <row r="92" spans="1:18" ht="15" customHeight="1">
      <c r="A92" s="4"/>
      <c r="B92" s="5"/>
      <c r="C92" s="4"/>
      <c r="D92" s="5"/>
      <c r="E92" s="5"/>
      <c r="F92" s="5"/>
      <c r="G92" s="188"/>
      <c r="H92" s="5"/>
      <c r="I92" s="5"/>
      <c r="J92" s="5"/>
      <c r="K92" s="5"/>
      <c r="L92" s="5"/>
      <c r="M92" s="5"/>
      <c r="N92" s="5"/>
      <c r="O92" s="5"/>
      <c r="P92" s="5"/>
      <c r="Q92" s="5"/>
      <c r="R92" s="5"/>
    </row>
    <row r="93" spans="1:18" ht="15" customHeight="1">
      <c r="A93" s="4"/>
      <c r="B93" s="5"/>
      <c r="C93" s="4"/>
      <c r="D93" s="5"/>
      <c r="E93" s="5"/>
      <c r="F93" s="5"/>
      <c r="G93" s="188"/>
      <c r="H93" s="5"/>
      <c r="I93" s="5"/>
      <c r="J93" s="5"/>
      <c r="K93" s="5"/>
      <c r="L93" s="5"/>
      <c r="M93" s="5"/>
      <c r="N93" s="5"/>
      <c r="O93" s="5"/>
      <c r="P93" s="5"/>
      <c r="Q93" s="5"/>
      <c r="R93" s="5"/>
    </row>
    <row r="94" spans="1:18" ht="15" customHeight="1">
      <c r="A94" s="4"/>
      <c r="B94" s="5"/>
      <c r="C94" s="4"/>
      <c r="D94" s="5"/>
      <c r="E94" s="5"/>
      <c r="F94" s="5"/>
      <c r="G94" s="188"/>
      <c r="H94" s="5"/>
      <c r="I94" s="5"/>
      <c r="J94" s="5"/>
      <c r="K94" s="5"/>
      <c r="L94" s="5"/>
      <c r="M94" s="5"/>
      <c r="N94" s="5"/>
      <c r="O94" s="5"/>
      <c r="P94" s="5"/>
      <c r="Q94" s="5"/>
      <c r="R94" s="5"/>
    </row>
    <row r="95" spans="1:18" ht="15" customHeight="1">
      <c r="A95" s="4"/>
      <c r="B95" s="5"/>
      <c r="C95" s="4"/>
      <c r="D95" s="5"/>
      <c r="E95" s="5"/>
      <c r="F95" s="5"/>
      <c r="G95" s="188"/>
      <c r="H95" s="5"/>
      <c r="I95" s="5"/>
      <c r="J95" s="5"/>
      <c r="K95" s="5"/>
      <c r="L95" s="5"/>
      <c r="M95" s="5"/>
      <c r="N95" s="5"/>
      <c r="O95" s="5"/>
      <c r="P95" s="5"/>
      <c r="Q95" s="5"/>
      <c r="R95" s="5"/>
    </row>
    <row r="96" spans="1:18" ht="15" customHeight="1">
      <c r="A96" s="4"/>
      <c r="B96" s="5"/>
      <c r="C96" s="4"/>
      <c r="D96" s="5"/>
      <c r="E96" s="5"/>
      <c r="F96" s="5"/>
      <c r="G96" s="188"/>
      <c r="H96" s="5"/>
      <c r="I96" s="5"/>
      <c r="J96" s="5"/>
      <c r="K96" s="5"/>
      <c r="L96" s="5"/>
      <c r="M96" s="5"/>
      <c r="N96" s="5"/>
      <c r="O96" s="5"/>
      <c r="P96" s="5"/>
      <c r="Q96" s="5"/>
      <c r="R96" s="5"/>
    </row>
    <row r="97" spans="1:18" ht="15" customHeight="1">
      <c r="A97" s="4"/>
      <c r="B97" s="5"/>
      <c r="C97" s="4"/>
      <c r="D97" s="5"/>
      <c r="E97" s="5"/>
      <c r="F97" s="5"/>
      <c r="G97" s="188"/>
      <c r="H97" s="5"/>
      <c r="I97" s="5"/>
      <c r="J97" s="5"/>
      <c r="K97" s="5"/>
      <c r="L97" s="5"/>
      <c r="M97" s="5"/>
      <c r="N97" s="5"/>
      <c r="O97" s="5"/>
      <c r="P97" s="5"/>
      <c r="Q97" s="5"/>
      <c r="R97" s="5"/>
    </row>
    <row r="98" spans="1:18" ht="15" customHeight="1">
      <c r="A98" s="4"/>
      <c r="B98" s="5"/>
      <c r="C98" s="4"/>
      <c r="D98" s="5"/>
      <c r="E98" s="5"/>
      <c r="F98" s="5"/>
      <c r="G98" s="188"/>
      <c r="H98" s="5"/>
      <c r="I98" s="5"/>
      <c r="J98" s="5"/>
      <c r="K98" s="5"/>
      <c r="L98" s="5"/>
      <c r="M98" s="5"/>
      <c r="N98" s="5"/>
      <c r="O98" s="5"/>
      <c r="P98" s="5"/>
      <c r="Q98" s="5"/>
      <c r="R98" s="5"/>
    </row>
    <row r="99" spans="1:18" ht="15" customHeight="1">
      <c r="A99" s="4"/>
      <c r="B99" s="5"/>
      <c r="C99" s="4"/>
      <c r="D99" s="5"/>
      <c r="E99" s="5"/>
      <c r="F99" s="5"/>
      <c r="G99" s="188"/>
      <c r="H99" s="5"/>
      <c r="I99" s="5"/>
      <c r="J99" s="5"/>
      <c r="K99" s="5"/>
      <c r="L99" s="5"/>
      <c r="M99" s="5"/>
      <c r="N99" s="5"/>
      <c r="O99" s="5"/>
      <c r="P99" s="5"/>
      <c r="Q99" s="5"/>
      <c r="R99" s="5"/>
    </row>
    <row r="100" spans="1:18" ht="15" customHeight="1">
      <c r="A100" s="4"/>
      <c r="B100" s="5"/>
      <c r="C100" s="4"/>
      <c r="D100" s="5"/>
      <c r="E100" s="5"/>
      <c r="F100" s="5"/>
      <c r="G100" s="188"/>
      <c r="H100" s="5"/>
      <c r="I100" s="5"/>
      <c r="J100" s="5"/>
      <c r="K100" s="5"/>
      <c r="L100" s="5"/>
      <c r="M100" s="5"/>
      <c r="N100" s="5"/>
      <c r="O100" s="5"/>
      <c r="P100" s="5"/>
      <c r="Q100" s="5"/>
      <c r="R100" s="5"/>
    </row>
    <row r="101" spans="1:18" ht="15" customHeight="1">
      <c r="A101" s="4"/>
      <c r="B101" s="5"/>
      <c r="C101" s="4"/>
      <c r="D101" s="5"/>
      <c r="E101" s="5"/>
      <c r="F101" s="5"/>
      <c r="G101" s="188"/>
      <c r="H101" s="5"/>
      <c r="I101" s="5"/>
      <c r="J101" s="5"/>
      <c r="K101" s="5"/>
      <c r="L101" s="5"/>
      <c r="M101" s="5"/>
      <c r="N101" s="5"/>
      <c r="O101" s="5"/>
      <c r="P101" s="5"/>
      <c r="Q101" s="5"/>
      <c r="R101" s="5"/>
    </row>
    <row r="102" spans="1:18" ht="15" customHeight="1">
      <c r="A102" s="4"/>
      <c r="B102" s="5"/>
      <c r="C102" s="4"/>
      <c r="D102" s="5"/>
      <c r="E102" s="5"/>
      <c r="F102" s="5"/>
      <c r="G102" s="188"/>
      <c r="H102" s="5"/>
      <c r="I102" s="5"/>
      <c r="J102" s="5"/>
      <c r="K102" s="5"/>
      <c r="L102" s="5"/>
      <c r="M102" s="5"/>
      <c r="N102" s="5"/>
      <c r="O102" s="5"/>
      <c r="P102" s="5"/>
      <c r="Q102" s="5"/>
      <c r="R102" s="5"/>
    </row>
    <row r="103" spans="1:18" ht="15" customHeight="1">
      <c r="A103" s="4"/>
      <c r="B103" s="5"/>
      <c r="C103" s="4"/>
      <c r="D103" s="5"/>
      <c r="E103" s="5"/>
      <c r="F103" s="5"/>
      <c r="G103" s="188"/>
      <c r="H103" s="5"/>
      <c r="I103" s="5"/>
      <c r="J103" s="5"/>
      <c r="K103" s="5"/>
      <c r="L103" s="5"/>
      <c r="M103" s="5"/>
      <c r="N103" s="5"/>
      <c r="O103" s="5"/>
      <c r="P103" s="5"/>
      <c r="Q103" s="5"/>
      <c r="R103" s="5"/>
    </row>
    <row r="104" spans="1:18" ht="15" customHeight="1">
      <c r="A104" s="4"/>
      <c r="B104" s="5"/>
      <c r="C104" s="4"/>
      <c r="D104" s="5"/>
      <c r="E104" s="5"/>
      <c r="F104" s="5"/>
      <c r="G104" s="188"/>
      <c r="H104" s="5"/>
      <c r="I104" s="5"/>
      <c r="J104" s="5"/>
      <c r="K104" s="5"/>
      <c r="L104" s="5"/>
      <c r="M104" s="5"/>
      <c r="N104" s="5"/>
      <c r="O104" s="5"/>
      <c r="P104" s="5"/>
      <c r="Q104" s="5"/>
      <c r="R104" s="5"/>
    </row>
    <row r="105" spans="1:18" ht="15" customHeight="1">
      <c r="A105" s="4"/>
      <c r="B105" s="5"/>
      <c r="C105" s="4"/>
      <c r="D105" s="5"/>
      <c r="E105" s="5"/>
      <c r="F105" s="5"/>
      <c r="G105" s="187"/>
      <c r="H105" s="5"/>
      <c r="I105" s="5"/>
      <c r="J105" s="5"/>
      <c r="K105" s="5"/>
      <c r="L105" s="5"/>
      <c r="M105" s="5"/>
      <c r="N105" s="5"/>
      <c r="O105" s="5"/>
      <c r="P105" s="5"/>
      <c r="Q105" s="5"/>
      <c r="R105" s="5"/>
    </row>
    <row r="106" spans="1:18" ht="15" customHeight="1">
      <c r="A106" s="4"/>
      <c r="B106" s="5"/>
      <c r="C106" s="4"/>
      <c r="D106" s="5"/>
      <c r="E106" s="5"/>
      <c r="F106" s="5"/>
      <c r="G106" s="168"/>
      <c r="H106" s="5"/>
      <c r="I106" s="5"/>
      <c r="J106" s="5"/>
      <c r="K106" s="5"/>
      <c r="L106" s="5"/>
      <c r="M106" s="5"/>
      <c r="N106" s="5"/>
      <c r="O106" s="5"/>
      <c r="P106" s="5"/>
      <c r="Q106" s="5"/>
      <c r="R106" s="5"/>
    </row>
    <row r="107" spans="1:18" ht="15" customHeight="1">
      <c r="A107" s="4"/>
      <c r="B107" s="5"/>
      <c r="C107" s="4"/>
      <c r="D107" s="5"/>
      <c r="E107" s="5"/>
      <c r="F107" s="5"/>
      <c r="G107" s="186"/>
      <c r="H107" s="5"/>
      <c r="I107" s="5"/>
      <c r="J107" s="5"/>
      <c r="K107" s="5"/>
      <c r="L107" s="5"/>
      <c r="M107" s="5"/>
      <c r="N107" s="5"/>
      <c r="O107" s="5"/>
      <c r="P107" s="5"/>
      <c r="Q107" s="5"/>
      <c r="R107" s="5"/>
    </row>
    <row r="108" spans="1:18" ht="15" customHeight="1">
      <c r="A108" s="4"/>
      <c r="B108" s="5"/>
      <c r="C108" s="4"/>
      <c r="D108" s="5"/>
      <c r="E108" s="5"/>
      <c r="F108" s="5"/>
      <c r="G108" s="168"/>
      <c r="H108" s="5"/>
      <c r="I108" s="5"/>
      <c r="J108" s="5"/>
      <c r="K108" s="5"/>
      <c r="L108" s="5"/>
      <c r="M108" s="5"/>
      <c r="N108" s="5"/>
      <c r="O108" s="5"/>
      <c r="P108" s="5"/>
      <c r="Q108" s="5"/>
      <c r="R108" s="5"/>
    </row>
    <row r="109" spans="1:18" ht="15" customHeight="1">
      <c r="A109" s="4"/>
      <c r="B109" s="5"/>
      <c r="C109" s="4"/>
      <c r="D109" s="5"/>
      <c r="E109" s="5"/>
      <c r="F109" s="5"/>
      <c r="G109" s="168"/>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G111" s="168"/>
      <c r="H111" s="5"/>
      <c r="I111" s="5"/>
      <c r="J111" s="5"/>
      <c r="K111" s="5"/>
      <c r="L111" s="5"/>
      <c r="M111" s="5"/>
      <c r="N111" s="5"/>
      <c r="O111" s="5"/>
      <c r="P111" s="5"/>
      <c r="Q111" s="5"/>
      <c r="R111" s="5"/>
    </row>
    <row r="112" spans="1:18" ht="15" customHeight="1">
      <c r="A112" s="4"/>
      <c r="B112" s="5"/>
      <c r="C112" s="4"/>
      <c r="D112" s="5"/>
      <c r="E112" s="5"/>
      <c r="F112" s="5"/>
      <c r="G112" s="136"/>
      <c r="H112" s="5"/>
      <c r="I112" s="5"/>
      <c r="J112" s="5"/>
      <c r="K112" s="5"/>
      <c r="L112" s="5"/>
      <c r="M112" s="5"/>
      <c r="N112" s="5"/>
      <c r="O112" s="5"/>
      <c r="P112" s="5"/>
      <c r="Q112" s="5"/>
      <c r="R112" s="5"/>
    </row>
    <row r="113" spans="1:18" ht="15" customHeight="1">
      <c r="A113" s="4"/>
      <c r="B113" s="5"/>
      <c r="C113" s="4"/>
      <c r="D113" s="5"/>
      <c r="E113" s="5"/>
      <c r="F113" s="5"/>
      <c r="G113" s="136"/>
      <c r="H113" s="5"/>
      <c r="I113" s="5"/>
      <c r="J113" s="5"/>
      <c r="K113" s="5"/>
      <c r="L113" s="5"/>
      <c r="M113" s="5"/>
      <c r="N113" s="5"/>
      <c r="O113" s="5"/>
      <c r="P113" s="5"/>
      <c r="Q113" s="5"/>
      <c r="R113" s="5"/>
    </row>
    <row r="114" spans="1:18" ht="15" customHeight="1">
      <c r="A114" s="4"/>
      <c r="B114" s="5"/>
      <c r="C114" s="4"/>
      <c r="D114" s="5"/>
      <c r="E114" s="5"/>
      <c r="F114" s="5"/>
      <c r="G114" s="168"/>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G119" s="136"/>
      <c r="H119" s="5"/>
      <c r="I119" s="5"/>
      <c r="J119" s="5"/>
      <c r="K119" s="5"/>
      <c r="L119" s="5"/>
      <c r="M119" s="5"/>
      <c r="N119" s="5"/>
      <c r="O119" s="5"/>
      <c r="P119" s="5"/>
      <c r="Q119" s="5"/>
      <c r="R119" s="5"/>
    </row>
    <row r="120" spans="1:18" ht="15" customHeight="1">
      <c r="A120" s="4"/>
      <c r="B120" s="5"/>
      <c r="C120" s="4"/>
      <c r="D120" s="5"/>
      <c r="E120" s="5"/>
      <c r="F120" s="5"/>
      <c r="G120" s="136"/>
      <c r="H120" s="5"/>
      <c r="I120" s="5"/>
      <c r="J120" s="5"/>
      <c r="K120" s="5"/>
      <c r="L120" s="5"/>
      <c r="M120" s="5"/>
      <c r="N120" s="5"/>
      <c r="O120" s="5"/>
      <c r="P120" s="5"/>
      <c r="Q120" s="5"/>
      <c r="R120" s="5"/>
    </row>
    <row r="121" spans="1:18" ht="15" customHeight="1">
      <c r="A121" s="4"/>
      <c r="B121" s="5"/>
      <c r="C121" s="4"/>
      <c r="D121" s="5"/>
      <c r="E121" s="5"/>
      <c r="F121" s="5"/>
      <c r="G121" s="136"/>
      <c r="H121" s="5"/>
      <c r="I121" s="5"/>
      <c r="J121" s="5"/>
      <c r="K121" s="5"/>
      <c r="L121" s="5"/>
      <c r="M121" s="5"/>
      <c r="N121" s="5"/>
      <c r="O121" s="5"/>
      <c r="P121" s="5"/>
      <c r="Q121" s="5"/>
      <c r="R121" s="5"/>
    </row>
    <row r="122" spans="1:18" ht="15" customHeight="1">
      <c r="A122" s="4"/>
      <c r="B122" s="5"/>
      <c r="C122" s="4"/>
      <c r="D122" s="5"/>
      <c r="E122" s="5"/>
      <c r="F122" s="5"/>
      <c r="G122" s="136"/>
      <c r="H122" s="5"/>
      <c r="I122" s="5"/>
      <c r="J122" s="5"/>
      <c r="K122" s="5"/>
      <c r="L122" s="5"/>
      <c r="M122" s="5"/>
      <c r="N122" s="5"/>
      <c r="O122" s="5"/>
      <c r="P122" s="5"/>
      <c r="Q122" s="5"/>
      <c r="R122" s="5"/>
    </row>
    <row r="123" spans="1:18" ht="15" customHeight="1">
      <c r="A123" s="4"/>
      <c r="B123" s="5"/>
      <c r="C123" s="4"/>
      <c r="D123" s="5"/>
      <c r="E123" s="5"/>
      <c r="F123" s="5"/>
      <c r="G123" s="138"/>
      <c r="H123" s="5"/>
      <c r="I123" s="5"/>
      <c r="J123" s="5"/>
      <c r="K123" s="5"/>
      <c r="L123" s="5"/>
      <c r="M123" s="5"/>
      <c r="N123" s="5"/>
      <c r="O123" s="5"/>
      <c r="P123" s="5"/>
      <c r="Q123" s="5"/>
      <c r="R123" s="5"/>
    </row>
    <row r="124" spans="1:18" ht="14.45" customHeight="1">
      <c r="A124" s="4"/>
      <c r="B124" s="5"/>
      <c r="C124" s="4"/>
      <c r="D124" s="5"/>
      <c r="E124" s="5"/>
      <c r="F124" s="5"/>
      <c r="G124" s="138"/>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G127" s="136"/>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G140" s="136"/>
      <c r="H140" s="5"/>
      <c r="I140" s="5"/>
      <c r="J140" s="5"/>
      <c r="K140" s="5"/>
      <c r="L140" s="5"/>
      <c r="M140" s="5"/>
      <c r="N140" s="5"/>
      <c r="O140" s="5"/>
      <c r="P140" s="5"/>
      <c r="Q140" s="5"/>
      <c r="R140" s="5"/>
    </row>
    <row r="141" spans="1:18">
      <c r="A141" s="4"/>
      <c r="B141" s="5"/>
      <c r="C141" s="4"/>
      <c r="D141" s="5"/>
      <c r="E141" s="5"/>
      <c r="F141" s="5"/>
      <c r="G141" s="136"/>
      <c r="H141" s="5"/>
      <c r="I141" s="5"/>
      <c r="J141" s="5"/>
      <c r="K141" s="5"/>
      <c r="L141" s="5"/>
      <c r="M141" s="5"/>
      <c r="N141" s="5"/>
      <c r="O141" s="5"/>
      <c r="P141" s="5"/>
      <c r="Q141" s="5"/>
      <c r="R141" s="5"/>
    </row>
    <row r="142" spans="1:18">
      <c r="A142" s="4"/>
      <c r="B142" s="5"/>
      <c r="C142" s="4"/>
      <c r="D142" s="5"/>
      <c r="E142" s="5"/>
      <c r="F142" s="5"/>
      <c r="G142" s="136"/>
      <c r="H142" s="5"/>
      <c r="I142" s="5"/>
      <c r="J142" s="5"/>
      <c r="K142" s="5"/>
      <c r="L142" s="5"/>
      <c r="M142" s="5"/>
      <c r="N142" s="5"/>
      <c r="O142" s="5"/>
      <c r="P142" s="5"/>
      <c r="Q142" s="5"/>
      <c r="R142" s="5"/>
    </row>
    <row r="143" spans="1:18">
      <c r="A143" s="4"/>
      <c r="B143" s="5"/>
      <c r="C143" s="4"/>
      <c r="D143" s="5"/>
      <c r="E143" s="5"/>
      <c r="F143" s="5"/>
      <c r="G143" s="136"/>
      <c r="H143" s="5"/>
      <c r="I143" s="5"/>
      <c r="J143" s="5"/>
      <c r="K143" s="5"/>
      <c r="L143" s="5"/>
      <c r="M143" s="5"/>
      <c r="N143" s="5"/>
      <c r="O143" s="5"/>
      <c r="P143" s="5"/>
      <c r="Q143" s="5"/>
      <c r="R143" s="5"/>
    </row>
    <row r="144" spans="1:18">
      <c r="A144" s="4"/>
      <c r="B144" s="5"/>
      <c r="C144" s="4"/>
      <c r="D144" s="5"/>
      <c r="E144" s="5"/>
      <c r="F144" s="5"/>
      <c r="G144" s="136"/>
      <c r="H144" s="5"/>
      <c r="I144" s="5"/>
      <c r="J144" s="5"/>
      <c r="K144" s="5"/>
      <c r="L144" s="5"/>
      <c r="M144" s="5"/>
      <c r="N144" s="5"/>
      <c r="O144" s="5"/>
      <c r="P144" s="5"/>
      <c r="Q144" s="5"/>
      <c r="R144" s="5"/>
    </row>
    <row r="145" spans="1:18">
      <c r="A145" s="4"/>
      <c r="B145" s="5"/>
      <c r="C145" s="4"/>
      <c r="D145" s="5"/>
      <c r="E145" s="5"/>
      <c r="F145" s="5"/>
      <c r="G145" s="136"/>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sheetData>
  <autoFilter ref="A39:R169" xr:uid="{8BF8EEC9-9611-41B0-997F-157D3DF9E139}"/>
  <mergeCells count="5">
    <mergeCell ref="AO3:AT3"/>
    <mergeCell ref="U1:X1"/>
    <mergeCell ref="U3:Y3"/>
    <mergeCell ref="AA3:AF3"/>
    <mergeCell ref="AH3:AM3"/>
  </mergeCells>
  <dataValidations count="4">
    <dataValidation showInputMessage="1" showErrorMessage="1" sqref="F33:F35 K33 P42:R169" xr:uid="{93353762-E5E5-41EA-B290-CCC62CFA038F}"/>
    <dataValidation type="custom" showInputMessage="1" showErrorMessage="1" sqref="K34:K35" xr:uid="{5E0713D0-05CA-4B00-AD7E-5302776E893C}">
      <formula1>_xlfn.DAYS(H237,F237)</formula1>
    </dataValidation>
    <dataValidation type="custom" allowBlank="1" showInputMessage="1" showErrorMessage="1" sqref="AE38 O38" xr:uid="{C4E48727-8C49-4867-B074-97605CF76C6E}">
      <formula1>_xlfn.DAYS(L240,J240)</formula1>
    </dataValidation>
    <dataValidation type="custom" showInputMessage="1" showErrorMessage="1" sqref="AF38 P38" xr:uid="{8D356FF6-DB25-46E7-8A1E-7112F06FF125}">
      <formula1>_xlfn.DAYS(M239,K239)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C605AD5-649C-4393-A9C9-E4B9550A445A}">
          <x14:formula1>
            <xm:f>Cadastros!$F$12:$F$25</xm:f>
          </x14:formula1>
          <xm:sqref>G38 K24 AM38 F23 F42:F169</xm:sqref>
        </x14:dataValidation>
        <x14:dataValidation type="list" allowBlank="1" showInputMessage="1" showErrorMessage="1" xr:uid="{C9417505-4BBF-49D7-AB2E-FEC484226083}">
          <x14:formula1>
            <xm:f>Cadastros!$Q$12:$Q$17</xm:f>
          </x14:formula1>
          <xm:sqref>K38 AA38 K28 F28 K42:K169</xm:sqref>
        </x14:dataValidation>
        <x14:dataValidation type="list" allowBlank="1" showInputMessage="1" showErrorMessage="1" xr:uid="{90B6C4CA-21C8-4F9E-BA4C-1B1DD088E611}">
          <x14:formula1>
            <xm:f>Cadastros!$N$12:$N$16</xm:f>
          </x14:formula1>
          <xm:sqref>I38 Y38 K26</xm:sqref>
        </x14:dataValidation>
        <x14:dataValidation type="list" allowBlank="1" showInputMessage="1" showErrorMessage="1" xr:uid="{D93F756D-7639-4FD7-9DAA-F1C99F8B7CAC}">
          <x14:formula1>
            <xm:f>Cadastros!$S$12:$S$13</xm:f>
          </x14:formula1>
          <xm:sqref>M38:N38 AC38:AD38 K30:K31 F30:F31 M42:N169</xm:sqref>
        </x14:dataValidation>
        <x14:dataValidation type="list" errorStyle="information" allowBlank="1" showInputMessage="1" showErrorMessage="1" xr:uid="{78721168-1841-465D-BD60-0AF382CA5423}">
          <x14:formula1>
            <xm:f>Cadastros!$I$12:$I$21</xm:f>
          </x14:formula1>
          <xm:sqref>H38 K25</xm:sqref>
        </x14:dataValidation>
        <x14:dataValidation type="list" showInputMessage="1" showErrorMessage="1" xr:uid="{4F9367A7-A018-419B-9908-5D3B2A1213E7}">
          <x14:formula1>
            <xm:f>Cadastros!$C$12:$C$16</xm:f>
          </x14:formula1>
          <xm:sqref>K22 AK38 F22 E38 E42:E169</xm:sqref>
        </x14:dataValidation>
        <x14:dataValidation type="list" errorStyle="information" allowBlank="1" showInputMessage="1" showErrorMessage="1" xr:uid="{58B7229E-E757-447E-9BF9-532DC8B83AB0}">
          <x14:formula1>
            <xm:f>Cadastros!$I$12:$I$36</xm:f>
          </x14:formula1>
          <xm:sqref>F25 H42:H169</xm:sqref>
        </x14:dataValidation>
        <x14:dataValidation type="list" allowBlank="1" showInputMessage="1" showErrorMessage="1" xr:uid="{BF4A0CBE-00D7-40A1-B336-07199436538C}">
          <x14:formula1>
            <xm:f>Cadastros!$N$12:$N$19</xm:f>
          </x14:formula1>
          <xm:sqref>I91:I169 F26 I42:I88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F45E2-3E53-400E-A2E9-C302B6D438DB}">
  <sheetPr codeName="Planilha13"/>
  <dimension ref="A1:AT164"/>
  <sheetViews>
    <sheetView topLeftCell="A27" zoomScaleNormal="100" workbookViewId="0">
      <selection activeCell="A40" sqref="A40:AT164"/>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73.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s>
  <sheetData>
    <row r="1" spans="21:46" ht="15.75" thickBot="1">
      <c r="U1" s="198" t="s">
        <v>70</v>
      </c>
      <c r="V1" s="199"/>
      <c r="W1" s="199"/>
      <c r="X1" s="199"/>
      <c r="Y1" s="23">
        <f>COUNTA(B$40:B316)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COUNTIFS(H$39:H434,U5,K$39:K434,V4)</f>
        <v>0</v>
      </c>
      <c r="W5" s="147">
        <f>COUNTIFS(H$39:H434,U5,K$39:K434,W4)</f>
        <v>0</v>
      </c>
      <c r="X5" s="147">
        <f>COUNTIFS(H$39:H434,U5,K$39:K434,X4)</f>
        <v>0</v>
      </c>
      <c r="Y5" s="148">
        <f t="shared" ref="Y5:Y11" si="0">SUM(V5:X5)</f>
        <v>0</v>
      </c>
      <c r="Z5" s="13"/>
      <c r="AA5" s="88" t="str">
        <f>U5</f>
        <v>Bárbara Leite</v>
      </c>
      <c r="AB5" s="33">
        <f>SUMIFS(J$40:J355,H$40:H355,AA5,E$40:E355,"SAL")</f>
        <v>0</v>
      </c>
      <c r="AC5" s="34">
        <f>SUMIFS(J$40:J429,H$40:H429,AA5,E$40:E429,"SAM")</f>
        <v>0</v>
      </c>
      <c r="AD5" s="34">
        <f>SUMIFS(J$40:J429,H$40:H429,AA5,E$40:E429,"NE")</f>
        <v>0</v>
      </c>
      <c r="AE5" s="34">
        <f>SUMIFS(J$40:J429,H$40:H429,AA5,E$40:E429,"SAIL")</f>
        <v>0</v>
      </c>
      <c r="AF5" s="35">
        <f t="shared" ref="AF5:AF12" si="1">SUBTOTAL(9,AB5:AE5)</f>
        <v>0</v>
      </c>
      <c r="AH5" s="88" t="str">
        <f>U5</f>
        <v>Bárbara Leite</v>
      </c>
      <c r="AI5" s="33">
        <f>COUNTIFS(H$40:H429,AH5,E$40:E429,"SAL")</f>
        <v>0</v>
      </c>
      <c r="AJ5" s="34">
        <f t="shared" ref="AJ5:AJ29" si="2">COUNTIFS(H$40:H$429,AH5,E$40:E$429,"SAM")</f>
        <v>0</v>
      </c>
      <c r="AK5" s="34">
        <f>COUNTIFS(H$40:H429,AH5,E$40:E$429,"NE")</f>
        <v>0</v>
      </c>
      <c r="AL5" s="34">
        <f>COUNTIFS(H$40:H429,AH5,E$40:E429,"SAIL")</f>
        <v>0</v>
      </c>
      <c r="AM5" s="35">
        <f t="shared" ref="AM5:AM29" si="3">SUBTOTAL(9,AI5:AL5)</f>
        <v>0</v>
      </c>
      <c r="AO5" s="88" t="str">
        <f>U5</f>
        <v>Bárbara Leite</v>
      </c>
      <c r="AP5" s="33">
        <f t="shared" ref="AP5:AP29" si="4">SUMIFS(Q$40:Q$354,H$40:H$354,AO5,E$40:E$354,"SAL")</f>
        <v>0</v>
      </c>
      <c r="AQ5" s="34">
        <f t="shared" ref="AQ5:AQ29" si="5">SUMIFS(Q$40:Q$354,H$40:H$354,AO5,E$40:E$354,"SAM")</f>
        <v>0</v>
      </c>
      <c r="AR5" s="34">
        <f t="shared" ref="AR5:AR29" si="6">SUMIFS(Q$40:Q$354,H$40:H$354,AO5,E$40:E$354,"NE")</f>
        <v>0</v>
      </c>
      <c r="AS5" s="34">
        <f t="shared" ref="AS5:AS29" si="7">SUMIFS(Q$40:Q$354,H$40:H$354,AO5,E$40:E$354,"SAIL")</f>
        <v>0</v>
      </c>
      <c r="AT5" s="35">
        <f t="shared" ref="AT5:AT29" si="8">SUBTOTAL(9,AP5:AS5)</f>
        <v>0</v>
      </c>
    </row>
    <row r="6" spans="21:46" ht="15.75" thickBot="1">
      <c r="U6" s="87" t="str">
        <f>Cadastros!I13</f>
        <v>Bárbara Teixeira</v>
      </c>
      <c r="V6" s="85">
        <f>COUNTIFS(H$39:H434,U6,K$39:K434,V4)</f>
        <v>0</v>
      </c>
      <c r="W6" s="18">
        <f>COUNTIFS(H$39:H434,U6,K$39:K434,W4)</f>
        <v>0</v>
      </c>
      <c r="X6" s="18">
        <f>COUNTIFS(H$39:H434,U6,K$39:K434,X4)</f>
        <v>0</v>
      </c>
      <c r="Y6" s="19">
        <f t="shared" si="0"/>
        <v>0</v>
      </c>
      <c r="Z6" s="13"/>
      <c r="AA6" s="22" t="str">
        <f>U6</f>
        <v>Bárbara Teixeira</v>
      </c>
      <c r="AB6" s="30">
        <f>SUMIFS(J$40:J356,H$40:H356,AA6,E$40:E356,"SAL")</f>
        <v>0</v>
      </c>
      <c r="AC6" s="29">
        <f>SUMIFS(J$40:J430,H$40:H430,AA6,E$40:E430,"SAM")</f>
        <v>0</v>
      </c>
      <c r="AD6" s="29">
        <f>SUMIFS(J$40:J430,H$40:H430,AA6,E$40:E430,"NE")</f>
        <v>0</v>
      </c>
      <c r="AE6" s="29">
        <f>SUMIFS(J$40:J430,H$40:H430,AA6,E$40:E430,"SAIL")</f>
        <v>0</v>
      </c>
      <c r="AF6" s="31">
        <f t="shared" si="1"/>
        <v>0</v>
      </c>
      <c r="AH6" s="22" t="str">
        <f>U6</f>
        <v>Bárbara Teixeira</v>
      </c>
      <c r="AI6" s="30">
        <f>COUNTIFS(H$40:H430,AH6,E$40:E430,"SAL")</f>
        <v>0</v>
      </c>
      <c r="AJ6" s="29">
        <f t="shared" si="2"/>
        <v>0</v>
      </c>
      <c r="AK6" s="29">
        <f t="shared" ref="AK6:AK29" si="9">COUNTIFS(H$40:H$429,AH6,E$40:E$429,"NE")</f>
        <v>0</v>
      </c>
      <c r="AL6" s="29">
        <f>COUNTIFS(H$40:H430,AH6,E$40:E430,"SAIL")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COUNTIFS(H$39:H434,U7,K$39:K434,V4)</f>
        <v>0</v>
      </c>
      <c r="W7" s="14">
        <f>COUNTIFS(H$39:H434,U7,K$39:K434,W4)</f>
        <v>0</v>
      </c>
      <c r="X7" s="14">
        <f>COUNTIFS(H$39:H434,U7,K$39:K434,X4)</f>
        <v>0</v>
      </c>
      <c r="Y7" s="15">
        <f t="shared" si="0"/>
        <v>0</v>
      </c>
      <c r="Z7" s="13"/>
      <c r="AA7" s="21" t="str">
        <f t="shared" ref="AA7:AA11" si="10">U7</f>
        <v>Bruna Ferro</v>
      </c>
      <c r="AB7" s="37">
        <f>SUMIFS(J$40:J357,H$40:H357,AA7,E$40:E357,"SAL")</f>
        <v>0</v>
      </c>
      <c r="AC7" s="38">
        <f>SUMIFS(J$40:J431,H$40:H431,AA7,E$40:E431,"SAM")</f>
        <v>0</v>
      </c>
      <c r="AD7" s="38">
        <f>SUMIFS(J$40:J431,H$40:H431,AA7,E$40:E431,"NE")</f>
        <v>0</v>
      </c>
      <c r="AE7" s="38">
        <f>SUMIFS(J$40:J431,H$40:H431,AA7,E$40:E431,"SAIL")</f>
        <v>0</v>
      </c>
      <c r="AF7" s="39">
        <f t="shared" si="1"/>
        <v>0</v>
      </c>
      <c r="AH7" s="21" t="str">
        <f t="shared" ref="AH7:AH11" si="11">U7</f>
        <v>Bruna Ferro</v>
      </c>
      <c r="AI7" s="37">
        <f>COUNTIFS(H$40:H431,AH7,E$40:E431,"SAL")</f>
        <v>0</v>
      </c>
      <c r="AJ7" s="38">
        <f t="shared" si="2"/>
        <v>0</v>
      </c>
      <c r="AK7" s="38">
        <f t="shared" si="9"/>
        <v>0</v>
      </c>
      <c r="AL7" s="38">
        <f>COUNTIFS(H$40:H431,AH7,E$40:E431,"SAIL")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COUNTIFS(H$39:H434,U8,K$39:K434,V4)</f>
        <v>0</v>
      </c>
      <c r="W8" s="18">
        <f>COUNTIFS(H$39:H434,U8,K$39:K434,W4)</f>
        <v>0</v>
      </c>
      <c r="X8" s="18">
        <f>COUNTIFS(H$39:H434,U8,K$39:K434,X4)</f>
        <v>0</v>
      </c>
      <c r="Y8" s="19">
        <f t="shared" si="0"/>
        <v>0</v>
      </c>
      <c r="Z8" s="13"/>
      <c r="AA8" s="22" t="str">
        <f t="shared" si="10"/>
        <v>Carolina Esmeraldino</v>
      </c>
      <c r="AB8" s="30">
        <f>SUMIFS(J$40:J358,H$40:H358,AA8,E$40:E358,"SAL")</f>
        <v>0</v>
      </c>
      <c r="AC8" s="29">
        <f>SUMIFS(J$40:J432,H$40:H432,AA8,E$40:E432,"SAM")</f>
        <v>0</v>
      </c>
      <c r="AD8" s="29">
        <f>SUMIFS(J$40:J432,H$40:H432,AA8,E$40:E432,"NE")</f>
        <v>0</v>
      </c>
      <c r="AE8" s="29">
        <f>SUMIFS(J$40:J432,H$40:H432,AA8,E$40:E432,"SAIL")</f>
        <v>0</v>
      </c>
      <c r="AF8" s="31">
        <f t="shared" si="1"/>
        <v>0</v>
      </c>
      <c r="AH8" s="22" t="str">
        <f t="shared" si="11"/>
        <v>Carolina Esmeraldino</v>
      </c>
      <c r="AI8" s="30">
        <f>COUNTIFS(H$40:H432,AH8,E$40:E432,"SAL")</f>
        <v>0</v>
      </c>
      <c r="AJ8" s="29">
        <f t="shared" si="2"/>
        <v>0</v>
      </c>
      <c r="AK8" s="29">
        <f t="shared" si="9"/>
        <v>0</v>
      </c>
      <c r="AL8" s="29">
        <f>COUNTIFS(H$40:H432,AH8,E$40:E432,"SAIL")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COUNTIFS(H$39:H434,U9,K$39:K434,V4)</f>
        <v>0</v>
      </c>
      <c r="W9" s="14">
        <f>COUNTIFS(H$39:H434,U9,K$39:K434,W4)</f>
        <v>0</v>
      </c>
      <c r="X9" s="14">
        <f>COUNTIFS(H$39:H434,U9,K$39:K434,X4)</f>
        <v>0</v>
      </c>
      <c r="Y9" s="15">
        <f t="shared" si="0"/>
        <v>0</v>
      </c>
      <c r="Z9" s="13"/>
      <c r="AA9" s="21" t="str">
        <f t="shared" si="10"/>
        <v>Claudia Savois</v>
      </c>
      <c r="AB9" s="37">
        <f>SUMIFS(J$40:J359,H$40:H359,AA9,E$40:E359,"SAL")</f>
        <v>0</v>
      </c>
      <c r="AC9" s="38">
        <f>SUMIFS(J$40:J433,H$40:H433,AA9,E$40:E433,"SAM")</f>
        <v>0</v>
      </c>
      <c r="AD9" s="38">
        <f>SUMIFS(J$40:J433,H$40:H433,AA9,E$40:E433,"NE")</f>
        <v>0</v>
      </c>
      <c r="AE9" s="38">
        <f>SUMIFS(J$40:J433,H$40:H433,AA9,E$40:E433,"SAIL")</f>
        <v>0</v>
      </c>
      <c r="AF9" s="39">
        <f t="shared" si="1"/>
        <v>0</v>
      </c>
      <c r="AH9" s="21" t="str">
        <f t="shared" si="11"/>
        <v>Claudia Savois</v>
      </c>
      <c r="AI9" s="37">
        <f>COUNTIFS(H$40:H433,AH9,E$40:E433,"SAL")</f>
        <v>0</v>
      </c>
      <c r="AJ9" s="38">
        <f t="shared" si="2"/>
        <v>0</v>
      </c>
      <c r="AK9" s="38">
        <f t="shared" si="9"/>
        <v>0</v>
      </c>
      <c r="AL9" s="38">
        <f>COUNTIFS(H$40:H433,AH9,E$40:E433,"SAIL")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COUNTIFS(H$39:H435,U10,K$39:K435,V4)</f>
        <v>0</v>
      </c>
      <c r="W10" s="14">
        <f>COUNTIFS(H$39:H435,U10,K$39:K435,W4)</f>
        <v>0</v>
      </c>
      <c r="X10" s="14">
        <f>COUNTIFS(H$39:H435,U10,K$39:K435,X4)</f>
        <v>0</v>
      </c>
      <c r="Y10" s="15">
        <f t="shared" si="0"/>
        <v>0</v>
      </c>
      <c r="Z10" s="13"/>
      <c r="AA10" s="22" t="str">
        <f t="shared" si="10"/>
        <v>Daniela Stupp</v>
      </c>
      <c r="AB10" s="30">
        <f>SUMIFS(J$40:J360,H$40:H360,AA10,E$40:E360,"SAL")</f>
        <v>0</v>
      </c>
      <c r="AC10" s="29">
        <f>SUMIFS(J$40:J434,H$40:H434,AA10,E$40:E434,"SAM")</f>
        <v>0</v>
      </c>
      <c r="AD10" s="29">
        <f>SUMIFS(J$40:J434,H$40:H434,AA10,E$40:E434,"NE")</f>
        <v>0</v>
      </c>
      <c r="AE10" s="29">
        <f>SUMIFS(J$40:J434,H$40:H434,AA10,E$40:E434,"SAIL")</f>
        <v>0</v>
      </c>
      <c r="AF10" s="31">
        <f t="shared" si="1"/>
        <v>0</v>
      </c>
      <c r="AH10" s="22" t="str">
        <f t="shared" si="11"/>
        <v>Daniela Stupp</v>
      </c>
      <c r="AI10" s="30">
        <f>COUNTIFS(H$40:H434,AH10,E$40:E434,"SAL")</f>
        <v>0</v>
      </c>
      <c r="AJ10" s="29">
        <f t="shared" si="2"/>
        <v>0</v>
      </c>
      <c r="AK10" s="29">
        <f t="shared" si="9"/>
        <v>0</v>
      </c>
      <c r="AL10" s="29">
        <f>COUNTIFS(H$40:H434,AH10,E$40:E434,"SAIL")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COUNTIFS(H$39:H434,U11,K$39:K434,V4)</f>
        <v>0</v>
      </c>
      <c r="W11" s="18">
        <f>COUNTIFS(H$39:H434,U11,K$39:K434,W4)</f>
        <v>0</v>
      </c>
      <c r="X11" s="18">
        <f>COUNTIFS(H$39:H434,U11,K$39:K434,X4)</f>
        <v>0</v>
      </c>
      <c r="Y11" s="19">
        <f t="shared" si="0"/>
        <v>0</v>
      </c>
      <c r="Z11" s="13"/>
      <c r="AA11" s="21" t="str">
        <f t="shared" si="10"/>
        <v>Gabriely</v>
      </c>
      <c r="AB11" s="37">
        <f>SUMIFS(J$40:J361,H$40:H361,AA11,E$40:E361,"SAL")</f>
        <v>0</v>
      </c>
      <c r="AC11" s="38">
        <f>SUMIFS(J$40:J435,H$40:H435,AA11,E$40:E435,"SAM")</f>
        <v>0</v>
      </c>
      <c r="AD11" s="38">
        <f>SUMIFS(J$40:J435,H$40:H435,AA11,E$40:E435,"NE")</f>
        <v>0</v>
      </c>
      <c r="AE11" s="38">
        <f>SUMIFS(J$40:J435,H$40:H435,AA11,E$40:E435,"SAIL")</f>
        <v>0</v>
      </c>
      <c r="AF11" s="39">
        <f t="shared" si="1"/>
        <v>0</v>
      </c>
      <c r="AH11" s="21" t="str">
        <f t="shared" si="11"/>
        <v>Gabriely</v>
      </c>
      <c r="AI11" s="37">
        <f>COUNTIFS(H$40:H435,AH11,E$40:E435,"SAL")</f>
        <v>0</v>
      </c>
      <c r="AJ11" s="38">
        <f t="shared" si="2"/>
        <v>0</v>
      </c>
      <c r="AK11" s="38">
        <f t="shared" si="9"/>
        <v>0</v>
      </c>
      <c r="AL11" s="38">
        <f>COUNTIFS(H$40:H435,AH11,E$40:E435,"SAIL")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COUNTIFS(H$39:H435,U12,K$39:K435,V4)</f>
        <v>0</v>
      </c>
      <c r="W12" s="14">
        <f>COUNTIFS(H$39:H435,U12,K$39:K435,W4)</f>
        <v>0</v>
      </c>
      <c r="X12" s="14">
        <f>COUNTIFS(H$39:H435,U12,K$39:K435,X4)</f>
        <v>0</v>
      </c>
      <c r="Y12" s="15">
        <f t="shared" ref="Y12:Y29" si="13">SUM(V12:X12)</f>
        <v>0</v>
      </c>
      <c r="AA12" s="22" t="str">
        <f>U12</f>
        <v>Fabio Sasso</v>
      </c>
      <c r="AB12" s="30">
        <f>SUMIFS(J$40:J362,H$40:H362,AA12,E$40:E362,"SAL")</f>
        <v>0</v>
      </c>
      <c r="AC12" s="29">
        <f>SUMIFS(J$40:J436,H$40:H436,AA12,E$40:E436,"SAM")</f>
        <v>0</v>
      </c>
      <c r="AD12" s="29">
        <f>SUMIFS(J$40:J436,H$40:H436,AA12,E$40:E436,"NE")</f>
        <v>0</v>
      </c>
      <c r="AE12" s="29">
        <f>SUMIFS(J$40:J436,H$40:H436,AA12,E$40:E436,"SAIL")</f>
        <v>0</v>
      </c>
      <c r="AF12" s="31">
        <f t="shared" si="1"/>
        <v>0</v>
      </c>
      <c r="AH12" s="22" t="str">
        <f>U12</f>
        <v>Fabio Sasso</v>
      </c>
      <c r="AI12" s="30">
        <f>COUNTIFS(H$40:H436,AH12,E$40:E436,"SAL")</f>
        <v>0</v>
      </c>
      <c r="AJ12" s="29">
        <f t="shared" si="2"/>
        <v>0</v>
      </c>
      <c r="AK12" s="29">
        <f t="shared" si="9"/>
        <v>0</v>
      </c>
      <c r="AL12" s="29">
        <f>COUNTIFS(H$40:H436,AH12,E$40:E436,"SAIL")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COUNTIFS(H$39:H436,U13,K$39:K436,V$4)</f>
        <v>0</v>
      </c>
      <c r="W13" s="18">
        <f>COUNTIFS(H$39:H436,U13,K$39:K436,W$4)</f>
        <v>0</v>
      </c>
      <c r="X13" s="18">
        <f>COUNTIFS(H$39:H436,U13,K$39:K436,X$4)</f>
        <v>0</v>
      </c>
      <c r="Y13" s="19">
        <f t="shared" si="13"/>
        <v>0</v>
      </c>
      <c r="AA13" s="21" t="str">
        <f t="shared" ref="AA13:AA29" si="14">U13</f>
        <v>Felipi Ferreira</v>
      </c>
      <c r="AB13" s="37">
        <f>SUMIFS(J$40:J363,H$40:H363,AA13,E$40:E363,"SAL")</f>
        <v>0</v>
      </c>
      <c r="AC13" s="38">
        <f>SUMIFS(J$40:J437,H$40:H437,AA13,E$40:E437,"SAM")</f>
        <v>0</v>
      </c>
      <c r="AD13" s="38">
        <f>SUMIFS(J$40:J437,H$40:H437,AA13,E$40:E437,"NE")</f>
        <v>0</v>
      </c>
      <c r="AE13" s="38">
        <f>SUMIFS(J$40:J437,H$40:H437,AA13,E$40:E437,"SAIL")</f>
        <v>0</v>
      </c>
      <c r="AF13" s="39">
        <f t="shared" ref="AF13:AF29" si="15">SUBTOTAL(9,AB13:AE13)</f>
        <v>0</v>
      </c>
      <c r="AH13" s="21" t="str">
        <f t="shared" ref="AH13:AH29" si="16">U13</f>
        <v>Felipi Ferreira</v>
      </c>
      <c r="AI13" s="37">
        <f>COUNTIFS(H$40:H437,AH13,E$40:E437,"SAL")</f>
        <v>0</v>
      </c>
      <c r="AJ13" s="38">
        <f t="shared" si="2"/>
        <v>0</v>
      </c>
      <c r="AK13" s="38">
        <f t="shared" si="9"/>
        <v>0</v>
      </c>
      <c r="AL13" s="38">
        <f>COUNTIFS(H$40:H437,AH13,E$40:E437,"SAIL")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COUNTIFS(H$39:H437,U14,K$39:K437,V$4)</f>
        <v>0</v>
      </c>
      <c r="W14" s="14">
        <f>COUNTIFS(H$39:H437,U14,K$39:K437,W$4)</f>
        <v>0</v>
      </c>
      <c r="X14" s="14">
        <f>COUNTIFS(H$39:H437,U14,K$39:K437,X$4)</f>
        <v>0</v>
      </c>
      <c r="Y14" s="15">
        <f t="shared" si="13"/>
        <v>0</v>
      </c>
      <c r="AA14" s="22" t="str">
        <f t="shared" si="14"/>
        <v>Flávia Cardoso</v>
      </c>
      <c r="AB14" s="30">
        <f>SUMIFS(J$40:J364,H$40:H364,AA14,E$40:E364,"SAL")</f>
        <v>0</v>
      </c>
      <c r="AC14" s="29">
        <f>SUMIFS(J$40:J438,H$40:H438,AA14,E$40:E438,"SAM")</f>
        <v>0</v>
      </c>
      <c r="AD14" s="29">
        <f>SUMIFS(J$40:J438,H$40:H438,AA14,E$40:E438,"NE")</f>
        <v>0</v>
      </c>
      <c r="AE14" s="29">
        <f>SUMIFS(J$40:J438,H$40:H438,AA14,E$40:E438,"SAIL")</f>
        <v>0</v>
      </c>
      <c r="AF14" s="31">
        <f t="shared" si="15"/>
        <v>0</v>
      </c>
      <c r="AH14" s="22" t="str">
        <f t="shared" si="16"/>
        <v>Flávia Cardoso</v>
      </c>
      <c r="AI14" s="30">
        <f>COUNTIFS(H$40:H438,AH14,E$40:E438,"SAL")</f>
        <v>0</v>
      </c>
      <c r="AJ14" s="29">
        <f t="shared" si="2"/>
        <v>0</v>
      </c>
      <c r="AK14" s="29">
        <f t="shared" si="9"/>
        <v>0</v>
      </c>
      <c r="AL14" s="29">
        <f>COUNTIFS(H$40:H438,AH14,E$40:E438,"SAIL")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COUNTIFS(H$39:H438,U15,K$39:K438,V$4)</f>
        <v>0</v>
      </c>
      <c r="W15" s="18">
        <f>COUNTIFS(H$39:H438,U15,K$39:K438,W$4)</f>
        <v>0</v>
      </c>
      <c r="X15" s="18">
        <f>COUNTIFS(H$39:H438,U15,K$39:K438,X$4)</f>
        <v>0</v>
      </c>
      <c r="Y15" s="19">
        <f t="shared" si="13"/>
        <v>0</v>
      </c>
      <c r="AA15" s="21" t="str">
        <f t="shared" si="14"/>
        <v>Giovani cunha</v>
      </c>
      <c r="AB15" s="37">
        <f>SUMIFS(J$40:J365,H$40:H365,AA15,E$40:E365,"SAL")</f>
        <v>0</v>
      </c>
      <c r="AC15" s="38">
        <f>SUMIFS(J$40:J439,H$40:H439,AA15,E$40:E439,"SAM")</f>
        <v>0</v>
      </c>
      <c r="AD15" s="38">
        <f>SUMIFS(J$40:J439,H$40:H439,AA15,E$40:E439,"NE")</f>
        <v>0</v>
      </c>
      <c r="AE15" s="38">
        <f>SUMIFS(J$40:J439,H$40:H439,AA15,E$40:E439,"SAIL")</f>
        <v>0</v>
      </c>
      <c r="AF15" s="39">
        <f t="shared" si="15"/>
        <v>0</v>
      </c>
      <c r="AH15" s="21" t="str">
        <f t="shared" si="16"/>
        <v>Giovani cunha</v>
      </c>
      <c r="AI15" s="37">
        <f>COUNTIFS(H$40:H439,AH15,E$40:E439,"SAL")</f>
        <v>0</v>
      </c>
      <c r="AJ15" s="38">
        <f t="shared" si="2"/>
        <v>0</v>
      </c>
      <c r="AK15" s="38">
        <f t="shared" si="9"/>
        <v>0</v>
      </c>
      <c r="AL15" s="38">
        <f>COUNTIFS(H$40:H439,AH15,E$40:E439,"SAIL")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COUNTIFS(H$39:H439,U16,K$39:K439,V$4)</f>
        <v>0</v>
      </c>
      <c r="W16" s="14">
        <f>COUNTIFS(H$39:H439,U16,K$39:K439,W$4)</f>
        <v>0</v>
      </c>
      <c r="X16" s="14">
        <f>COUNTIFS(H$39:H439,U16,K$39:K439,X$4)</f>
        <v>0</v>
      </c>
      <c r="Y16" s="15">
        <f t="shared" si="13"/>
        <v>0</v>
      </c>
      <c r="AA16" s="22" t="str">
        <f t="shared" si="14"/>
        <v>Jennifer Rodrigues</v>
      </c>
      <c r="AB16" s="30">
        <f>SUMIFS(J$40:J366,H$40:H366,AA16,E$40:E366,"SAL")</f>
        <v>0</v>
      </c>
      <c r="AC16" s="29">
        <f>SUMIFS(J$40:J440,H$40:H440,AA16,E$40:E440,"SAM")</f>
        <v>0</v>
      </c>
      <c r="AD16" s="29">
        <f>SUMIFS(J$40:J440,H$40:H440,AA16,E$40:E440,"NE")</f>
        <v>0</v>
      </c>
      <c r="AE16" s="29">
        <f>SUMIFS(J$40:J440,H$40:H440,AA16,E$40:E440,"SAIL")</f>
        <v>0</v>
      </c>
      <c r="AF16" s="31">
        <f t="shared" si="15"/>
        <v>0</v>
      </c>
      <c r="AH16" s="22" t="str">
        <f t="shared" si="16"/>
        <v>Jennifer Rodrigues</v>
      </c>
      <c r="AI16" s="30">
        <f>COUNTIFS(H$40:H440,AH16,E$40:E440,"SAL")</f>
        <v>0</v>
      </c>
      <c r="AJ16" s="29">
        <f t="shared" si="2"/>
        <v>0</v>
      </c>
      <c r="AK16" s="29">
        <f t="shared" si="9"/>
        <v>0</v>
      </c>
      <c r="AL16" s="29">
        <f>COUNTIFS(H$40:H440,AH16,E$40:E440,"SAIL")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COUNTIFS(H$39:H440,U17,K$39:K440,V$4)</f>
        <v>0</v>
      </c>
      <c r="W17" s="18">
        <f>COUNTIFS(H$39:H440,U17,K$39:K440,W$4)</f>
        <v>0</v>
      </c>
      <c r="X17" s="18">
        <f>COUNTIFS(H$39:H440,U17,K$39:K440,X$4)</f>
        <v>0</v>
      </c>
      <c r="Y17" s="19">
        <f t="shared" si="13"/>
        <v>0</v>
      </c>
      <c r="AA17" s="21" t="str">
        <f t="shared" si="14"/>
        <v>Juliana Guizoni</v>
      </c>
      <c r="AB17" s="37">
        <f>SUMIFS(J$40:J367,H$40:H367,AA17,E$40:E367,"SAL")</f>
        <v>0</v>
      </c>
      <c r="AC17" s="38">
        <f>SUMIFS(J$40:J441,H$40:H441,AA17,E$40:E441,"SAM")</f>
        <v>0</v>
      </c>
      <c r="AD17" s="38">
        <f>SUMIFS(J$40:J441,H$40:H441,AA17,E$40:E441,"NE")</f>
        <v>0</v>
      </c>
      <c r="AE17" s="38">
        <f>SUMIFS(J$40:J441,H$40:H441,AA17,E$40:E441,"SAIL")</f>
        <v>0</v>
      </c>
      <c r="AF17" s="39">
        <f t="shared" si="15"/>
        <v>0</v>
      </c>
      <c r="AH17" s="21" t="str">
        <f t="shared" si="16"/>
        <v>Juliana Guizoni</v>
      </c>
      <c r="AI17" s="37">
        <f>COUNTIFS(H$40:H441,AH17,E$40:E441,"SAL")</f>
        <v>0</v>
      </c>
      <c r="AJ17" s="38">
        <f t="shared" si="2"/>
        <v>0</v>
      </c>
      <c r="AK17" s="38">
        <f t="shared" si="9"/>
        <v>0</v>
      </c>
      <c r="AL17" s="38">
        <f>COUNTIFS(H$40:H441,AH17,E$40:E441,"SAIL")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COUNTIFS(H$39:H441,U18,K$39:K441,V$4)</f>
        <v>0</v>
      </c>
      <c r="W18" s="14">
        <f>COUNTIFS(H$39:H441,U18,K$39:K441,W$4)</f>
        <v>0</v>
      </c>
      <c r="X18" s="14">
        <f>COUNTIFS(H$39:H441,U18,K$39:K441,X$4)</f>
        <v>0</v>
      </c>
      <c r="Y18" s="15">
        <f t="shared" si="13"/>
        <v>0</v>
      </c>
      <c r="AA18" s="22" t="str">
        <f t="shared" si="14"/>
        <v>Vinicyos Maguns</v>
      </c>
      <c r="AB18" s="30">
        <f>SUMIFS(J$40:J368,H$40:H368,AA18,E$40:E368,"SAL")</f>
        <v>0</v>
      </c>
      <c r="AC18" s="29">
        <f>SUMIFS(J$40:J442,H$40:H442,AA18,E$40:E442,"SAM")</f>
        <v>0</v>
      </c>
      <c r="AD18" s="29">
        <f>SUMIFS(J$40:J442,H$40:H442,AA18,E$40:E442,"NE")</f>
        <v>0</v>
      </c>
      <c r="AE18" s="29">
        <f>SUMIFS(J$40:J442,H$40:H442,AA18,E$40:E442,"SAIL")</f>
        <v>0</v>
      </c>
      <c r="AF18" s="31">
        <f t="shared" si="15"/>
        <v>0</v>
      </c>
      <c r="AH18" s="22" t="str">
        <f t="shared" si="16"/>
        <v>Vinicyos Maguns</v>
      </c>
      <c r="AI18" s="30">
        <f>COUNTIFS(H$40:H442,AH18,E$40:E442,"SAL")</f>
        <v>0</v>
      </c>
      <c r="AJ18" s="29">
        <f t="shared" si="2"/>
        <v>0</v>
      </c>
      <c r="AK18" s="29">
        <f t="shared" si="9"/>
        <v>0</v>
      </c>
      <c r="AL18" s="29">
        <f>COUNTIFS(H$40:H442,AH18,E$40:E442,"SAIL")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VLOOKUP(F19,B40:B268,1,0)</f>
        <v>#N/A</v>
      </c>
      <c r="C19" s="45" t="e">
        <f>VLOOKUP(F21,D40:D268,1,0)</f>
        <v>#N/A</v>
      </c>
      <c r="D19" s="10"/>
      <c r="E19" s="74" t="s">
        <v>79</v>
      </c>
      <c r="F19" s="5"/>
      <c r="G19" s="11"/>
      <c r="K19" s="5"/>
      <c r="U19" s="87" t="str">
        <f>Cadastros!I26</f>
        <v>Laís Andrade</v>
      </c>
      <c r="V19" s="85">
        <f>COUNTIFS(H$39:H442,U19,K$39:K442,V$4)</f>
        <v>0</v>
      </c>
      <c r="W19" s="18">
        <f>COUNTIFS(H$39:H442,U19,K$39:K442,W$4)</f>
        <v>0</v>
      </c>
      <c r="X19" s="18">
        <f>COUNTIFS(H$39:H442,U19,K$39:K442,X$4)</f>
        <v>0</v>
      </c>
      <c r="Y19" s="19">
        <f t="shared" si="13"/>
        <v>0</v>
      </c>
      <c r="AA19" s="21" t="str">
        <f t="shared" si="14"/>
        <v>Laís Andrade</v>
      </c>
      <c r="AB19" s="37">
        <f>SUMIFS(J$40:J369,H$40:H369,AA19,E$40:E369,"SAL")</f>
        <v>0</v>
      </c>
      <c r="AC19" s="38">
        <f>SUMIFS(J$40:J443,H$40:H443,AA19,E$40:E443,"SAM")</f>
        <v>0</v>
      </c>
      <c r="AD19" s="38">
        <f>SUMIFS(J$40:J443,H$40:H443,AA19,E$40:E443,"NE")</f>
        <v>0</v>
      </c>
      <c r="AE19" s="38">
        <f>SUMIFS(J$40:J443,H$40:H443,AA19,E$40:E443,"SAIL")</f>
        <v>0</v>
      </c>
      <c r="AF19" s="39">
        <f t="shared" si="15"/>
        <v>0</v>
      </c>
      <c r="AH19" s="21" t="str">
        <f t="shared" si="16"/>
        <v>Laís Andrade</v>
      </c>
      <c r="AI19" s="37">
        <f>COUNTIFS(H$40:H443,AH19,E$40:E443,"SAL")</f>
        <v>0</v>
      </c>
      <c r="AJ19" s="38">
        <f t="shared" si="2"/>
        <v>0</v>
      </c>
      <c r="AK19" s="38">
        <f t="shared" si="9"/>
        <v>0</v>
      </c>
      <c r="AL19" s="38">
        <f>COUNTIFS(H$40:H443,AH19,E$40:E443,"SAIL")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COUNTIFS(H$39:H443,U20,K$39:K443,V$4)</f>
        <v>0</v>
      </c>
      <c r="W20" s="14">
        <f>COUNTIFS(H$39:H443,U20,K$39:K443,W$4)</f>
        <v>0</v>
      </c>
      <c r="X20" s="14">
        <f>COUNTIFS(H$39:H443,U20,K$39:K443,X$4)</f>
        <v>0</v>
      </c>
      <c r="Y20" s="15">
        <f t="shared" si="13"/>
        <v>0</v>
      </c>
      <c r="AA20" s="22" t="str">
        <f t="shared" si="14"/>
        <v>Luciana Mercante</v>
      </c>
      <c r="AB20" s="30">
        <f>SUMIFS(J$40:J370,H$40:H370,AA20,E$40:E370,"SAL")</f>
        <v>0</v>
      </c>
      <c r="AC20" s="29">
        <f>SUMIFS(J$40:J444,H$40:H444,AA20,E$40:E444,"SAM")</f>
        <v>0</v>
      </c>
      <c r="AD20" s="29">
        <f>SUMIFS(J$40:J444,H$40:H444,AA20,E$40:E444,"NE")</f>
        <v>0</v>
      </c>
      <c r="AE20" s="29">
        <f>SUMIFS(J$40:J444,H$40:H444,AA20,E$40:E444,"SAIL")</f>
        <v>0</v>
      </c>
      <c r="AF20" s="31">
        <f t="shared" si="15"/>
        <v>0</v>
      </c>
      <c r="AH20" s="22" t="str">
        <f t="shared" si="16"/>
        <v>Luciana Mercante</v>
      </c>
      <c r="AI20" s="30">
        <f>COUNTIFS(H$40:H444,AH20,E$40:E444,"SAL")</f>
        <v>0</v>
      </c>
      <c r="AJ20" s="29">
        <f t="shared" si="2"/>
        <v>0</v>
      </c>
      <c r="AK20" s="29">
        <f t="shared" si="9"/>
        <v>0</v>
      </c>
      <c r="AL20" s="29">
        <f>COUNTIFS(H$40:H444,AH20,E$40:E444,"SAIL")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COUNTIFS(H$39:H444,U21,K$39:K444,V$4)</f>
        <v>0</v>
      </c>
      <c r="W21" s="18">
        <f>COUNTIFS(H$39:H444,U21,K$39:K444,W$4)</f>
        <v>0</v>
      </c>
      <c r="X21" s="18">
        <f>COUNTIFS(H$39:H444,U21,K$39:K444,X$4)</f>
        <v>0</v>
      </c>
      <c r="Y21" s="19">
        <f t="shared" si="13"/>
        <v>0</v>
      </c>
      <c r="AA21" s="21" t="str">
        <f t="shared" si="14"/>
        <v>Mateus Alves</v>
      </c>
      <c r="AB21" s="37">
        <f>SUMIFS(J$40:J371,H$40:H371,AA21,E$40:E371,"SAL")</f>
        <v>0</v>
      </c>
      <c r="AC21" s="38">
        <f>SUMIFS(J$40:J445,H$40:H445,AA21,E$40:E445,"SAM")</f>
        <v>0</v>
      </c>
      <c r="AD21" s="38">
        <f>SUMIFS(J$40:J445,H$40:H445,AA21,E$40:E445,"NE")</f>
        <v>0</v>
      </c>
      <c r="AE21" s="38">
        <f>SUMIFS(J$40:J445,H$40:H445,AA21,E$40:E445,"SAIL")</f>
        <v>0</v>
      </c>
      <c r="AF21" s="39">
        <f t="shared" si="15"/>
        <v>0</v>
      </c>
      <c r="AH21" s="21" t="str">
        <f t="shared" si="16"/>
        <v>Mateus Alves</v>
      </c>
      <c r="AI21" s="37">
        <f>COUNTIFS(H$40:H445,AH21,E$40:E445,"SAL")</f>
        <v>0</v>
      </c>
      <c r="AJ21" s="38">
        <f t="shared" si="2"/>
        <v>0</v>
      </c>
      <c r="AK21" s="38">
        <f t="shared" si="9"/>
        <v>0</v>
      </c>
      <c r="AL21" s="38">
        <f>COUNTIFS(H$40:H445,AH21,E$40:E445,"SAIL")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COUNTIFS(H$39:H445,U22,K$39:K445,V$4)</f>
        <v>0</v>
      </c>
      <c r="W22" s="14">
        <f>COUNTIFS(H$39:H445,U22,K$39:K445,W$4)</f>
        <v>0</v>
      </c>
      <c r="X22" s="14">
        <f>COUNTIFS(H$39:H445,U22,K$39:K445,X$4)</f>
        <v>0</v>
      </c>
      <c r="Y22" s="15">
        <f t="shared" si="13"/>
        <v>0</v>
      </c>
      <c r="AA22" s="22" t="str">
        <f t="shared" si="14"/>
        <v>Patricia Costa</v>
      </c>
      <c r="AB22" s="30">
        <f>SUMIFS(J$40:J372,H$40:H372,AA22,E$40:E372,"SAL")</f>
        <v>0</v>
      </c>
      <c r="AC22" s="29">
        <f>SUMIFS(J$40:J446,H$40:H446,AA22,E$40:E446,"SAM")</f>
        <v>0</v>
      </c>
      <c r="AD22" s="29">
        <f>SUMIFS(J$40:J446,H$40:H446,AA22,E$40:E446,"NE")</f>
        <v>0</v>
      </c>
      <c r="AE22" s="29">
        <f>SUMIFS(J$40:J446,H$40:H446,AA22,E$40:E446,"SAIL")</f>
        <v>0</v>
      </c>
      <c r="AF22" s="31">
        <f t="shared" si="15"/>
        <v>0</v>
      </c>
      <c r="AH22" s="22" t="str">
        <f t="shared" si="16"/>
        <v>Patricia Costa</v>
      </c>
      <c r="AI22" s="30">
        <f>COUNTIFS(H$40:H446,AH22,E$40:E446,"SAL")</f>
        <v>0</v>
      </c>
      <c r="AJ22" s="29">
        <f t="shared" si="2"/>
        <v>0</v>
      </c>
      <c r="AK22" s="29">
        <f t="shared" si="9"/>
        <v>0</v>
      </c>
      <c r="AL22" s="29">
        <f>COUNTIFS(H$40:H446,AH22,E$40:E446,"SAIL")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COUNTIFS(H$39:H446,U23,K$39:K446,V$4)</f>
        <v>0</v>
      </c>
      <c r="W23" s="18">
        <f>COUNTIFS(H$39:H446,U23,K$39:K446,W$4)</f>
        <v>0</v>
      </c>
      <c r="X23" s="18">
        <f>COUNTIFS(H$39:H446,U23,K$39:K446,X$4)</f>
        <v>0</v>
      </c>
      <c r="Y23" s="19">
        <f t="shared" si="13"/>
        <v>0</v>
      </c>
      <c r="AA23" s="21" t="str">
        <f t="shared" si="14"/>
        <v>Rafaela Ribeiro</v>
      </c>
      <c r="AB23" s="37">
        <f>SUMIFS(J$40:J373,H$40:H373,AA23,E$40:E373,"SAL")</f>
        <v>0</v>
      </c>
      <c r="AC23" s="38">
        <f>SUMIFS(J$40:J447,H$40:H447,AA23,E$40:E447,"SAM")</f>
        <v>0</v>
      </c>
      <c r="AD23" s="38">
        <f>SUMIFS(J$40:J447,H$40:H447,AA23,E$40:E447,"NE")</f>
        <v>0</v>
      </c>
      <c r="AE23" s="38">
        <f>SUMIFS(J$40:J447,H$40:H447,AA23,E$40:E447,"SAIL")</f>
        <v>0</v>
      </c>
      <c r="AF23" s="39">
        <f t="shared" si="15"/>
        <v>0</v>
      </c>
      <c r="AH23" s="21" t="str">
        <f t="shared" si="16"/>
        <v>Rafaela Ribeiro</v>
      </c>
      <c r="AI23" s="37">
        <f>COUNTIFS(H$40:H447,AH23,E$40:E447,"SAL")</f>
        <v>0</v>
      </c>
      <c r="AJ23" s="38">
        <f t="shared" si="2"/>
        <v>0</v>
      </c>
      <c r="AK23" s="38">
        <f t="shared" si="9"/>
        <v>0</v>
      </c>
      <c r="AL23" s="38">
        <f>COUNTIFS(H$40:H447,AH23,E$40:E447,"SAIL")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168"/>
      <c r="G24" s="11"/>
      <c r="K24" s="5"/>
      <c r="U24" s="87" t="str">
        <f>Cadastros!I31</f>
        <v>Renan Maiato</v>
      </c>
      <c r="V24" s="86">
        <f>COUNTIFS(H$39:H447,U24,K$39:K447,V$4)</f>
        <v>0</v>
      </c>
      <c r="W24" s="14">
        <f>COUNTIFS(H$39:H447,U24,K$39:K447,W$4)</f>
        <v>0</v>
      </c>
      <c r="X24" s="14">
        <f>COUNTIFS(H$39:H447,U24,K$39:K447,X$4)</f>
        <v>0</v>
      </c>
      <c r="Y24" s="15">
        <f t="shared" si="13"/>
        <v>0</v>
      </c>
      <c r="AA24" s="22" t="str">
        <f t="shared" si="14"/>
        <v>Renan Maiato</v>
      </c>
      <c r="AB24" s="30">
        <f>SUMIFS(J$40:J374,H$40:H374,AA24,E$40:E374,"SAL")</f>
        <v>0</v>
      </c>
      <c r="AC24" s="29">
        <f>SUMIFS(J$40:J448,H$40:H448,AA24,E$40:E448,"SAM")</f>
        <v>0</v>
      </c>
      <c r="AD24" s="29">
        <f>SUMIFS(J$40:J448,H$40:H448,AA24,E$40:E448,"NE")</f>
        <v>0</v>
      </c>
      <c r="AE24" s="29">
        <f>SUMIFS(J$40:J448,H$40:H448,AA24,E$40:E448,"SAIL")</f>
        <v>0</v>
      </c>
      <c r="AF24" s="31">
        <f t="shared" si="15"/>
        <v>0</v>
      </c>
      <c r="AH24" s="22" t="str">
        <f t="shared" si="16"/>
        <v>Renan Maiato</v>
      </c>
      <c r="AI24" s="30">
        <f>COUNTIFS(H$40:H448,AH24,E$40:E448,"SAL")</f>
        <v>0</v>
      </c>
      <c r="AJ24" s="29">
        <f t="shared" si="2"/>
        <v>0</v>
      </c>
      <c r="AK24" s="29">
        <f t="shared" si="9"/>
        <v>0</v>
      </c>
      <c r="AL24" s="29">
        <f>COUNTIFS(H$40:H448,AH24,E$40:E448,"SAIL")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COUNTIFS(H$39:H448,U25,K$39:K448,V$4)</f>
        <v>0</v>
      </c>
      <c r="W25" s="18">
        <f>COUNTIFS(H$39:H448,U25,K$39:K448,W$4)</f>
        <v>0</v>
      </c>
      <c r="X25" s="18">
        <f>COUNTIFS(H$39:H448,U25,K$39:K448,X$4)</f>
        <v>0</v>
      </c>
      <c r="Y25" s="19">
        <f t="shared" si="13"/>
        <v>0</v>
      </c>
      <c r="AA25" s="21" t="str">
        <f t="shared" si="14"/>
        <v>Sabrine Neves</v>
      </c>
      <c r="AB25" s="37">
        <f>SUMIFS(J$40:J375,H$40:H375,AA25,E$40:E375,"SAL")</f>
        <v>0</v>
      </c>
      <c r="AC25" s="38">
        <f>SUMIFS(J$40:J449,H$40:H449,AA25,E$40:E449,"SAM")</f>
        <v>0</v>
      </c>
      <c r="AD25" s="38">
        <f>SUMIFS(J$40:J449,H$40:H449,AA25,E$40:E449,"NE")</f>
        <v>0</v>
      </c>
      <c r="AE25" s="38">
        <f>SUMIFS(J$40:J449,H$40:H449,AA25,E$40:E449,"SAIL")</f>
        <v>0</v>
      </c>
      <c r="AF25" s="39">
        <f t="shared" si="15"/>
        <v>0</v>
      </c>
      <c r="AH25" s="21" t="str">
        <f t="shared" si="16"/>
        <v>Sabrine Neves</v>
      </c>
      <c r="AI25" s="37">
        <f>COUNTIFS(H$40:H449,AH25,E$40:E449,"SAL")</f>
        <v>0</v>
      </c>
      <c r="AJ25" s="38">
        <f t="shared" si="2"/>
        <v>0</v>
      </c>
      <c r="AK25" s="38">
        <f t="shared" si="9"/>
        <v>0</v>
      </c>
      <c r="AL25" s="38">
        <f>COUNTIFS(H$40:H449,AH25,E$40:E449,"SAIL")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COUNTIFS(H$39:H449,U26,K$39:K449,V$4)</f>
        <v>0</v>
      </c>
      <c r="W26" s="14">
        <f>COUNTIFS(H$39:H449,U26,K$39:K449,W$4)</f>
        <v>0</v>
      </c>
      <c r="X26" s="14">
        <f>COUNTIFS(H$39:H449,U26,K$39:K449,X$4)</f>
        <v>0</v>
      </c>
      <c r="Y26" s="15">
        <f t="shared" si="13"/>
        <v>0</v>
      </c>
      <c r="AA26" s="22" t="str">
        <f t="shared" si="14"/>
        <v>Victor Ferreira</v>
      </c>
      <c r="AB26" s="30">
        <f>SUMIFS(J$40:J376,H$40:H376,AA26,E$40:E376,"SAL")</f>
        <v>0</v>
      </c>
      <c r="AC26" s="29">
        <f>SUMIFS(J$40:J450,H$40:H450,AA26,E$40:E450,"SAM")</f>
        <v>0</v>
      </c>
      <c r="AD26" s="29">
        <f>SUMIFS(J$40:J450,H$40:H450,AA26,E$40:E450,"NE")</f>
        <v>0</v>
      </c>
      <c r="AE26" s="29">
        <f>SUMIFS(J$40:J450,H$40:H450,AA26,E$40:E450,"SAIL")</f>
        <v>0</v>
      </c>
      <c r="AF26" s="31">
        <f t="shared" si="15"/>
        <v>0</v>
      </c>
      <c r="AH26" s="22" t="str">
        <f t="shared" si="16"/>
        <v>Victor Ferreira</v>
      </c>
      <c r="AI26" s="30">
        <f>COUNTIFS(H$40:H450,AH26,E$40:E450,"SAL")</f>
        <v>0</v>
      </c>
      <c r="AJ26" s="29">
        <f t="shared" si="2"/>
        <v>0</v>
      </c>
      <c r="AK26" s="29">
        <f t="shared" si="9"/>
        <v>0</v>
      </c>
      <c r="AL26" s="29">
        <f>COUNTIFS(H$40:H450,AH26,E$40:E450,"SAIL")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COUNTIFS(H$39:H450,U27,K$39:K450,V$4)</f>
        <v>0</v>
      </c>
      <c r="W27" s="18">
        <f>COUNTIFS(H$39:H450,U27,K$39:K450,W$4)</f>
        <v>0</v>
      </c>
      <c r="X27" s="18">
        <f>COUNTIFS(H$39:H450,U27,K$39:K450,X$4)</f>
        <v>0</v>
      </c>
      <c r="Y27" s="19">
        <f t="shared" si="13"/>
        <v>0</v>
      </c>
      <c r="AA27" s="21" t="str">
        <f t="shared" si="14"/>
        <v>Erick Vicente</v>
      </c>
      <c r="AB27" s="37">
        <f>SUMIFS(J$40:J377,H$40:H377,AA27,E$40:E377,"SAL")</f>
        <v>0</v>
      </c>
      <c r="AC27" s="38">
        <f>SUMIFS(J$40:J451,H$40:H451,AA27,E$40:E451,"SAM")</f>
        <v>0</v>
      </c>
      <c r="AD27" s="38">
        <f>SUMIFS(J$40:J451,H$40:H451,AA27,E$40:E451,"NE")</f>
        <v>0</v>
      </c>
      <c r="AE27" s="38">
        <f>SUMIFS(J$40:J451,H$40:H451,AA27,E$40:E451,"SAIL")</f>
        <v>0</v>
      </c>
      <c r="AF27" s="39">
        <f t="shared" si="15"/>
        <v>0</v>
      </c>
      <c r="AH27" s="21" t="str">
        <f t="shared" si="16"/>
        <v>Erick Vicente</v>
      </c>
      <c r="AI27" s="37">
        <f>COUNTIFS(H$40:H451,AH27,E$40:E451,"SAL")</f>
        <v>0</v>
      </c>
      <c r="AJ27" s="38">
        <f t="shared" si="2"/>
        <v>0</v>
      </c>
      <c r="AK27" s="38">
        <f t="shared" si="9"/>
        <v>0</v>
      </c>
      <c r="AL27" s="38">
        <f>COUNTIFS(H$40:H451,AH27,E$40:E451,"SAIL")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COUNTIFS(H$39:H451,U28,K$39:K451,V$4)</f>
        <v>0</v>
      </c>
      <c r="W28" s="14">
        <f>COUNTIFS(H$39:H451,U28,K$39:K451,W$4)</f>
        <v>0</v>
      </c>
      <c r="X28" s="14">
        <f>COUNTIFS(H$39:H451,U28,K$39:K451,X$4)</f>
        <v>0</v>
      </c>
      <c r="Y28" s="15">
        <f t="shared" si="13"/>
        <v>0</v>
      </c>
      <c r="AA28" s="22" t="str">
        <f t="shared" si="14"/>
        <v>Rafaela Sampaio</v>
      </c>
      <c r="AB28" s="30">
        <f>SUMIFS(J$40:J378,H$40:H378,AA28,E$40:E378,"SAL")</f>
        <v>0</v>
      </c>
      <c r="AC28" s="29">
        <f>SUMIFS(J$40:J452,H$40:H452,AA28,E$40:E452,"SAM")</f>
        <v>0</v>
      </c>
      <c r="AD28" s="29">
        <f>SUMIFS(J$40:J452,H$40:H452,AA28,E$40:E452,"NE")</f>
        <v>0</v>
      </c>
      <c r="AE28" s="29">
        <f>SUMIFS(J$40:J452,H$40:H452,AA28,E$40:E452,"SAIL")</f>
        <v>0</v>
      </c>
      <c r="AF28" s="31">
        <f t="shared" si="15"/>
        <v>0</v>
      </c>
      <c r="AH28" s="22" t="str">
        <f t="shared" si="16"/>
        <v>Rafaela Sampaio</v>
      </c>
      <c r="AI28" s="30">
        <f>COUNTIFS(H$40:H452,AH28,E$40:E452,"SAL")</f>
        <v>0</v>
      </c>
      <c r="AJ28" s="29">
        <f t="shared" si="2"/>
        <v>0</v>
      </c>
      <c r="AK28" s="29">
        <f t="shared" si="9"/>
        <v>0</v>
      </c>
      <c r="AL28" s="29">
        <f>COUNTIFS(H$40:H452,AH28,E$40:E452,"SAIL")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COUNTIFS(H$39:H452,U29,K$39:K452,V$4)</f>
        <v>0</v>
      </c>
      <c r="W29" s="98">
        <f>COUNTIFS(H$39:H452,U29,K$39:K452,W$4)</f>
        <v>0</v>
      </c>
      <c r="X29" s="98">
        <f>COUNTIFS(H$39:H452,U29,K$39:K452,X$4)</f>
        <v>0</v>
      </c>
      <c r="Y29" s="99">
        <f t="shared" si="13"/>
        <v>0</v>
      </c>
      <c r="AA29" s="89" t="str">
        <f t="shared" si="14"/>
        <v>Laysa Gabriela</v>
      </c>
      <c r="AB29" s="90">
        <f>SUMIFS(J$40:J379,H$40:H379,AA29,E$40:E379,"SAL")</f>
        <v>0</v>
      </c>
      <c r="AC29" s="91">
        <f>SUMIFS(J$40:J453,H$40:H453,AA29,E$40:E453,"SAM")</f>
        <v>0</v>
      </c>
      <c r="AD29" s="91">
        <f>SUMIFS(J$40:J453,H$40:H453,AA29,E$40:E453,"NE")</f>
        <v>0</v>
      </c>
      <c r="AE29" s="91">
        <f>SUMIFS(J$40:J453,H$40:H453,AA29,E$40:E453,"SAIL")</f>
        <v>0</v>
      </c>
      <c r="AF29" s="92">
        <f t="shared" si="15"/>
        <v>0</v>
      </c>
      <c r="AH29" s="89" t="str">
        <f t="shared" si="16"/>
        <v>Laysa Gabriela</v>
      </c>
      <c r="AI29" s="90">
        <f>COUNTIFS(H$40:H453,AH29,E$40:E453,"SAL")</f>
        <v>0</v>
      </c>
      <c r="AJ29" s="91">
        <f t="shared" si="2"/>
        <v>0</v>
      </c>
      <c r="AK29" s="91">
        <f t="shared" si="9"/>
        <v>0</v>
      </c>
      <c r="AL29" s="91">
        <f>COUNTIFS(H$40:H453,AH29,E$40:E453,"SAIL")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t="15" customHeight="1">
      <c r="A40" s="4"/>
      <c r="B40" s="5"/>
      <c r="C40" s="4"/>
      <c r="D40" s="5"/>
      <c r="E40" s="5"/>
      <c r="F40" s="5"/>
      <c r="H40" s="5"/>
      <c r="I40" s="5"/>
      <c r="J40" s="5"/>
      <c r="K40" s="5"/>
      <c r="L40" s="5"/>
      <c r="M40" s="5"/>
      <c r="N40" s="5"/>
      <c r="O40" s="5"/>
      <c r="P40" s="5"/>
      <c r="Q40" s="5"/>
      <c r="R40" s="5"/>
    </row>
    <row r="41" spans="1:18" ht="15" customHeight="1">
      <c r="A41" s="4"/>
      <c r="B41" s="5"/>
      <c r="C41" s="4"/>
      <c r="D41" s="5"/>
      <c r="E41" s="5"/>
      <c r="F41" s="5"/>
      <c r="G41" s="168"/>
      <c r="H41" s="5"/>
      <c r="I41" s="5"/>
      <c r="J41" s="5"/>
      <c r="K41" s="5"/>
      <c r="L41" s="5"/>
      <c r="M41" s="5"/>
      <c r="N41" s="5"/>
      <c r="O41" s="5"/>
      <c r="P41" s="5"/>
      <c r="Q41" s="5"/>
      <c r="R41" s="5"/>
    </row>
    <row r="42" spans="1:18" ht="15" customHeight="1">
      <c r="A42" s="4"/>
      <c r="B42" s="5"/>
      <c r="C42" s="4"/>
      <c r="D42" s="5"/>
      <c r="E42" s="5"/>
      <c r="F42" s="5"/>
      <c r="G42" s="168"/>
      <c r="H42" s="5"/>
      <c r="I42" s="5"/>
      <c r="J42" s="5"/>
      <c r="K42" s="5"/>
      <c r="L42" s="5"/>
      <c r="M42" s="5"/>
      <c r="N42" s="5"/>
      <c r="O42" s="5"/>
      <c r="P42" s="5"/>
      <c r="Q42" s="5"/>
      <c r="R42" s="5"/>
    </row>
    <row r="43" spans="1:18" ht="15" customHeight="1">
      <c r="A43" s="4"/>
      <c r="B43" s="5"/>
      <c r="C43" s="4"/>
      <c r="D43" s="5"/>
      <c r="E43" s="5"/>
      <c r="F43" s="5"/>
      <c r="G43" s="161"/>
      <c r="H43" s="5"/>
      <c r="I43" s="5"/>
      <c r="J43" s="5"/>
      <c r="K43" s="5"/>
      <c r="L43" s="5"/>
      <c r="M43" s="5"/>
      <c r="N43" s="5"/>
      <c r="O43" s="5"/>
      <c r="P43" s="5"/>
      <c r="Q43" s="5"/>
      <c r="R43" s="5"/>
    </row>
    <row r="44" spans="1:18" ht="15" customHeight="1">
      <c r="A44" s="4"/>
      <c r="B44" s="5"/>
      <c r="C44" s="4"/>
      <c r="D44" s="5"/>
      <c r="E44" s="5"/>
      <c r="F44" s="5"/>
      <c r="G44" s="77"/>
      <c r="H44" s="5"/>
      <c r="I44" s="5"/>
      <c r="J44" s="5"/>
      <c r="K44" s="5"/>
      <c r="L44" s="5"/>
      <c r="M44" s="5"/>
      <c r="N44" s="5"/>
      <c r="O44" s="5"/>
      <c r="P44" s="5"/>
      <c r="Q44" s="5"/>
      <c r="R44" s="5"/>
    </row>
    <row r="45" spans="1:18" ht="15" customHeight="1">
      <c r="A45" s="4"/>
      <c r="B45" s="5"/>
      <c r="C45" s="4"/>
      <c r="D45" s="5"/>
      <c r="E45" s="5"/>
      <c r="F45" s="5"/>
      <c r="G45" s="77"/>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G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G58" s="5"/>
      <c r="H58" s="5"/>
      <c r="I58" s="5"/>
      <c r="J58" s="5"/>
      <c r="K58" s="5"/>
      <c r="L58" s="5"/>
      <c r="M58" s="5"/>
      <c r="N58" s="5"/>
      <c r="O58" s="5"/>
      <c r="P58" s="5"/>
      <c r="Q58" s="5"/>
      <c r="R58" s="5"/>
    </row>
    <row r="59" spans="1:18" ht="15" customHeight="1">
      <c r="A59" s="4"/>
      <c r="B59" s="5"/>
      <c r="C59" s="4"/>
      <c r="D59" s="5"/>
      <c r="E59" s="5"/>
      <c r="F59" s="5"/>
      <c r="G59" s="5"/>
      <c r="H59" s="5"/>
      <c r="I59" s="5"/>
      <c r="J59" s="5"/>
      <c r="K59" s="5"/>
      <c r="L59" s="5"/>
      <c r="M59" s="5"/>
      <c r="N59" s="5"/>
      <c r="O59" s="5"/>
      <c r="P59" s="5"/>
      <c r="Q59" s="5"/>
      <c r="R59" s="5"/>
    </row>
    <row r="60" spans="1:18" ht="15" customHeight="1">
      <c r="A60" s="4"/>
      <c r="B60" s="5"/>
      <c r="C60" s="4"/>
      <c r="D60" s="5"/>
      <c r="E60" s="5"/>
      <c r="F60" s="5"/>
      <c r="G60" s="5"/>
      <c r="H60" s="5"/>
      <c r="I60" s="5"/>
      <c r="J60" s="5"/>
      <c r="K60" s="5"/>
      <c r="L60" s="5"/>
      <c r="M60" s="5"/>
      <c r="N60" s="5"/>
      <c r="O60" s="5"/>
      <c r="P60" s="5"/>
      <c r="Q60" s="5"/>
      <c r="R60" s="5"/>
    </row>
    <row r="61" spans="1:18" ht="15" customHeight="1">
      <c r="A61" s="4"/>
      <c r="B61" s="5"/>
      <c r="C61" s="4"/>
      <c r="D61" s="5"/>
      <c r="E61" s="5"/>
      <c r="F61" s="5"/>
      <c r="G61" s="5"/>
      <c r="H61" s="5"/>
      <c r="I61" s="5"/>
      <c r="J61" s="5"/>
      <c r="K61" s="5"/>
      <c r="L61" s="5"/>
      <c r="M61" s="5"/>
      <c r="N61" s="5"/>
      <c r="O61" s="5"/>
      <c r="P61" s="5"/>
      <c r="Q61" s="5"/>
      <c r="R61" s="5"/>
    </row>
    <row r="62" spans="1:18" ht="15" customHeight="1">
      <c r="A62" s="4"/>
      <c r="B62" s="5"/>
      <c r="C62" s="4"/>
      <c r="D62" s="5"/>
      <c r="E62" s="5"/>
      <c r="F62" s="5"/>
      <c r="G62" s="5"/>
      <c r="H62" s="5"/>
      <c r="I62" s="5"/>
      <c r="J62" s="5"/>
      <c r="K62" s="5"/>
      <c r="L62" s="5"/>
      <c r="M62" s="5"/>
      <c r="N62" s="5"/>
      <c r="O62" s="5"/>
      <c r="P62" s="5"/>
      <c r="Q62" s="5"/>
      <c r="R62" s="5"/>
    </row>
    <row r="63" spans="1:18" ht="15" customHeight="1">
      <c r="A63" s="4"/>
      <c r="B63" s="5"/>
      <c r="C63" s="4"/>
      <c r="D63" s="5"/>
      <c r="E63" s="5"/>
      <c r="F63" s="5"/>
      <c r="G63" s="5"/>
      <c r="H63" s="5"/>
      <c r="I63" s="5"/>
      <c r="J63" s="5"/>
      <c r="K63" s="5"/>
      <c r="L63" s="5"/>
      <c r="M63" s="5"/>
      <c r="N63" s="5"/>
      <c r="O63" s="5"/>
      <c r="P63" s="5"/>
      <c r="Q63" s="5"/>
      <c r="R63" s="5"/>
    </row>
    <row r="64" spans="1:18" ht="15" customHeight="1">
      <c r="A64" s="4"/>
      <c r="B64" s="5"/>
      <c r="C64" s="4"/>
      <c r="D64" s="5"/>
      <c r="E64" s="5"/>
      <c r="F64" s="5"/>
      <c r="G64" s="5"/>
      <c r="H64" s="5"/>
      <c r="I64" s="5"/>
      <c r="J64" s="5"/>
      <c r="K64" s="5"/>
      <c r="L64" s="5"/>
      <c r="M64" s="5"/>
      <c r="N64" s="5"/>
      <c r="O64" s="5"/>
      <c r="P64" s="5"/>
      <c r="Q64" s="5"/>
      <c r="R64" s="5"/>
    </row>
    <row r="65" spans="1:18" ht="15" customHeight="1">
      <c r="A65" s="4"/>
      <c r="B65" s="5"/>
      <c r="C65" s="4"/>
      <c r="D65" s="5"/>
      <c r="E65" s="5"/>
      <c r="F65" s="5"/>
      <c r="G65" s="5"/>
      <c r="H65" s="5"/>
      <c r="I65" s="5"/>
      <c r="J65" s="5"/>
      <c r="K65" s="5"/>
      <c r="L65" s="5"/>
      <c r="M65" s="5"/>
      <c r="N65" s="5"/>
      <c r="O65" s="5"/>
      <c r="P65" s="5"/>
      <c r="Q65" s="5"/>
      <c r="R65" s="5"/>
    </row>
    <row r="66" spans="1:18" ht="15" customHeight="1">
      <c r="A66" s="4"/>
      <c r="B66" s="5"/>
      <c r="C66" s="4"/>
      <c r="D66" s="5"/>
      <c r="E66" s="5"/>
      <c r="F66" s="5"/>
      <c r="G66" s="5"/>
      <c r="H66" s="5"/>
      <c r="I66" s="5"/>
      <c r="J66" s="5"/>
      <c r="K66" s="5"/>
      <c r="L66" s="5"/>
      <c r="M66" s="5"/>
      <c r="N66" s="5"/>
      <c r="O66" s="5"/>
      <c r="P66" s="5"/>
      <c r="Q66" s="5"/>
      <c r="R66" s="5"/>
    </row>
    <row r="67" spans="1:18" ht="15" customHeight="1">
      <c r="A67" s="4"/>
      <c r="B67" s="5"/>
      <c r="C67" s="4"/>
      <c r="D67" s="5"/>
      <c r="E67" s="5"/>
      <c r="F67" s="5"/>
      <c r="G67" s="5"/>
      <c r="H67" s="5"/>
      <c r="I67" s="5"/>
      <c r="J67" s="5"/>
      <c r="K67" s="5"/>
      <c r="L67" s="5"/>
      <c r="M67" s="5"/>
      <c r="N67" s="5"/>
      <c r="O67" s="5"/>
      <c r="P67" s="5"/>
      <c r="Q67" s="5"/>
      <c r="R67" s="5"/>
    </row>
    <row r="68" spans="1:18" ht="15" customHeight="1">
      <c r="A68" s="4"/>
      <c r="B68" s="5"/>
      <c r="C68" s="4"/>
      <c r="D68" s="5"/>
      <c r="E68" s="5"/>
      <c r="F68" s="5"/>
      <c r="G68" s="5"/>
      <c r="H68" s="5"/>
      <c r="I68" s="5"/>
      <c r="J68" s="5"/>
      <c r="K68" s="5"/>
      <c r="L68" s="5"/>
      <c r="M68" s="5"/>
      <c r="N68" s="5"/>
      <c r="O68" s="5"/>
      <c r="P68" s="5"/>
      <c r="Q68" s="5"/>
      <c r="R68" s="5"/>
    </row>
    <row r="69" spans="1:18" ht="15" customHeight="1">
      <c r="A69" s="4"/>
      <c r="B69" s="5"/>
      <c r="C69" s="4"/>
      <c r="D69" s="5"/>
      <c r="E69" s="5"/>
      <c r="F69" s="5"/>
      <c r="G69" s="5"/>
      <c r="H69" s="5"/>
      <c r="I69" s="5"/>
      <c r="J69" s="5"/>
      <c r="K69" s="5"/>
      <c r="L69" s="5"/>
      <c r="M69" s="5"/>
      <c r="N69" s="5"/>
      <c r="O69" s="5"/>
      <c r="P69" s="5"/>
      <c r="Q69" s="5"/>
      <c r="R69" s="5"/>
    </row>
    <row r="70" spans="1:18" ht="15" customHeight="1">
      <c r="A70" s="4"/>
      <c r="B70" s="5"/>
      <c r="C70" s="4"/>
      <c r="D70" s="5"/>
      <c r="E70" s="5"/>
      <c r="F70" s="5"/>
      <c r="G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H89" s="5"/>
      <c r="I89" s="5"/>
      <c r="J89" s="5"/>
      <c r="K89" s="5"/>
      <c r="L89" s="5"/>
      <c r="M89" s="5"/>
      <c r="N89" s="5"/>
      <c r="O89" s="5"/>
      <c r="P89" s="5"/>
      <c r="Q89" s="5"/>
      <c r="R89" s="5"/>
    </row>
    <row r="90" spans="1:18" ht="15" customHeight="1">
      <c r="A90" s="4"/>
      <c r="B90" s="5"/>
      <c r="C90" s="4"/>
      <c r="D90" s="5"/>
      <c r="E90" s="5"/>
      <c r="F90" s="5"/>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H92" s="5"/>
      <c r="I92" s="5"/>
      <c r="J92" s="5"/>
      <c r="K92" s="5"/>
      <c r="L92" s="5"/>
      <c r="M92" s="5"/>
      <c r="N92" s="5"/>
      <c r="O92" s="5"/>
      <c r="P92" s="5"/>
      <c r="Q92" s="5"/>
      <c r="R92" s="5"/>
    </row>
    <row r="93" spans="1:18" ht="15" customHeight="1">
      <c r="A93" s="4"/>
      <c r="B93" s="5"/>
      <c r="C93" s="4"/>
      <c r="D93" s="5"/>
      <c r="E93" s="5"/>
      <c r="F93" s="5"/>
      <c r="H93" s="5"/>
      <c r="I93" s="5"/>
      <c r="J93" s="5"/>
      <c r="K93" s="5"/>
      <c r="L93" s="5"/>
      <c r="M93" s="5"/>
      <c r="N93" s="5"/>
      <c r="O93" s="5"/>
      <c r="P93" s="5"/>
      <c r="Q93" s="5"/>
      <c r="R93" s="5"/>
    </row>
    <row r="94" spans="1:18" ht="15" customHeight="1">
      <c r="A94" s="4"/>
      <c r="B94" s="5"/>
      <c r="C94" s="4"/>
      <c r="D94" s="5"/>
      <c r="E94" s="5"/>
      <c r="F94" s="5"/>
      <c r="H94" s="5"/>
      <c r="I94" s="5"/>
      <c r="J94" s="5"/>
      <c r="K94" s="5"/>
      <c r="L94" s="5"/>
      <c r="M94" s="5"/>
      <c r="N94" s="5"/>
      <c r="O94" s="5"/>
      <c r="P94" s="5"/>
      <c r="Q94" s="5"/>
      <c r="R94" s="5"/>
    </row>
    <row r="95" spans="1:18" ht="15" customHeight="1">
      <c r="A95" s="4"/>
      <c r="B95" s="5"/>
      <c r="C95" s="4"/>
      <c r="D95" s="5"/>
      <c r="E95" s="5"/>
      <c r="F95" s="5"/>
      <c r="H95" s="5"/>
      <c r="I95" s="5"/>
      <c r="J95" s="5"/>
      <c r="K95" s="5"/>
      <c r="L95" s="5"/>
      <c r="M95" s="5"/>
      <c r="N95" s="5"/>
      <c r="O95" s="5"/>
      <c r="P95" s="5"/>
      <c r="Q95" s="5"/>
      <c r="R95" s="5"/>
    </row>
    <row r="96" spans="1:18" ht="15" customHeight="1">
      <c r="A96" s="4"/>
      <c r="B96" s="5"/>
      <c r="C96" s="4"/>
      <c r="D96" s="5"/>
      <c r="E96" s="5"/>
      <c r="F96" s="5"/>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G116" s="168"/>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G118" s="136"/>
      <c r="H118" s="5"/>
      <c r="I118" s="5"/>
      <c r="J118" s="5"/>
      <c r="K118" s="5"/>
      <c r="L118" s="5"/>
      <c r="M118" s="5"/>
      <c r="N118" s="5"/>
      <c r="O118" s="5"/>
      <c r="P118" s="5"/>
      <c r="Q118" s="5"/>
      <c r="R118" s="5"/>
    </row>
    <row r="119" spans="1:18" ht="15" customHeight="1">
      <c r="A119" s="4"/>
      <c r="B119" s="5"/>
      <c r="C119" s="4"/>
      <c r="D119" s="5"/>
      <c r="E119" s="5"/>
      <c r="F119" s="5"/>
      <c r="G119" s="168"/>
      <c r="H119" s="5"/>
      <c r="I119" s="5"/>
      <c r="J119" s="5"/>
      <c r="K119" s="5"/>
      <c r="L119" s="5"/>
      <c r="M119" s="5"/>
      <c r="N119" s="5"/>
      <c r="O119" s="5"/>
      <c r="P119" s="5"/>
      <c r="Q119" s="5"/>
      <c r="R119" s="5"/>
    </row>
    <row r="120" spans="1:18" ht="15" customHeight="1">
      <c r="A120" s="4"/>
      <c r="B120" s="5"/>
      <c r="C120" s="4"/>
      <c r="D120" s="5"/>
      <c r="E120" s="5"/>
      <c r="F120" s="5"/>
      <c r="G120" s="168"/>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G123" s="95"/>
      <c r="I123" s="5"/>
      <c r="J123" s="5"/>
      <c r="K123" s="5"/>
      <c r="L123" s="5"/>
      <c r="M123" s="5"/>
      <c r="N123" s="5"/>
      <c r="O123" s="5"/>
      <c r="P123" s="5"/>
      <c r="Q123" s="5"/>
      <c r="R123" s="5"/>
    </row>
    <row r="124" spans="1:18" ht="15" customHeight="1">
      <c r="A124" s="4"/>
      <c r="B124" s="5"/>
      <c r="C124" s="4"/>
      <c r="D124" s="5"/>
      <c r="E124" s="5"/>
      <c r="F124" s="5"/>
      <c r="G124" s="95"/>
      <c r="I124" s="5"/>
      <c r="J124" s="5"/>
      <c r="K124" s="5"/>
      <c r="L124" s="5"/>
      <c r="M124" s="5"/>
      <c r="N124" s="5"/>
      <c r="O124" s="5"/>
      <c r="P124" s="5"/>
      <c r="Q124" s="5"/>
      <c r="R124" s="5"/>
    </row>
    <row r="125" spans="1:18" ht="15" customHeight="1">
      <c r="A125" s="4"/>
      <c r="B125" s="5"/>
      <c r="C125" s="4"/>
      <c r="D125" s="5"/>
      <c r="E125" s="5"/>
      <c r="F125" s="5"/>
      <c r="G125" s="168"/>
      <c r="H125" s="5"/>
      <c r="I125" s="5"/>
      <c r="J125" s="5"/>
      <c r="K125" s="5"/>
      <c r="L125" s="5"/>
      <c r="M125" s="5"/>
      <c r="N125" s="5"/>
      <c r="O125" s="5"/>
      <c r="P125" s="5"/>
      <c r="Q125" s="5"/>
      <c r="R125" s="5"/>
    </row>
    <row r="126" spans="1:18" ht="15" customHeight="1">
      <c r="A126" s="4"/>
      <c r="B126" s="5"/>
      <c r="C126" s="4"/>
      <c r="D126" s="5"/>
      <c r="E126" s="5"/>
      <c r="F126" s="5"/>
      <c r="G126" s="95"/>
      <c r="I126" s="5"/>
      <c r="J126" s="5"/>
      <c r="K126" s="5"/>
      <c r="L126" s="5"/>
      <c r="M126" s="5"/>
      <c r="N126" s="5"/>
      <c r="O126" s="5"/>
      <c r="P126" s="5"/>
      <c r="Q126" s="5"/>
      <c r="R126" s="5"/>
    </row>
    <row r="127" spans="1:18" ht="15" customHeight="1">
      <c r="A127" s="4"/>
      <c r="B127" s="5"/>
      <c r="C127" s="4"/>
      <c r="D127" s="5"/>
      <c r="E127" s="5"/>
      <c r="F127" s="5"/>
      <c r="G127" s="95"/>
      <c r="I127" s="5"/>
      <c r="J127" s="5"/>
      <c r="K127" s="5"/>
      <c r="L127" s="5"/>
      <c r="M127" s="5"/>
      <c r="N127" s="5"/>
      <c r="O127" s="5"/>
      <c r="P127" s="5"/>
      <c r="Q127" s="5"/>
      <c r="R127" s="5"/>
    </row>
    <row r="128" spans="1:18" ht="15" customHeight="1">
      <c r="A128" s="4"/>
      <c r="B128" s="5"/>
      <c r="C128" s="4"/>
      <c r="D128" s="5"/>
      <c r="E128" s="5"/>
      <c r="F128" s="5"/>
      <c r="G128" s="95"/>
      <c r="I128" s="5"/>
      <c r="J128" s="5"/>
      <c r="K128" s="5"/>
      <c r="L128" s="5"/>
      <c r="M128" s="5"/>
      <c r="N128" s="5"/>
      <c r="O128" s="5"/>
      <c r="P128" s="5"/>
      <c r="Q128" s="5"/>
      <c r="R128" s="5"/>
    </row>
    <row r="129" spans="1:18" ht="15" customHeight="1">
      <c r="A129" s="4"/>
      <c r="B129" s="5"/>
      <c r="C129" s="4"/>
      <c r="D129" s="5"/>
      <c r="E129" s="5"/>
      <c r="F129" s="5"/>
      <c r="G129" s="168"/>
      <c r="I129" s="5"/>
      <c r="J129" s="5"/>
      <c r="K129" s="5"/>
      <c r="L129" s="5"/>
      <c r="M129" s="5"/>
      <c r="N129" s="5"/>
      <c r="O129" s="5"/>
      <c r="P129" s="5"/>
      <c r="Q129" s="5"/>
      <c r="R129" s="5"/>
    </row>
    <row r="130" spans="1:18" ht="15" customHeight="1">
      <c r="A130" s="4"/>
      <c r="B130" s="5"/>
      <c r="C130" s="4"/>
      <c r="D130" s="5"/>
      <c r="E130" s="5"/>
      <c r="F130" s="5"/>
      <c r="I130" s="5"/>
      <c r="J130" s="5"/>
      <c r="K130" s="5"/>
      <c r="L130" s="5"/>
      <c r="M130" s="5"/>
      <c r="N130" s="5"/>
      <c r="O130" s="5"/>
      <c r="P130" s="5"/>
      <c r="Q130" s="5"/>
      <c r="R130" s="5"/>
    </row>
    <row r="131" spans="1:18" ht="15" customHeight="1">
      <c r="A131" s="4"/>
      <c r="B131" s="5"/>
      <c r="C131" s="4"/>
      <c r="D131" s="5"/>
      <c r="E131" s="5"/>
      <c r="F131" s="5"/>
      <c r="G131" s="95"/>
      <c r="I131" s="5"/>
      <c r="J131" s="5"/>
      <c r="K131" s="5"/>
      <c r="L131" s="5"/>
      <c r="M131" s="5"/>
      <c r="N131" s="5"/>
      <c r="O131" s="5"/>
      <c r="P131" s="5"/>
      <c r="Q131" s="5"/>
      <c r="R131" s="5"/>
    </row>
    <row r="132" spans="1:18" ht="15" customHeight="1">
      <c r="A132" s="4"/>
      <c r="B132" s="5"/>
      <c r="C132" s="4"/>
      <c r="D132" s="5"/>
      <c r="E132" s="5"/>
      <c r="F132" s="5"/>
      <c r="I132" s="5"/>
      <c r="J132" s="5"/>
      <c r="K132" s="5"/>
      <c r="L132" s="5"/>
      <c r="M132" s="5"/>
      <c r="N132" s="5"/>
      <c r="O132" s="5"/>
      <c r="P132" s="5"/>
      <c r="Q132" s="5"/>
      <c r="R132" s="5"/>
    </row>
    <row r="133" spans="1:18" ht="15" customHeight="1">
      <c r="A133" s="4"/>
      <c r="B133" s="5"/>
      <c r="C133" s="4"/>
      <c r="D133" s="5"/>
      <c r="E133" s="5"/>
      <c r="F133" s="5"/>
      <c r="I133" s="5"/>
      <c r="J133" s="5"/>
      <c r="K133" s="5"/>
      <c r="L133" s="5"/>
      <c r="M133" s="5"/>
      <c r="N133" s="5"/>
      <c r="O133" s="5"/>
      <c r="P133" s="5"/>
      <c r="Q133" s="5"/>
      <c r="R133" s="5"/>
    </row>
    <row r="134" spans="1:18" ht="15" customHeight="1">
      <c r="A134" s="4"/>
      <c r="B134" s="5"/>
      <c r="C134" s="4"/>
      <c r="D134" s="5"/>
      <c r="E134" s="5"/>
      <c r="F134" s="5"/>
      <c r="I134" s="5"/>
      <c r="J134" s="5"/>
      <c r="K134" s="5"/>
      <c r="L134" s="5"/>
      <c r="M134" s="5"/>
      <c r="N134" s="5"/>
      <c r="O134" s="5"/>
      <c r="P134" s="5"/>
      <c r="Q134" s="5"/>
      <c r="R134" s="5"/>
    </row>
    <row r="135" spans="1:18" ht="15" customHeight="1">
      <c r="A135" s="4"/>
      <c r="B135" s="5"/>
      <c r="C135" s="4"/>
      <c r="D135" s="5"/>
      <c r="E135" s="5"/>
      <c r="F135" s="5"/>
      <c r="I135" s="5"/>
      <c r="J135" s="5"/>
      <c r="K135" s="5"/>
      <c r="L135" s="5"/>
      <c r="M135" s="5"/>
      <c r="N135" s="5"/>
      <c r="O135" s="5"/>
      <c r="P135" s="5"/>
      <c r="Q135" s="5"/>
      <c r="R135" s="5"/>
    </row>
    <row r="136" spans="1:18" ht="15" customHeight="1">
      <c r="A136" s="4"/>
      <c r="B136" s="5"/>
      <c r="C136" s="4"/>
      <c r="D136" s="5"/>
      <c r="E136" s="5"/>
      <c r="F136" s="5"/>
      <c r="I136" s="5"/>
      <c r="J136" s="5"/>
      <c r="K136" s="5"/>
      <c r="L136" s="5"/>
      <c r="M136" s="5"/>
      <c r="N136" s="5"/>
      <c r="O136" s="5"/>
      <c r="P136" s="5"/>
      <c r="Q136" s="5"/>
      <c r="R136" s="5"/>
    </row>
    <row r="137" spans="1:18" ht="15" customHeight="1">
      <c r="A137" s="4"/>
      <c r="B137" s="5"/>
      <c r="C137" s="4"/>
      <c r="D137" s="5"/>
      <c r="E137" s="5"/>
      <c r="F137" s="5"/>
      <c r="I137" s="5"/>
      <c r="J137" s="5"/>
      <c r="K137" s="5"/>
      <c r="L137" s="5"/>
      <c r="M137" s="5"/>
      <c r="N137" s="5"/>
      <c r="O137" s="5"/>
      <c r="P137" s="5"/>
      <c r="Q137" s="5"/>
      <c r="R137" s="5"/>
    </row>
    <row r="138" spans="1:18" ht="15" customHeight="1">
      <c r="A138" s="4"/>
      <c r="B138" s="5"/>
      <c r="C138" s="4"/>
      <c r="D138" s="5"/>
      <c r="E138" s="5"/>
      <c r="F138" s="5"/>
      <c r="I138" s="5"/>
      <c r="J138" s="5"/>
      <c r="K138" s="5"/>
      <c r="L138" s="5"/>
      <c r="M138" s="5"/>
      <c r="N138" s="5"/>
      <c r="O138" s="5"/>
      <c r="P138" s="5"/>
      <c r="Q138" s="5"/>
      <c r="R138" s="5"/>
    </row>
    <row r="139" spans="1:18" ht="15" customHeight="1">
      <c r="A139" s="4"/>
      <c r="B139" s="5"/>
      <c r="C139" s="4"/>
      <c r="D139" s="5"/>
      <c r="E139" s="5"/>
      <c r="F139" s="5"/>
      <c r="G139" s="189"/>
      <c r="I139" s="5"/>
      <c r="J139" s="5"/>
      <c r="K139" s="5"/>
      <c r="L139" s="5"/>
      <c r="M139" s="5"/>
      <c r="N139" s="5"/>
      <c r="O139" s="5"/>
      <c r="P139" s="5"/>
      <c r="Q139" s="5"/>
      <c r="R139" s="5"/>
    </row>
    <row r="140" spans="1:18" ht="15" customHeight="1">
      <c r="A140" s="4"/>
      <c r="B140" s="5"/>
      <c r="C140" s="4"/>
      <c r="D140" s="5"/>
      <c r="E140" s="5"/>
      <c r="F140" s="5"/>
      <c r="I140" s="5"/>
      <c r="J140" s="5"/>
      <c r="K140" s="5"/>
      <c r="L140" s="5"/>
      <c r="M140" s="5"/>
      <c r="N140" s="5"/>
      <c r="O140" s="5"/>
      <c r="P140" s="5"/>
      <c r="Q140" s="5"/>
      <c r="R140" s="5"/>
    </row>
    <row r="141" spans="1:18" ht="15" customHeight="1">
      <c r="A141" s="4"/>
      <c r="B141" s="5"/>
      <c r="C141" s="4"/>
      <c r="D141" s="5"/>
      <c r="E141" s="5"/>
      <c r="F141" s="5"/>
      <c r="G141" s="162"/>
      <c r="I141" s="5"/>
      <c r="J141" s="5"/>
      <c r="K141" s="5"/>
      <c r="L141" s="5"/>
      <c r="M141" s="5"/>
      <c r="N141" s="5"/>
      <c r="O141" s="5"/>
      <c r="P141" s="5"/>
      <c r="Q141" s="5"/>
      <c r="R141" s="5"/>
    </row>
    <row r="142" spans="1:18" ht="15" customHeight="1">
      <c r="A142" s="4"/>
      <c r="B142" s="5"/>
      <c r="C142" s="4"/>
      <c r="D142" s="5"/>
      <c r="E142" s="5"/>
      <c r="F142" s="5"/>
      <c r="G142" s="162"/>
      <c r="I142" s="5"/>
      <c r="J142" s="5"/>
      <c r="K142" s="5"/>
      <c r="L142" s="5"/>
      <c r="M142" s="5"/>
      <c r="N142" s="5"/>
      <c r="O142" s="5"/>
      <c r="P142" s="5"/>
      <c r="Q142" s="5"/>
      <c r="R142" s="5"/>
    </row>
    <row r="143" spans="1:18" ht="15" customHeight="1">
      <c r="A143" s="4"/>
      <c r="B143" s="5"/>
      <c r="C143" s="4"/>
      <c r="D143" s="5"/>
      <c r="E143" s="5"/>
      <c r="F143" s="5"/>
      <c r="G143" s="162"/>
      <c r="I143" s="5"/>
      <c r="J143" s="5"/>
      <c r="K143" s="5"/>
      <c r="L143" s="5"/>
      <c r="M143" s="5"/>
      <c r="N143" s="5"/>
      <c r="O143" s="5"/>
      <c r="P143" s="5"/>
      <c r="Q143" s="5"/>
      <c r="R143" s="5"/>
    </row>
    <row r="144" spans="1:18" ht="15" customHeight="1">
      <c r="A144" s="4"/>
      <c r="B144" s="5"/>
      <c r="C144" s="4"/>
      <c r="D144" s="5"/>
      <c r="E144" s="5"/>
      <c r="F144" s="5"/>
      <c r="G144" s="162"/>
      <c r="I144" s="5"/>
      <c r="J144" s="5"/>
      <c r="K144" s="5"/>
      <c r="L144" s="5"/>
      <c r="M144" s="5"/>
      <c r="N144" s="5"/>
      <c r="O144" s="5"/>
      <c r="P144" s="5"/>
      <c r="Q144" s="5"/>
      <c r="R144" s="5"/>
    </row>
    <row r="145" spans="1:18" ht="15" customHeight="1">
      <c r="A145" s="4"/>
      <c r="B145" s="5"/>
      <c r="C145" s="4"/>
      <c r="D145" s="5"/>
      <c r="E145" s="5"/>
      <c r="F145" s="5"/>
      <c r="I145" s="5"/>
      <c r="J145" s="5"/>
      <c r="K145" s="5"/>
      <c r="L145" s="5"/>
      <c r="M145" s="5"/>
      <c r="N145" s="5"/>
      <c r="O145" s="5"/>
      <c r="P145" s="5"/>
      <c r="Q145" s="5"/>
      <c r="R145" s="5"/>
    </row>
    <row r="146" spans="1:18" ht="15" customHeight="1">
      <c r="A146" s="4"/>
      <c r="B146" s="5"/>
      <c r="C146" s="4"/>
      <c r="D146" s="5"/>
      <c r="E146" s="5"/>
      <c r="F146" s="5"/>
      <c r="I146" s="5"/>
      <c r="J146" s="5"/>
      <c r="K146" s="5"/>
      <c r="L146" s="5"/>
      <c r="M146" s="5"/>
      <c r="N146" s="5"/>
      <c r="O146" s="5"/>
      <c r="P146" s="5"/>
      <c r="Q146" s="5"/>
      <c r="R146" s="5"/>
    </row>
    <row r="147" spans="1:18" ht="15" customHeight="1">
      <c r="A147" s="4"/>
      <c r="B147" s="5"/>
      <c r="C147" s="4"/>
      <c r="D147" s="5"/>
      <c r="E147" s="5"/>
      <c r="F147" s="5"/>
      <c r="I147" s="5"/>
      <c r="J147" s="5"/>
      <c r="K147" s="5"/>
      <c r="L147" s="5"/>
      <c r="M147" s="5"/>
      <c r="N147" s="5"/>
      <c r="O147" s="5"/>
      <c r="P147" s="5"/>
      <c r="Q147" s="5"/>
      <c r="R147" s="5"/>
    </row>
    <row r="148" spans="1:18" ht="15" customHeight="1">
      <c r="A148" s="4"/>
      <c r="B148" s="5"/>
      <c r="C148" s="4"/>
      <c r="D148" s="5"/>
      <c r="E148" s="5"/>
      <c r="F148" s="5"/>
      <c r="I148" s="5"/>
      <c r="J148" s="5"/>
      <c r="K148" s="5"/>
      <c r="L148" s="5"/>
      <c r="M148" s="5"/>
      <c r="N148" s="5"/>
      <c r="O148" s="5"/>
      <c r="P148" s="5"/>
      <c r="Q148" s="5"/>
      <c r="R148" s="5"/>
    </row>
    <row r="149" spans="1:18" ht="15" customHeight="1">
      <c r="A149" s="4"/>
      <c r="B149" s="5"/>
      <c r="C149" s="4"/>
      <c r="D149" s="5"/>
      <c r="E149" s="5"/>
      <c r="F149" s="5"/>
      <c r="I149" s="5"/>
      <c r="J149" s="5"/>
      <c r="K149" s="5"/>
      <c r="L149" s="5"/>
      <c r="M149" s="5"/>
      <c r="N149" s="5"/>
      <c r="O149" s="5"/>
      <c r="P149" s="5"/>
      <c r="Q149" s="5"/>
      <c r="R149" s="5"/>
    </row>
    <row r="150" spans="1:18" ht="15" customHeight="1">
      <c r="A150" s="4"/>
      <c r="B150" s="5"/>
      <c r="C150" s="4"/>
      <c r="D150" s="5"/>
      <c r="E150" s="5"/>
      <c r="F150" s="5"/>
      <c r="I150" s="5"/>
      <c r="J150" s="5"/>
      <c r="K150" s="5"/>
      <c r="L150" s="5"/>
      <c r="M150" s="5"/>
      <c r="N150" s="5"/>
      <c r="O150" s="5"/>
      <c r="P150" s="5"/>
      <c r="Q150" s="5"/>
      <c r="R150" s="5"/>
    </row>
    <row r="151" spans="1:18" ht="15" customHeight="1">
      <c r="A151" s="4"/>
      <c r="B151" s="5"/>
      <c r="C151" s="4"/>
      <c r="D151" s="5"/>
      <c r="E151" s="5"/>
      <c r="F151" s="5"/>
      <c r="I151" s="5"/>
      <c r="J151" s="5"/>
      <c r="K151" s="5"/>
      <c r="L151" s="5"/>
      <c r="M151" s="5"/>
      <c r="N151" s="5"/>
      <c r="O151" s="5"/>
      <c r="P151" s="5"/>
      <c r="Q151" s="5"/>
      <c r="R151" s="5"/>
    </row>
    <row r="152" spans="1:18" ht="15" customHeight="1">
      <c r="A152" s="4"/>
      <c r="B152" s="5"/>
      <c r="C152" s="4"/>
      <c r="D152" s="5"/>
      <c r="E152" s="5"/>
      <c r="F152" s="5"/>
      <c r="I152" s="5"/>
      <c r="J152" s="5"/>
      <c r="K152" s="5"/>
      <c r="L152" s="5"/>
      <c r="M152" s="5"/>
      <c r="N152" s="5"/>
      <c r="O152" s="5"/>
      <c r="P152" s="5"/>
      <c r="Q152" s="5"/>
      <c r="R152" s="5"/>
    </row>
    <row r="153" spans="1:18" ht="15" customHeight="1">
      <c r="A153" s="4"/>
      <c r="B153" s="5"/>
      <c r="C153" s="4"/>
      <c r="D153" s="5"/>
      <c r="E153" s="5"/>
      <c r="F153" s="5"/>
      <c r="I153" s="5"/>
      <c r="J153" s="5"/>
      <c r="K153" s="5"/>
      <c r="L153" s="5"/>
      <c r="M153" s="5"/>
      <c r="N153" s="5"/>
      <c r="O153" s="5"/>
      <c r="P153" s="5"/>
      <c r="Q153" s="5"/>
      <c r="R153" s="5"/>
    </row>
    <row r="154" spans="1:18" ht="15" customHeight="1">
      <c r="A154" s="4"/>
      <c r="B154" s="5"/>
      <c r="C154" s="4"/>
      <c r="D154" s="5"/>
      <c r="E154" s="5"/>
      <c r="F154" s="5"/>
      <c r="I154" s="5"/>
      <c r="J154" s="5"/>
      <c r="K154" s="5"/>
      <c r="L154" s="5"/>
      <c r="M154" s="5"/>
      <c r="N154" s="5"/>
      <c r="O154" s="5"/>
      <c r="P154" s="5"/>
      <c r="Q154" s="5"/>
      <c r="R154" s="5"/>
    </row>
    <row r="155" spans="1:18" ht="15" customHeight="1">
      <c r="A155" s="4"/>
      <c r="B155" s="5"/>
      <c r="C155" s="4"/>
      <c r="D155" s="5"/>
      <c r="E155" s="5"/>
      <c r="F155" s="5"/>
      <c r="I155" s="5"/>
      <c r="J155" s="5"/>
      <c r="K155" s="5"/>
      <c r="L155" s="5"/>
      <c r="M155" s="5"/>
      <c r="N155" s="5"/>
      <c r="O155" s="5"/>
      <c r="P155" s="5"/>
      <c r="Q155" s="5"/>
      <c r="R155" s="5"/>
    </row>
    <row r="156" spans="1:18" ht="15" customHeight="1">
      <c r="A156" s="4"/>
      <c r="B156" s="5"/>
      <c r="C156" s="4"/>
      <c r="D156" s="5"/>
      <c r="E156" s="5"/>
      <c r="F156" s="5"/>
      <c r="I156" s="5"/>
      <c r="J156" s="5"/>
      <c r="K156" s="5"/>
      <c r="L156" s="5"/>
      <c r="M156" s="5"/>
      <c r="N156" s="5"/>
      <c r="O156" s="5"/>
      <c r="P156" s="5"/>
      <c r="Q156" s="5"/>
      <c r="R156" s="5"/>
    </row>
    <row r="157" spans="1:18" ht="15" customHeight="1">
      <c r="A157" s="4"/>
      <c r="B157" s="5"/>
      <c r="C157" s="4"/>
      <c r="D157" s="5"/>
      <c r="E157" s="5"/>
      <c r="F157" s="5"/>
      <c r="I157" s="5"/>
      <c r="J157" s="5"/>
      <c r="K157" s="5"/>
      <c r="L157" s="5"/>
      <c r="M157" s="5"/>
      <c r="N157" s="5"/>
      <c r="O157" s="5"/>
      <c r="P157" s="5"/>
      <c r="Q157" s="5"/>
      <c r="R157" s="5"/>
    </row>
    <row r="158" spans="1:18" ht="15" customHeight="1">
      <c r="A158" s="4"/>
      <c r="B158" s="5"/>
      <c r="C158" s="4"/>
      <c r="D158" s="5"/>
      <c r="E158" s="5"/>
      <c r="F158" s="5"/>
      <c r="I158" s="5"/>
      <c r="J158" s="5"/>
      <c r="K158" s="5"/>
      <c r="L158" s="5"/>
      <c r="M158" s="5"/>
      <c r="N158" s="5"/>
      <c r="O158" s="5"/>
      <c r="P158" s="5"/>
      <c r="Q158" s="5"/>
      <c r="R158" s="5"/>
    </row>
    <row r="159" spans="1:18" ht="15" customHeight="1">
      <c r="A159" s="4"/>
      <c r="B159" s="5"/>
      <c r="C159" s="4"/>
      <c r="D159" s="5"/>
      <c r="E159" s="5"/>
      <c r="F159" s="5"/>
      <c r="I159" s="5"/>
      <c r="J159" s="5"/>
      <c r="K159" s="5"/>
      <c r="L159" s="5"/>
      <c r="M159" s="5"/>
      <c r="N159" s="5"/>
      <c r="O159" s="5"/>
      <c r="P159" s="5"/>
      <c r="Q159" s="5"/>
      <c r="R159" s="5"/>
    </row>
    <row r="160" spans="1:18" ht="15" customHeight="1">
      <c r="A160" s="4"/>
      <c r="B160" s="5"/>
      <c r="C160" s="4"/>
      <c r="D160" s="5"/>
      <c r="E160" s="5"/>
      <c r="F160" s="5"/>
      <c r="I160" s="5"/>
      <c r="J160" s="5"/>
      <c r="K160" s="5"/>
      <c r="L160" s="5"/>
      <c r="M160" s="5"/>
      <c r="N160" s="5"/>
      <c r="O160" s="5"/>
      <c r="P160" s="5"/>
      <c r="Q160" s="5"/>
      <c r="R160" s="5"/>
    </row>
    <row r="161" spans="1:18" ht="15" customHeight="1">
      <c r="A161" s="4"/>
      <c r="B161" s="5"/>
      <c r="C161" s="4"/>
      <c r="D161" s="5"/>
      <c r="E161" s="5"/>
      <c r="F161" s="5"/>
      <c r="I161" s="5"/>
      <c r="J161" s="5"/>
      <c r="K161" s="5"/>
      <c r="L161" s="5"/>
      <c r="M161" s="5"/>
      <c r="N161" s="5"/>
      <c r="O161" s="5"/>
      <c r="P161" s="5"/>
      <c r="Q161" s="5"/>
      <c r="R161" s="5"/>
    </row>
    <row r="162" spans="1:18" ht="15" customHeight="1">
      <c r="A162" s="4"/>
      <c r="B162" s="5"/>
      <c r="C162" s="4"/>
      <c r="D162" s="5"/>
      <c r="E162" s="5"/>
      <c r="F162" s="5"/>
      <c r="I162" s="5"/>
      <c r="J162" s="5"/>
      <c r="K162" s="5"/>
      <c r="L162" s="5"/>
      <c r="M162" s="5"/>
      <c r="N162" s="5"/>
      <c r="O162" s="5"/>
      <c r="P162" s="5"/>
      <c r="Q162" s="5"/>
      <c r="R162" s="5"/>
    </row>
    <row r="163" spans="1:18" ht="15" customHeight="1">
      <c r="A163" s="4"/>
      <c r="B163" s="5"/>
      <c r="C163" s="4"/>
      <c r="D163" s="5"/>
      <c r="E163" s="5"/>
      <c r="F163" s="5"/>
      <c r="I163" s="5"/>
      <c r="J163" s="5"/>
      <c r="K163" s="5"/>
      <c r="L163" s="5"/>
      <c r="M163" s="5"/>
      <c r="N163" s="5"/>
      <c r="O163" s="5"/>
      <c r="P163" s="5"/>
      <c r="Q163" s="5"/>
      <c r="R163" s="5"/>
    </row>
    <row r="164" spans="1:18" ht="15" customHeight="1">
      <c r="A164" s="4"/>
      <c r="B164" s="5"/>
      <c r="C164" s="4"/>
      <c r="D164" s="5"/>
      <c r="E164" s="5"/>
      <c r="F164" s="5"/>
      <c r="H164" s="5"/>
      <c r="I164" s="5"/>
      <c r="J164" s="5"/>
      <c r="K164" s="5"/>
      <c r="L164" s="5"/>
      <c r="M164" s="5"/>
      <c r="N164" s="5"/>
      <c r="O164" s="5"/>
      <c r="P164" s="5"/>
      <c r="Q164" s="5"/>
      <c r="R164" s="5"/>
    </row>
  </sheetData>
  <autoFilter ref="A39:R164" xr:uid="{939F45E2-3E53-400E-A2E9-C302B6D438DB}"/>
  <mergeCells count="5">
    <mergeCell ref="AO3:AT3"/>
    <mergeCell ref="U1:X1"/>
    <mergeCell ref="U3:Y3"/>
    <mergeCell ref="AA3:AF3"/>
    <mergeCell ref="AH3:AM3"/>
  </mergeCells>
  <dataValidations count="4">
    <dataValidation showInputMessage="1" showErrorMessage="1" sqref="F33:F35 K33 P40:R164" xr:uid="{DF15C1EB-639E-475C-AFF6-17F03B99430C}"/>
    <dataValidation type="custom" showInputMessage="1" showErrorMessage="1" sqref="K34:K35" xr:uid="{D3F0578A-FDFB-4053-ACD3-A7B7F2E0E2DD}">
      <formula1>_xlfn.DAYS(H232,F232)</formula1>
    </dataValidation>
    <dataValidation type="custom" allowBlank="1" showInputMessage="1" showErrorMessage="1" sqref="AE38 O38" xr:uid="{EFC378AB-88D7-491C-9AD6-28BAF0E30389}">
      <formula1>_xlfn.DAYS(L235,J235)</formula1>
    </dataValidation>
    <dataValidation type="custom" showInputMessage="1" showErrorMessage="1" sqref="AF38 P38" xr:uid="{8F55143D-A48F-4B05-B2EA-532FA697E318}">
      <formula1>_xlfn.DAYS(M234,K234)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4FA688E5-58FD-4AD3-8C80-EE2D1F5A7784}">
          <x14:formula1>
            <xm:f>Cadastros!$N$12:$N$16</xm:f>
          </x14:formula1>
          <xm:sqref>I38 Y38 K26</xm:sqref>
        </x14:dataValidation>
        <x14:dataValidation type="list" allowBlank="1" showInputMessage="1" showErrorMessage="1" xr:uid="{537CA74A-A661-4A96-AB84-D810B0A0BEBC}">
          <x14:formula1>
            <xm:f>Cadastros!$Q$12:$Q$17</xm:f>
          </x14:formula1>
          <xm:sqref>K38 AA38 K28 F28 K40:K164</xm:sqref>
        </x14:dataValidation>
        <x14:dataValidation type="list" allowBlank="1" showInputMessage="1" showErrorMessage="1" xr:uid="{36A9452B-078A-4FD6-AAF2-2561D7A91B4C}">
          <x14:formula1>
            <xm:f>Cadastros!$F$12:$F$25</xm:f>
          </x14:formula1>
          <xm:sqref>G38 K24 AM38 F23 F40:F164</xm:sqref>
        </x14:dataValidation>
        <x14:dataValidation type="list" errorStyle="information" allowBlank="1" showInputMessage="1" showErrorMessage="1" xr:uid="{4CD9599B-AB8E-425E-8F24-07540F084EB5}">
          <x14:formula1>
            <xm:f>Cadastros!$I$12:$I$21</xm:f>
          </x14:formula1>
          <xm:sqref>H38 K25</xm:sqref>
        </x14:dataValidation>
        <x14:dataValidation type="list" allowBlank="1" showInputMessage="1" showErrorMessage="1" xr:uid="{303FD316-7052-4D93-AC7B-9E0B1E9F1ACE}">
          <x14:formula1>
            <xm:f>Cadastros!$S$12:$S$13</xm:f>
          </x14:formula1>
          <xm:sqref>M38:N38 AC38:AD38 K30:K31 F30:F31 M40:N164</xm:sqref>
        </x14:dataValidation>
        <x14:dataValidation type="list" showInputMessage="1" showErrorMessage="1" xr:uid="{810C8234-5968-4EB2-B017-2D75E777AA78}">
          <x14:formula1>
            <xm:f>Cadastros!$C$12:$C$16</xm:f>
          </x14:formula1>
          <xm:sqref>K22 AK38 F22 E38 E40:E164</xm:sqref>
        </x14:dataValidation>
        <x14:dataValidation type="list" allowBlank="1" showInputMessage="1" showErrorMessage="1" xr:uid="{7A965BBB-0B79-4116-9896-A0EC91A05698}">
          <x14:formula1>
            <xm:f>Cadastros!$N$12:$N$19</xm:f>
          </x14:formula1>
          <xm:sqref>F26 I40:I164</xm:sqref>
        </x14:dataValidation>
        <x14:dataValidation type="list" allowBlank="1" showInputMessage="1" showErrorMessage="1" xr:uid="{3F577E10-2FF1-4480-9E00-121C61072297}">
          <x14:formula1>
            <xm:f>Cadastros!$I$12:$I$36</xm:f>
          </x14:formula1>
          <xm:sqref>H125:H164</xm:sqref>
        </x14:dataValidation>
        <x14:dataValidation type="list" errorStyle="information" allowBlank="1" showInputMessage="1" showErrorMessage="1" xr:uid="{58B7229E-E757-447E-9BF9-532DC8B83AB0}">
          <x14:formula1>
            <xm:f>Cadastros!$I$12:$I$36</xm:f>
          </x14:formula1>
          <xm:sqref>F25 H40:H124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AC5-156A-4D89-9E64-BD81954B5987}">
  <sheetPr codeName="Planilha14"/>
  <dimension ref="A1:AT135"/>
  <sheetViews>
    <sheetView topLeftCell="A27" zoomScaleNormal="100" workbookViewId="0">
      <selection activeCell="A40" sqref="A40:AT13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COUNTA(B$91:B287)</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COUNTIFS(H$39:H405,U5,K$39:K405,V4)</f>
        <v>0</v>
      </c>
      <c r="W5" s="147">
        <f>COUNTIFS(H$39:H405,U5,K$39:K405,W4)</f>
        <v>0</v>
      </c>
      <c r="X5" s="147">
        <f>COUNTIFS(H$39:H405,U5,K$39:K405,X4)</f>
        <v>0</v>
      </c>
      <c r="Y5" s="148">
        <f t="shared" ref="Y5:Y10" si="0">SUM(V5:X5)</f>
        <v>0</v>
      </c>
      <c r="Z5" s="13"/>
      <c r="AA5" s="88" t="str">
        <f>U5</f>
        <v>Bárbara Leite</v>
      </c>
      <c r="AB5" s="33">
        <f>SUMIFS(J$91:J326,H$91:H326,AA5,E$91:E326,"SAL")</f>
        <v>0</v>
      </c>
      <c r="AC5" s="34">
        <f>SUMIFS(J$91:J400,H$91:H400,AA5,E$91:E400,"SAM")</f>
        <v>0</v>
      </c>
      <c r="AD5" s="34">
        <f>SUMIFS(J$91:J400,H$91:H400,AA5,E$91:E400,"NE")</f>
        <v>0</v>
      </c>
      <c r="AE5" s="34">
        <f>SUMIFS(J$91:J400,H$91:H400,AA5,E$91:E400,"SAIL")</f>
        <v>0</v>
      </c>
      <c r="AF5" s="35">
        <f t="shared" ref="AF5:AF9" si="1">SUBTOTAL(9,AB5:AE5)</f>
        <v>0</v>
      </c>
      <c r="AH5" s="88" t="str">
        <f>U5</f>
        <v>Bárbara Leite</v>
      </c>
      <c r="AI5" s="33">
        <f>COUNTIFS(H$91:H400,AH5,E$91:E400,"SAL")</f>
        <v>0</v>
      </c>
      <c r="AJ5" s="34">
        <f t="shared" ref="AJ5:AJ29" si="2">COUNTIFS(H$91:H$400,AH5,E$91:E$400,"SAM")</f>
        <v>0</v>
      </c>
      <c r="AK5" s="34">
        <f>COUNTIFS(H$91:H400,AH5,E$91:E$400,"NE")</f>
        <v>0</v>
      </c>
      <c r="AL5" s="34">
        <f>COUNTIFS(H$91:H400,AH5,E$91:E400,"SAIL")</f>
        <v>0</v>
      </c>
      <c r="AM5" s="35">
        <f t="shared" ref="AM5:AM29" si="3">SUBTOTAL(9,AI5:AL5)</f>
        <v>0</v>
      </c>
      <c r="AO5" s="88" t="str">
        <f>U5</f>
        <v>Bárbara Leite</v>
      </c>
      <c r="AP5" s="33">
        <f t="shared" ref="AP5:AP29" si="4">SUMIFS(Q$91:Q$325,H$91:H$325,AO5,E$91:E$325,"SAL")</f>
        <v>0</v>
      </c>
      <c r="AQ5" s="34">
        <f t="shared" ref="AQ5:AQ29" si="5">SUMIFS(Q$91:Q$325,H$91:H$325,AO5,E$91:E$325,"SAM")</f>
        <v>0</v>
      </c>
      <c r="AR5" s="34">
        <f t="shared" ref="AR5:AR29" si="6">SUMIFS(Q$91:Q$325,H$91:H$325,AO5,E$91:E$325,"NE")</f>
        <v>0</v>
      </c>
      <c r="AS5" s="34">
        <f t="shared" ref="AS5:AS29" si="7">SUMIFS(Q$91:Q$325,H$91:H$325,AO5,E$91:E$325,"SAIL")</f>
        <v>0</v>
      </c>
      <c r="AT5" s="35">
        <f t="shared" ref="AT5:AT29" si="8">SUBTOTAL(9,AP5:AS5)</f>
        <v>0</v>
      </c>
    </row>
    <row r="6" spans="21:46" ht="15.75" thickBot="1">
      <c r="U6" s="87" t="str">
        <f>Cadastros!I13</f>
        <v>Bárbara Teixeira</v>
      </c>
      <c r="V6" s="85">
        <f>COUNTIFS(H$39:H405,U6,K$39:K405,V4)</f>
        <v>0</v>
      </c>
      <c r="W6" s="18">
        <f>COUNTIFS(H$39:H405,U6,K$39:K405,W4)</f>
        <v>0</v>
      </c>
      <c r="X6" s="18">
        <f>COUNTIFS(H$39:H405,U6,K$39:K405,X4)</f>
        <v>0</v>
      </c>
      <c r="Y6" s="19">
        <f t="shared" si="0"/>
        <v>0</v>
      </c>
      <c r="Z6" s="13"/>
      <c r="AA6" s="22" t="str">
        <f>U6</f>
        <v>Bárbara Teixeira</v>
      </c>
      <c r="AB6" s="30">
        <f>SUMIFS(J$91:J327,H$91:H327,AA6,E$91:E327,"SAL")</f>
        <v>0</v>
      </c>
      <c r="AC6" s="29">
        <f>SUMIFS(J$91:J401,H$91:H401,AA6,E$91:E401,"SAM")</f>
        <v>0</v>
      </c>
      <c r="AD6" s="29">
        <f>SUMIFS(J$91:J401,H$91:H401,AA6,E$91:E401,"NE")</f>
        <v>0</v>
      </c>
      <c r="AE6" s="29">
        <f>SUMIFS(J$91:J401,H$91:H401,AA6,E$91:E401,"SAIL")</f>
        <v>0</v>
      </c>
      <c r="AF6" s="31">
        <f t="shared" si="1"/>
        <v>0</v>
      </c>
      <c r="AH6" s="22" t="str">
        <f>U6</f>
        <v>Bárbara Teixeira</v>
      </c>
      <c r="AI6" s="30">
        <f>COUNTIFS(H$91:H401,AH6,E$91:E401,"SAL")</f>
        <v>0</v>
      </c>
      <c r="AJ6" s="29">
        <f t="shared" si="2"/>
        <v>0</v>
      </c>
      <c r="AK6" s="29">
        <f t="shared" ref="AK6:AK29" si="9">COUNTIFS(H$91:H$400,AH6,E$91:E$400,"NE")</f>
        <v>0</v>
      </c>
      <c r="AL6" s="29">
        <f>COUNTIFS(H$91:H401,AH6,E$91:E401,"SAIL")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COUNTIFS(H$39:H405,U7,K$39:K405,V4)</f>
        <v>0</v>
      </c>
      <c r="W7" s="14">
        <f>COUNTIFS(H$39:H405,U7,K$39:K405,W4)</f>
        <v>0</v>
      </c>
      <c r="X7" s="14">
        <f>COUNTIFS(H$39:H405,U7,K$39:K405,X4)</f>
        <v>0</v>
      </c>
      <c r="Y7" s="15">
        <f t="shared" si="0"/>
        <v>0</v>
      </c>
      <c r="Z7" s="13"/>
      <c r="AA7" s="21" t="str">
        <f t="shared" ref="AA7:AA11" si="10">U7</f>
        <v>Bruna Ferro</v>
      </c>
      <c r="AB7" s="37">
        <f>SUMIFS(J$91:J328,H$91:H328,AA7,E$91:E328,"SAL")</f>
        <v>0</v>
      </c>
      <c r="AC7" s="38">
        <f>SUMIFS(J$91:J402,H$91:H402,AA7,E$91:E402,"SAM")</f>
        <v>0</v>
      </c>
      <c r="AD7" s="38">
        <f>SUMIFS(J$91:J402,H$91:H402,AA7,E$91:E402,"NE")</f>
        <v>0</v>
      </c>
      <c r="AE7" s="38">
        <f>SUMIFS(J$91:J402,H$91:H402,AA7,E$91:E402,"SAIL")</f>
        <v>0</v>
      </c>
      <c r="AF7" s="39">
        <f t="shared" si="1"/>
        <v>0</v>
      </c>
      <c r="AH7" s="21" t="str">
        <f t="shared" ref="AH7:AH11" si="11">U7</f>
        <v>Bruna Ferro</v>
      </c>
      <c r="AI7" s="37">
        <f>COUNTIFS(H$91:H402,AH7,E$91:E402,"SAL")</f>
        <v>0</v>
      </c>
      <c r="AJ7" s="38">
        <f t="shared" si="2"/>
        <v>0</v>
      </c>
      <c r="AK7" s="38">
        <f t="shared" si="9"/>
        <v>0</v>
      </c>
      <c r="AL7" s="38">
        <f>COUNTIFS(H$91:H402,AH7,E$91:E402,"SAIL")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COUNTIFS(H$39:H405,U8,K$39:K405,V4)</f>
        <v>0</v>
      </c>
      <c r="W8" s="18">
        <f>COUNTIFS(H$39:H405,U8,K$39:K405,W4)</f>
        <v>0</v>
      </c>
      <c r="X8" s="18">
        <f>COUNTIFS(H$39:H405,U8,K$39:K405,X4)</f>
        <v>0</v>
      </c>
      <c r="Y8" s="19">
        <f t="shared" si="0"/>
        <v>0</v>
      </c>
      <c r="Z8" s="13"/>
      <c r="AA8" s="22" t="str">
        <f t="shared" si="10"/>
        <v>Carolina Esmeraldino</v>
      </c>
      <c r="AB8" s="30">
        <f>SUMIFS(J$91:J329,H$91:H329,AA8,E$91:E329,"SAL")</f>
        <v>0</v>
      </c>
      <c r="AC8" s="29">
        <f>SUMIFS(J$91:J403,H$91:H403,AA8,E$91:E403,"SAM")</f>
        <v>0</v>
      </c>
      <c r="AD8" s="29">
        <f>SUMIFS(J$91:J403,H$91:H403,AA8,E$91:E403,"NE")</f>
        <v>0</v>
      </c>
      <c r="AE8" s="29">
        <f>SUMIFS(J$91:J403,H$91:H403,AA8,E$91:E403,"SAIL")</f>
        <v>0</v>
      </c>
      <c r="AF8" s="31">
        <f t="shared" si="1"/>
        <v>0</v>
      </c>
      <c r="AH8" s="22" t="str">
        <f t="shared" si="11"/>
        <v>Carolina Esmeraldino</v>
      </c>
      <c r="AI8" s="30">
        <f>COUNTIFS(H$91:H403,AH8,E$91:E403,"SAL")</f>
        <v>0</v>
      </c>
      <c r="AJ8" s="29">
        <f t="shared" si="2"/>
        <v>0</v>
      </c>
      <c r="AK8" s="29">
        <f t="shared" si="9"/>
        <v>0</v>
      </c>
      <c r="AL8" s="29">
        <f>COUNTIFS(H$91:H403,AH8,E$91:E403,"SAIL")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COUNTIFS(H$39:H405,U9,K$39:K405,V4)</f>
        <v>0</v>
      </c>
      <c r="W9" s="14">
        <f>COUNTIFS(H$39:H405,U9,K$39:K405,W4)</f>
        <v>0</v>
      </c>
      <c r="X9" s="14">
        <f>COUNTIFS(H$39:H405,U9,K$39:K405,X4)</f>
        <v>0</v>
      </c>
      <c r="Y9" s="15">
        <f t="shared" si="0"/>
        <v>0</v>
      </c>
      <c r="Z9" s="13"/>
      <c r="AA9" s="21" t="str">
        <f t="shared" si="10"/>
        <v>Claudia Savois</v>
      </c>
      <c r="AB9" s="37">
        <f>SUMIFS(J$91:J330,H$91:H330,AA9,E$91:E330,"SAL")</f>
        <v>0</v>
      </c>
      <c r="AC9" s="38">
        <f>SUMIFS(J$91:J404,H$91:H404,AA9,E$91:E404,"SAM")</f>
        <v>0</v>
      </c>
      <c r="AD9" s="38">
        <f>SUMIFS(J$91:J404,H$91:H404,AA9,E$91:E404,"NE")</f>
        <v>0</v>
      </c>
      <c r="AE9" s="38">
        <f>SUMIFS(J$91:J404,H$91:H404,AA9,E$91:E404,"SAIL")</f>
        <v>0</v>
      </c>
      <c r="AF9" s="39">
        <f t="shared" si="1"/>
        <v>0</v>
      </c>
      <c r="AH9" s="21" t="str">
        <f t="shared" si="11"/>
        <v>Claudia Savois</v>
      </c>
      <c r="AI9" s="37">
        <f>COUNTIFS(H$91:H404,AH9,E$91:E404,"SAL")</f>
        <v>0</v>
      </c>
      <c r="AJ9" s="38">
        <f t="shared" si="2"/>
        <v>0</v>
      </c>
      <c r="AK9" s="38">
        <f t="shared" si="9"/>
        <v>0</v>
      </c>
      <c r="AL9" s="38">
        <f>COUNTIFS(H$91:H404,AH9,E$91:E404,"SAIL")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COUNTIFS(H$39:H406,U10,K$39:K406,V4)</f>
        <v>0</v>
      </c>
      <c r="W10" s="14">
        <f>COUNTIFS(H$39:H406,U10,K$39:K406,W4)</f>
        <v>0</v>
      </c>
      <c r="X10" s="14">
        <f>COUNTIFS(H$39:H406,U10,K$39:K406,X4)</f>
        <v>0</v>
      </c>
      <c r="Y10" s="15">
        <f t="shared" si="0"/>
        <v>0</v>
      </c>
      <c r="Z10" s="13"/>
      <c r="AA10" s="22" t="str">
        <f t="shared" si="10"/>
        <v>Daniela Stupp</v>
      </c>
      <c r="AB10" s="30">
        <f>SUMIFS(J$91:J331,H$91:H331,AA10,E$91:E331,"SAL")</f>
        <v>0</v>
      </c>
      <c r="AC10" s="29">
        <f>SUMIFS(J$91:J405,H$91:H405,AA10,E$91:E405,"SAM")</f>
        <v>0</v>
      </c>
      <c r="AD10" s="29">
        <f>SUMIFS(J$91:J405,H$91:H405,AA10,E$91:E405,"NE")</f>
        <v>0</v>
      </c>
      <c r="AE10" s="29">
        <f>SUMIFS(J$91:J405,H$91:H405,AA10,E$91:E405,"SAIL")</f>
        <v>0</v>
      </c>
      <c r="AF10" s="31">
        <f>SUBTOTAL(9,AB10:AE10)</f>
        <v>0</v>
      </c>
      <c r="AH10" s="22" t="str">
        <f t="shared" si="11"/>
        <v>Daniela Stupp</v>
      </c>
      <c r="AI10" s="30">
        <f>COUNTIFS(H$91:H405,AH10,E$91:E405,"SAL")</f>
        <v>0</v>
      </c>
      <c r="AJ10" s="29">
        <f t="shared" si="2"/>
        <v>0</v>
      </c>
      <c r="AK10" s="29">
        <f t="shared" si="9"/>
        <v>0</v>
      </c>
      <c r="AL10" s="29">
        <f>COUNTIFS(H$91:H405,AH10,E$91:E405,"SAIL")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COUNTIFS(H$39:H405,U11,K$39:K405,V4)</f>
        <v>0</v>
      </c>
      <c r="W11" s="18">
        <f>COUNTIFS(H$39:H405,U11,K$39:K405,W4)</f>
        <v>0</v>
      </c>
      <c r="X11" s="18">
        <f>COUNTIFS(H$39:H405,U11,K$39:K405,X4)</f>
        <v>0</v>
      </c>
      <c r="Y11" s="19">
        <f>SUM(V11:X11)</f>
        <v>0</v>
      </c>
      <c r="Z11" s="13"/>
      <c r="AA11" s="21" t="str">
        <f t="shared" si="10"/>
        <v>Gabriely</v>
      </c>
      <c r="AB11" s="37">
        <f>SUMIFS(J$91:J332,H$91:H332,AA11,E$91:E332,"SAL")</f>
        <v>0</v>
      </c>
      <c r="AC11" s="38">
        <f>SUMIFS(J$91:J406,H$91:H406,AA11,E$91:E406,"SAM")</f>
        <v>0</v>
      </c>
      <c r="AD11" s="38">
        <f>SUMIFS(J$91:J406,H$91:H406,AA11,E$91:E406,"NE")</f>
        <v>0</v>
      </c>
      <c r="AE11" s="38">
        <f>SUMIFS(J$91:J406,H$91:H406,AA11,E$91:E406,"SAIL")</f>
        <v>0</v>
      </c>
      <c r="AF11" s="39">
        <f>SUBTOTAL(9,AB11:AE11)</f>
        <v>0</v>
      </c>
      <c r="AH11" s="21" t="str">
        <f t="shared" si="11"/>
        <v>Gabriely</v>
      </c>
      <c r="AI11" s="37">
        <f>COUNTIFS(H$91:H406,AH11,E$91:E406,"SAL")</f>
        <v>0</v>
      </c>
      <c r="AJ11" s="38">
        <f t="shared" si="2"/>
        <v>0</v>
      </c>
      <c r="AK11" s="38">
        <f t="shared" si="9"/>
        <v>0</v>
      </c>
      <c r="AL11" s="38">
        <f>COUNTIFS(H$91:H406,AH11,E$91:E406,"SAIL")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COUNTIFS(H$39:H406,U12,K$39:K406,V4)</f>
        <v>0</v>
      </c>
      <c r="W12" s="14">
        <f>COUNTIFS(H$39:H406,U12,K$39:K406,W4)</f>
        <v>0</v>
      </c>
      <c r="X12" s="14">
        <f>COUNTIFS(H$39:H406,U12,K$39:K406,X4)</f>
        <v>0</v>
      </c>
      <c r="Y12" s="15">
        <f t="shared" ref="Y12:Y29" si="13">SUM(V12:X12)</f>
        <v>0</v>
      </c>
      <c r="AA12" s="22" t="str">
        <f>U12</f>
        <v>Fabio Sasso</v>
      </c>
      <c r="AB12" s="30">
        <f>SUMIFS(J$91:J333,H$91:H333,AA12,E$91:E333,"SAL")</f>
        <v>0</v>
      </c>
      <c r="AC12" s="29">
        <f>SUMIFS(J$91:J407,H$91:H407,AA12,E$91:E407,"SAM")</f>
        <v>0</v>
      </c>
      <c r="AD12" s="29">
        <f>SUMIFS(J$91:J407,H$91:H407,AA12,E$91:E407,"NE")</f>
        <v>0</v>
      </c>
      <c r="AE12" s="29">
        <f>SUMIFS(J$91:J407,H$91:H407,AA12,E$91:E407,"SAIL")</f>
        <v>0</v>
      </c>
      <c r="AF12" s="31">
        <f>SUBTOTAL(9,AB12:AE12)</f>
        <v>0</v>
      </c>
      <c r="AH12" s="22" t="str">
        <f>U12</f>
        <v>Fabio Sasso</v>
      </c>
      <c r="AI12" s="30">
        <f>COUNTIFS(H$91:H407,AH12,E$91:E407,"SAL")</f>
        <v>0</v>
      </c>
      <c r="AJ12" s="29">
        <f t="shared" si="2"/>
        <v>0</v>
      </c>
      <c r="AK12" s="29">
        <f t="shared" si="9"/>
        <v>0</v>
      </c>
      <c r="AL12" s="29">
        <f>COUNTIFS(H$91:H407,AH12,E$91:E407,"SAIL")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COUNTIFS(H$39:H407,U13,K$39:K407,V$4)</f>
        <v>0</v>
      </c>
      <c r="W13" s="18">
        <f>COUNTIFS(H$39:H407,U13,K$39:K407,W$4)</f>
        <v>0</v>
      </c>
      <c r="X13" s="18">
        <f>COUNTIFS(H$39:H407,U13,K$39:K407,X$4)</f>
        <v>0</v>
      </c>
      <c r="Y13" s="19">
        <f t="shared" si="13"/>
        <v>0</v>
      </c>
      <c r="AA13" s="21" t="str">
        <f t="shared" ref="AA13:AA29" si="14">U13</f>
        <v>Felipi Ferreira</v>
      </c>
      <c r="AB13" s="37">
        <f>SUMIFS(J$91:J334,H$91:H334,AA13,E$91:E334,"SAL")</f>
        <v>0</v>
      </c>
      <c r="AC13" s="38">
        <f>SUMIFS(J$91:J408,H$91:H408,AA13,E$91:E408,"SAM")</f>
        <v>0</v>
      </c>
      <c r="AD13" s="38">
        <f>SUMIFS(J$91:J408,H$91:H408,AA13,E$91:E408,"NE")</f>
        <v>0</v>
      </c>
      <c r="AE13" s="38">
        <f>SUMIFS(J$91:J408,H$91:H408,AA13,E$91:E408,"SAIL")</f>
        <v>0</v>
      </c>
      <c r="AF13" s="39">
        <f t="shared" ref="AF13:AF29" si="15">SUBTOTAL(9,AB13:AE13)</f>
        <v>0</v>
      </c>
      <c r="AH13" s="21" t="str">
        <f t="shared" ref="AH13:AH29" si="16">U13</f>
        <v>Felipi Ferreira</v>
      </c>
      <c r="AI13" s="37">
        <f>COUNTIFS(H$91:H408,AH13,E$91:E408,"SAL")</f>
        <v>0</v>
      </c>
      <c r="AJ13" s="38">
        <f t="shared" si="2"/>
        <v>0</v>
      </c>
      <c r="AK13" s="38">
        <f t="shared" si="9"/>
        <v>0</v>
      </c>
      <c r="AL13" s="38">
        <f>COUNTIFS(H$91:H408,AH13,E$91:E408,"SAIL")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COUNTIFS(H$39:H408,U14,K$39:K408,V$4)</f>
        <v>0</v>
      </c>
      <c r="W14" s="14">
        <f>COUNTIFS(H$39:H408,U14,K$39:K408,W$4)</f>
        <v>0</v>
      </c>
      <c r="X14" s="14">
        <f>COUNTIFS(H$39:H408,U14,K$39:K408,X$4)</f>
        <v>0</v>
      </c>
      <c r="Y14" s="15">
        <f t="shared" si="13"/>
        <v>0</v>
      </c>
      <c r="AA14" s="22" t="str">
        <f t="shared" si="14"/>
        <v>Flávia Cardoso</v>
      </c>
      <c r="AB14" s="30">
        <f>SUMIFS(J$91:J335,H$91:H335,AA14,E$91:E335,"SAL")</f>
        <v>0</v>
      </c>
      <c r="AC14" s="29">
        <f>SUMIFS(J$91:J409,H$91:H409,AA14,E$91:E409,"SAM")</f>
        <v>0</v>
      </c>
      <c r="AD14" s="29">
        <f>SUMIFS(J$91:J409,H$91:H409,AA14,E$91:E409,"NE")</f>
        <v>0</v>
      </c>
      <c r="AE14" s="29">
        <f>SUMIFS(J$91:J409,H$91:H409,AA14,E$91:E409,"SAIL")</f>
        <v>0</v>
      </c>
      <c r="AF14" s="31">
        <f t="shared" si="15"/>
        <v>0</v>
      </c>
      <c r="AH14" s="22" t="str">
        <f t="shared" si="16"/>
        <v>Flávia Cardoso</v>
      </c>
      <c r="AI14" s="30">
        <f>COUNTIFS(H$91:H409,AH14,E$91:E409,"SAL")</f>
        <v>0</v>
      </c>
      <c r="AJ14" s="29">
        <f t="shared" si="2"/>
        <v>0</v>
      </c>
      <c r="AK14" s="29">
        <f t="shared" si="9"/>
        <v>0</v>
      </c>
      <c r="AL14" s="29">
        <f>COUNTIFS(H$91:H409,AH14,E$91:E409,"SAIL")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COUNTIFS(H$39:H409,U15,K$39:K409,V$4)</f>
        <v>0</v>
      </c>
      <c r="W15" s="18">
        <f>COUNTIFS(H$39:H409,U15,K$39:K409,W$4)</f>
        <v>0</v>
      </c>
      <c r="X15" s="18">
        <f>COUNTIFS(H$39:H409,U15,K$39:K409,X$4)</f>
        <v>0</v>
      </c>
      <c r="Y15" s="19">
        <f t="shared" si="13"/>
        <v>0</v>
      </c>
      <c r="AA15" s="21" t="str">
        <f t="shared" si="14"/>
        <v>Giovani cunha</v>
      </c>
      <c r="AB15" s="37">
        <f>SUMIFS(J$91:J336,H$91:H336,AA15,E$91:E336,"SAL")</f>
        <v>0</v>
      </c>
      <c r="AC15" s="38">
        <f>SUMIFS(J$91:J410,H$91:H410,AA15,E$91:E410,"SAM")</f>
        <v>0</v>
      </c>
      <c r="AD15" s="38">
        <f>SUMIFS(J$91:J410,H$91:H410,AA15,E$91:E410,"NE")</f>
        <v>0</v>
      </c>
      <c r="AE15" s="38">
        <f>SUMIFS(J$91:J410,H$91:H410,AA15,E$91:E410,"SAIL")</f>
        <v>0</v>
      </c>
      <c r="AF15" s="39">
        <f t="shared" si="15"/>
        <v>0</v>
      </c>
      <c r="AH15" s="21" t="str">
        <f t="shared" si="16"/>
        <v>Giovani cunha</v>
      </c>
      <c r="AI15" s="37">
        <f>COUNTIFS(H$91:H410,AH15,E$91:E410,"SAL")</f>
        <v>0</v>
      </c>
      <c r="AJ15" s="38">
        <f t="shared" si="2"/>
        <v>0</v>
      </c>
      <c r="AK15" s="38">
        <f t="shared" si="9"/>
        <v>0</v>
      </c>
      <c r="AL15" s="38">
        <f>COUNTIFS(H$91:H410,AH15,E$91:E410,"SAIL")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COUNTIFS(H$39:H410,U16,K$39:K410,V$4)</f>
        <v>0</v>
      </c>
      <c r="W16" s="14">
        <f>COUNTIFS(H$39:H410,U16,K$39:K410,W$4)</f>
        <v>0</v>
      </c>
      <c r="X16" s="14">
        <f>COUNTIFS(H$39:H410,U16,K$39:K410,X$4)</f>
        <v>0</v>
      </c>
      <c r="Y16" s="15">
        <f t="shared" si="13"/>
        <v>0</v>
      </c>
      <c r="AA16" s="22" t="str">
        <f t="shared" si="14"/>
        <v>Jennifer Rodrigues</v>
      </c>
      <c r="AB16" s="30">
        <f>SUMIFS(J$91:J337,H$91:H337,AA16,E$91:E337,"SAL")</f>
        <v>0</v>
      </c>
      <c r="AC16" s="29">
        <f>SUMIFS(J$91:J411,H$91:H411,AA16,E$91:E411,"SAM")</f>
        <v>0</v>
      </c>
      <c r="AD16" s="29">
        <f>SUMIFS(J$91:J411,H$91:H411,AA16,E$91:E411,"NE")</f>
        <v>0</v>
      </c>
      <c r="AE16" s="29">
        <f>SUMIFS(J$91:J411,H$91:H411,AA16,E$91:E411,"SAIL")</f>
        <v>0</v>
      </c>
      <c r="AF16" s="31">
        <f t="shared" si="15"/>
        <v>0</v>
      </c>
      <c r="AH16" s="22" t="str">
        <f t="shared" si="16"/>
        <v>Jennifer Rodrigues</v>
      </c>
      <c r="AI16" s="30">
        <f>COUNTIFS(H$91:H411,AH16,E$91:E411,"SAL")</f>
        <v>0</v>
      </c>
      <c r="AJ16" s="29">
        <f t="shared" si="2"/>
        <v>0</v>
      </c>
      <c r="AK16" s="29">
        <f t="shared" si="9"/>
        <v>0</v>
      </c>
      <c r="AL16" s="29">
        <f>COUNTIFS(H$91:H411,AH16,E$91:E411,"SAIL")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COUNTIFS(H$39:H411,U17,K$39:K411,V$4)</f>
        <v>0</v>
      </c>
      <c r="W17" s="18">
        <f>COUNTIFS(H$39:H411,U17,K$39:K411,W$4)</f>
        <v>0</v>
      </c>
      <c r="X17" s="18">
        <f>COUNTIFS(H$39:H411,U17,K$39:K411,X$4)</f>
        <v>0</v>
      </c>
      <c r="Y17" s="19">
        <f t="shared" si="13"/>
        <v>0</v>
      </c>
      <c r="AA17" s="21" t="str">
        <f t="shared" si="14"/>
        <v>Juliana Guizoni</v>
      </c>
      <c r="AB17" s="37">
        <f>SUMIFS(J$91:J338,H$91:H338,AA17,E$91:E338,"SAL")</f>
        <v>0</v>
      </c>
      <c r="AC17" s="38">
        <f>SUMIFS(J$91:J412,H$91:H412,AA17,E$91:E412,"SAM")</f>
        <v>0</v>
      </c>
      <c r="AD17" s="38">
        <f>SUMIFS(J$91:J412,H$91:H412,AA17,E$91:E412,"NE")</f>
        <v>0</v>
      </c>
      <c r="AE17" s="38">
        <f>SUMIFS(J$91:J412,H$91:H412,AA17,E$91:E412,"SAIL")</f>
        <v>0</v>
      </c>
      <c r="AF17" s="39">
        <f t="shared" si="15"/>
        <v>0</v>
      </c>
      <c r="AH17" s="21" t="str">
        <f t="shared" si="16"/>
        <v>Juliana Guizoni</v>
      </c>
      <c r="AI17" s="37">
        <f>COUNTIFS(H$91:H412,AH17,E$91:E412,"SAL")</f>
        <v>0</v>
      </c>
      <c r="AJ17" s="38">
        <f t="shared" si="2"/>
        <v>0</v>
      </c>
      <c r="AK17" s="38">
        <f t="shared" si="9"/>
        <v>0</v>
      </c>
      <c r="AL17" s="38">
        <f>COUNTIFS(H$91:H412,AH17,E$91:E412,"SAIL")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COUNTIFS(H$39:H412,U18,K$39:K412,V$4)</f>
        <v>0</v>
      </c>
      <c r="W18" s="14">
        <f>COUNTIFS(H$39:H412,U18,K$39:K412,W$4)</f>
        <v>0</v>
      </c>
      <c r="X18" s="14">
        <f>COUNTIFS(H$39:H412,U18,K$39:K412,X$4)</f>
        <v>0</v>
      </c>
      <c r="Y18" s="15">
        <f t="shared" si="13"/>
        <v>0</v>
      </c>
      <c r="AA18" s="22" t="str">
        <f t="shared" si="14"/>
        <v>Vinicyos Maguns</v>
      </c>
      <c r="AB18" s="30">
        <f>SUMIFS(J$91:J339,H$91:H339,AA18,E$91:E339,"SAL")</f>
        <v>0</v>
      </c>
      <c r="AC18" s="29">
        <f>SUMIFS(J$91:J413,H$91:H413,AA18,E$91:E413,"SAM")</f>
        <v>0</v>
      </c>
      <c r="AD18" s="29">
        <f>SUMIFS(J$91:J413,H$91:H413,AA18,E$91:E413,"NE")</f>
        <v>0</v>
      </c>
      <c r="AE18" s="29">
        <f>SUMIFS(J$91:J413,H$91:H413,AA18,E$91:E413,"SAIL")</f>
        <v>0</v>
      </c>
      <c r="AF18" s="31">
        <f t="shared" si="15"/>
        <v>0</v>
      </c>
      <c r="AH18" s="22" t="str">
        <f t="shared" si="16"/>
        <v>Vinicyos Maguns</v>
      </c>
      <c r="AI18" s="30">
        <f>COUNTIFS(H$91:H413,AH18,E$91:E413,"SAL")</f>
        <v>0</v>
      </c>
      <c r="AJ18" s="29">
        <f t="shared" si="2"/>
        <v>0</v>
      </c>
      <c r="AK18" s="29">
        <f t="shared" si="9"/>
        <v>0</v>
      </c>
      <c r="AL18" s="29">
        <f>COUNTIFS(H$91:H413,AH18,E$91:E413,"SAIL")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VLOOKUP(F19,B91:B239,1,0)</f>
        <v>#N/A</v>
      </c>
      <c r="C19" s="45" t="e">
        <f>VLOOKUP(F21,D91:D239,1,0)</f>
        <v>#N/A</v>
      </c>
      <c r="D19" s="10"/>
      <c r="E19" s="74" t="s">
        <v>79</v>
      </c>
      <c r="F19" s="5"/>
      <c r="G19" s="11"/>
      <c r="K19" s="5"/>
      <c r="U19" s="87" t="str">
        <f>Cadastros!I26</f>
        <v>Laís Andrade</v>
      </c>
      <c r="V19" s="85">
        <f>COUNTIFS(H$39:H413,U19,K$39:K413,V$4)</f>
        <v>0</v>
      </c>
      <c r="W19" s="18">
        <f>COUNTIFS(H$39:H413,U19,K$39:K413,W$4)</f>
        <v>0</v>
      </c>
      <c r="X19" s="18">
        <f>COUNTIFS(H$39:H413,U19,K$39:K413,X$4)</f>
        <v>0</v>
      </c>
      <c r="Y19" s="19">
        <f t="shared" si="13"/>
        <v>0</v>
      </c>
      <c r="AA19" s="21" t="str">
        <f t="shared" si="14"/>
        <v>Laís Andrade</v>
      </c>
      <c r="AB19" s="37">
        <f>SUMIFS(J$91:J340,H$91:H340,AA19,E$91:E340,"SAL")</f>
        <v>0</v>
      </c>
      <c r="AC19" s="38">
        <f>SUMIFS(J$91:J414,H$91:H414,AA19,E$91:E414,"SAM")</f>
        <v>0</v>
      </c>
      <c r="AD19" s="38">
        <f>SUMIFS(J$91:J414,H$91:H414,AA19,E$91:E414,"NE")</f>
        <v>0</v>
      </c>
      <c r="AE19" s="38">
        <f>SUMIFS(J$91:J414,H$91:H414,AA19,E$91:E414,"SAIL")</f>
        <v>0</v>
      </c>
      <c r="AF19" s="39">
        <f t="shared" si="15"/>
        <v>0</v>
      </c>
      <c r="AH19" s="21" t="str">
        <f t="shared" si="16"/>
        <v>Laís Andrade</v>
      </c>
      <c r="AI19" s="37">
        <f>COUNTIFS(H$91:H414,AH19,E$91:E414,"SAL")</f>
        <v>0</v>
      </c>
      <c r="AJ19" s="38">
        <f t="shared" si="2"/>
        <v>0</v>
      </c>
      <c r="AK19" s="38">
        <f t="shared" si="9"/>
        <v>0</v>
      </c>
      <c r="AL19" s="38">
        <f>COUNTIFS(H$91:H414,AH19,E$91:E414,"SAIL")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COUNTIFS(H$39:H414,U20,K$39:K414,V$4)</f>
        <v>0</v>
      </c>
      <c r="W20" s="14">
        <f>COUNTIFS(H$39:H414,U20,K$39:K414,W$4)</f>
        <v>0</v>
      </c>
      <c r="X20" s="14">
        <f>COUNTIFS(H$39:H414,U20,K$39:K414,X$4)</f>
        <v>0</v>
      </c>
      <c r="Y20" s="15">
        <f t="shared" si="13"/>
        <v>0</v>
      </c>
      <c r="AA20" s="22" t="str">
        <f t="shared" si="14"/>
        <v>Luciana Mercante</v>
      </c>
      <c r="AB20" s="30">
        <f>SUMIFS(J$91:J341,H$91:H341,AA20,E$91:E341,"SAL")</f>
        <v>0</v>
      </c>
      <c r="AC20" s="29">
        <f>SUMIFS(J$91:J415,H$91:H415,AA20,E$91:E415,"SAM")</f>
        <v>0</v>
      </c>
      <c r="AD20" s="29">
        <f>SUMIFS(J$91:J415,H$91:H415,AA20,E$91:E415,"NE")</f>
        <v>0</v>
      </c>
      <c r="AE20" s="29">
        <f>SUMIFS(J$91:J415,H$91:H415,AA20,E$91:E415,"SAIL")</f>
        <v>0</v>
      </c>
      <c r="AF20" s="31">
        <f t="shared" si="15"/>
        <v>0</v>
      </c>
      <c r="AH20" s="22" t="str">
        <f t="shared" si="16"/>
        <v>Luciana Mercante</v>
      </c>
      <c r="AI20" s="30">
        <f>COUNTIFS(H$91:H415,AH20,E$91:E415,"SAL")</f>
        <v>0</v>
      </c>
      <c r="AJ20" s="29">
        <f t="shared" si="2"/>
        <v>0</v>
      </c>
      <c r="AK20" s="29">
        <f t="shared" si="9"/>
        <v>0</v>
      </c>
      <c r="AL20" s="29">
        <f>COUNTIFS(H$91:H415,AH20,E$91:E415,"SAIL")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COUNTIFS(H$39:H415,U21,K$39:K415,V$4)</f>
        <v>0</v>
      </c>
      <c r="W21" s="18">
        <f>COUNTIFS(H$39:H415,U21,K$39:K415,W$4)</f>
        <v>0</v>
      </c>
      <c r="X21" s="18">
        <f>COUNTIFS(H$39:H415,U21,K$39:K415,X$4)</f>
        <v>0</v>
      </c>
      <c r="Y21" s="19">
        <f t="shared" si="13"/>
        <v>0</v>
      </c>
      <c r="AA21" s="21" t="str">
        <f t="shared" si="14"/>
        <v>Mateus Alves</v>
      </c>
      <c r="AB21" s="37">
        <f>SUMIFS(J$91:J342,H$91:H342,AA21,E$91:E342,"SAL")</f>
        <v>0</v>
      </c>
      <c r="AC21" s="38">
        <f>SUMIFS(J$91:J416,H$91:H416,AA21,E$91:E416,"SAM")</f>
        <v>0</v>
      </c>
      <c r="AD21" s="38">
        <f>SUMIFS(J$91:J416,H$91:H416,AA21,E$91:E416,"NE")</f>
        <v>0</v>
      </c>
      <c r="AE21" s="38">
        <f>SUMIFS(J$91:J416,H$91:H416,AA21,E$91:E416,"SAIL")</f>
        <v>0</v>
      </c>
      <c r="AF21" s="39">
        <f t="shared" si="15"/>
        <v>0</v>
      </c>
      <c r="AH21" s="21" t="str">
        <f t="shared" si="16"/>
        <v>Mateus Alves</v>
      </c>
      <c r="AI21" s="37">
        <f>COUNTIFS(H$91:H416,AH21,E$91:E416,"SAL")</f>
        <v>0</v>
      </c>
      <c r="AJ21" s="38">
        <f t="shared" si="2"/>
        <v>0</v>
      </c>
      <c r="AK21" s="38">
        <f t="shared" si="9"/>
        <v>0</v>
      </c>
      <c r="AL21" s="38">
        <f>COUNTIFS(H$91:H416,AH21,E$91:E416,"SAIL")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COUNTIFS(H$39:H416,U22,K$39:K416,V$4)</f>
        <v>0</v>
      </c>
      <c r="W22" s="14">
        <f>COUNTIFS(H$39:H416,U22,K$39:K416,W$4)</f>
        <v>0</v>
      </c>
      <c r="X22" s="14">
        <f>COUNTIFS(H$39:H416,U22,K$39:K416,X$4)</f>
        <v>0</v>
      </c>
      <c r="Y22" s="15">
        <f t="shared" si="13"/>
        <v>0</v>
      </c>
      <c r="AA22" s="22" t="str">
        <f t="shared" si="14"/>
        <v>Patricia Costa</v>
      </c>
      <c r="AB22" s="30">
        <f>SUMIFS(J$91:J343,H$91:H343,AA22,E$91:E343,"SAL")</f>
        <v>0</v>
      </c>
      <c r="AC22" s="29">
        <f>SUMIFS(J$91:J417,H$91:H417,AA22,E$91:E417,"SAM")</f>
        <v>0</v>
      </c>
      <c r="AD22" s="29">
        <f>SUMIFS(J$91:J417,H$91:H417,AA22,E$91:E417,"NE")</f>
        <v>0</v>
      </c>
      <c r="AE22" s="29">
        <f>SUMIFS(J$91:J417,H$91:H417,AA22,E$91:E417,"SAIL")</f>
        <v>0</v>
      </c>
      <c r="AF22" s="31">
        <f t="shared" si="15"/>
        <v>0</v>
      </c>
      <c r="AH22" s="22" t="str">
        <f t="shared" si="16"/>
        <v>Patricia Costa</v>
      </c>
      <c r="AI22" s="30">
        <f>COUNTIFS(H$91:H417,AH22,E$91:E417,"SAL")</f>
        <v>0</v>
      </c>
      <c r="AJ22" s="29">
        <f t="shared" si="2"/>
        <v>0</v>
      </c>
      <c r="AK22" s="29">
        <f t="shared" si="9"/>
        <v>0</v>
      </c>
      <c r="AL22" s="29">
        <f>COUNTIFS(H$91:H417,AH22,E$91:E417,"SAIL")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COUNTIFS(H$39:H417,U23,K$39:K417,V$4)</f>
        <v>0</v>
      </c>
      <c r="W23" s="18">
        <f>COUNTIFS(H$39:H417,U23,K$39:K417,W$4)</f>
        <v>0</v>
      </c>
      <c r="X23" s="18">
        <f>COUNTIFS(H$39:H417,U23,K$39:K417,X$4)</f>
        <v>0</v>
      </c>
      <c r="Y23" s="19">
        <f t="shared" si="13"/>
        <v>0</v>
      </c>
      <c r="AA23" s="21" t="str">
        <f t="shared" si="14"/>
        <v>Rafaela Ribeiro</v>
      </c>
      <c r="AB23" s="37">
        <f>SUMIFS(J$91:J344,H$91:H344,AA23,E$91:E344,"SAL")</f>
        <v>0</v>
      </c>
      <c r="AC23" s="38">
        <f>SUMIFS(J$91:J418,H$91:H418,AA23,E$91:E418,"SAM")</f>
        <v>0</v>
      </c>
      <c r="AD23" s="38">
        <f>SUMIFS(J$91:J418,H$91:H418,AA23,E$91:E418,"NE")</f>
        <v>0</v>
      </c>
      <c r="AE23" s="38">
        <f>SUMIFS(J$91:J418,H$91:H418,AA23,E$91:E418,"SAIL")</f>
        <v>0</v>
      </c>
      <c r="AF23" s="39">
        <f t="shared" si="15"/>
        <v>0</v>
      </c>
      <c r="AH23" s="21" t="str">
        <f t="shared" si="16"/>
        <v>Rafaela Ribeiro</v>
      </c>
      <c r="AI23" s="37">
        <f>COUNTIFS(H$91:H418,AH23,E$91:E418,"SAL")</f>
        <v>0</v>
      </c>
      <c r="AJ23" s="38">
        <f t="shared" si="2"/>
        <v>0</v>
      </c>
      <c r="AK23" s="38">
        <f t="shared" si="9"/>
        <v>0</v>
      </c>
      <c r="AL23" s="38">
        <f>COUNTIFS(H$91:H418,AH23,E$91:E418,"SAIL")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COUNTIFS(H$39:H418,U24,K$39:K418,V$4)</f>
        <v>0</v>
      </c>
      <c r="W24" s="14">
        <f>COUNTIFS(H$39:H418,U24,K$39:K418,W$4)</f>
        <v>0</v>
      </c>
      <c r="X24" s="14">
        <f>COUNTIFS(H$39:H418,U24,K$39:K418,X$4)</f>
        <v>0</v>
      </c>
      <c r="Y24" s="15">
        <f t="shared" si="13"/>
        <v>0</v>
      </c>
      <c r="AA24" s="22" t="str">
        <f t="shared" si="14"/>
        <v>Renan Maiato</v>
      </c>
      <c r="AB24" s="30">
        <f>SUMIFS(J$91:J345,H$91:H345,AA24,E$91:E345,"SAL")</f>
        <v>0</v>
      </c>
      <c r="AC24" s="29">
        <f>SUMIFS(J$91:J419,H$91:H419,AA24,E$91:E419,"SAM")</f>
        <v>0</v>
      </c>
      <c r="AD24" s="29">
        <f>SUMIFS(J$91:J419,H$91:H419,AA24,E$91:E419,"NE")</f>
        <v>0</v>
      </c>
      <c r="AE24" s="29">
        <f>SUMIFS(J$91:J419,H$91:H419,AA24,E$91:E419,"SAIL")</f>
        <v>0</v>
      </c>
      <c r="AF24" s="31">
        <f t="shared" si="15"/>
        <v>0</v>
      </c>
      <c r="AH24" s="22" t="str">
        <f t="shared" si="16"/>
        <v>Renan Maiato</v>
      </c>
      <c r="AI24" s="30">
        <f>COUNTIFS(H$91:H419,AH24,E$91:E419,"SAL")</f>
        <v>0</v>
      </c>
      <c r="AJ24" s="29">
        <f t="shared" si="2"/>
        <v>0</v>
      </c>
      <c r="AK24" s="29">
        <f t="shared" si="9"/>
        <v>0</v>
      </c>
      <c r="AL24" s="29">
        <f>COUNTIFS(H$91:H419,AH24,E$91:E419,"SAIL")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COUNTIFS(H$39:H419,U25,K$39:K419,V$4)</f>
        <v>0</v>
      </c>
      <c r="W25" s="18">
        <f>COUNTIFS(H$39:H419,U25,K$39:K419,W$4)</f>
        <v>0</v>
      </c>
      <c r="X25" s="18">
        <f>COUNTIFS(H$39:H419,U25,K$39:K419,X$4)</f>
        <v>0</v>
      </c>
      <c r="Y25" s="19">
        <f t="shared" si="13"/>
        <v>0</v>
      </c>
      <c r="AA25" s="21" t="str">
        <f t="shared" si="14"/>
        <v>Sabrine Neves</v>
      </c>
      <c r="AB25" s="37">
        <f>SUMIFS(J$91:J346,H$91:H346,AA25,E$91:E346,"SAL")</f>
        <v>0</v>
      </c>
      <c r="AC25" s="38">
        <f>SUMIFS(J$91:J420,H$91:H420,AA25,E$91:E420,"SAM")</f>
        <v>0</v>
      </c>
      <c r="AD25" s="38">
        <f>SUMIFS(J$91:J420,H$91:H420,AA25,E$91:E420,"NE")</f>
        <v>0</v>
      </c>
      <c r="AE25" s="38">
        <f>SUMIFS(J$91:J420,H$91:H420,AA25,E$91:E420,"SAIL")</f>
        <v>0</v>
      </c>
      <c r="AF25" s="39">
        <f t="shared" si="15"/>
        <v>0</v>
      </c>
      <c r="AH25" s="21" t="str">
        <f t="shared" si="16"/>
        <v>Sabrine Neves</v>
      </c>
      <c r="AI25" s="37">
        <f>COUNTIFS(H$91:H420,AH25,E$91:E420,"SAL")</f>
        <v>0</v>
      </c>
      <c r="AJ25" s="38">
        <f t="shared" si="2"/>
        <v>0</v>
      </c>
      <c r="AK25" s="38">
        <f t="shared" si="9"/>
        <v>0</v>
      </c>
      <c r="AL25" s="38">
        <f>COUNTIFS(H$91:H420,AH25,E$91:E420,"SAIL")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COUNTIFS(H$39:H420,U26,K$39:K420,V$4)</f>
        <v>0</v>
      </c>
      <c r="W26" s="14">
        <f>COUNTIFS(H$39:H420,U26,K$39:K420,W$4)</f>
        <v>0</v>
      </c>
      <c r="X26" s="14">
        <f>COUNTIFS(H$39:H420,U26,K$39:K420,X$4)</f>
        <v>0</v>
      </c>
      <c r="Y26" s="15">
        <f t="shared" si="13"/>
        <v>0</v>
      </c>
      <c r="AA26" s="22" t="str">
        <f t="shared" si="14"/>
        <v>Victor Ferreira</v>
      </c>
      <c r="AB26" s="30">
        <f>SUMIFS(J$91:J347,H$91:H347,AA26,E$91:E347,"SAL")</f>
        <v>0</v>
      </c>
      <c r="AC26" s="29">
        <f>SUMIFS(J$91:J421,H$91:H421,AA26,E$91:E421,"SAM")</f>
        <v>0</v>
      </c>
      <c r="AD26" s="29">
        <f>SUMIFS(J$91:J421,H$91:H421,AA26,E$91:E421,"NE")</f>
        <v>0</v>
      </c>
      <c r="AE26" s="29">
        <f>SUMIFS(J$91:J421,H$91:H421,AA26,E$91:E421,"SAIL")</f>
        <v>0</v>
      </c>
      <c r="AF26" s="31">
        <f t="shared" si="15"/>
        <v>0</v>
      </c>
      <c r="AH26" s="22" t="str">
        <f t="shared" si="16"/>
        <v>Victor Ferreira</v>
      </c>
      <c r="AI26" s="30">
        <f>COUNTIFS(H$91:H421,AH26,E$91:E421,"SAL")</f>
        <v>0</v>
      </c>
      <c r="AJ26" s="29">
        <f t="shared" si="2"/>
        <v>0</v>
      </c>
      <c r="AK26" s="29">
        <f t="shared" si="9"/>
        <v>0</v>
      </c>
      <c r="AL26" s="29">
        <f>COUNTIFS(H$91:H421,AH26,E$91:E421,"SAIL")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COUNTIFS(H$39:H421,U27,K$39:K421,V$4)</f>
        <v>0</v>
      </c>
      <c r="W27" s="18">
        <f>COUNTIFS(H$39:H421,U27,K$39:K421,W$4)</f>
        <v>0</v>
      </c>
      <c r="X27" s="18">
        <f>COUNTIFS(H$39:H421,U27,K$39:K421,X$4)</f>
        <v>0</v>
      </c>
      <c r="Y27" s="19">
        <f t="shared" si="13"/>
        <v>0</v>
      </c>
      <c r="AA27" s="21" t="str">
        <f t="shared" si="14"/>
        <v>Erick Vicente</v>
      </c>
      <c r="AB27" s="37">
        <f>SUMIFS(J$91:J348,H$91:H348,AA27,E$91:E348,"SAL")</f>
        <v>0</v>
      </c>
      <c r="AC27" s="38">
        <f>SUMIFS(J$91:J422,H$91:H422,AA27,E$91:E422,"SAM")</f>
        <v>0</v>
      </c>
      <c r="AD27" s="38">
        <f>SUMIFS(J$91:J422,H$91:H422,AA27,E$91:E422,"NE")</f>
        <v>0</v>
      </c>
      <c r="AE27" s="38">
        <f>SUMIFS(J$91:J422,H$91:H422,AA27,E$91:E422,"SAIL")</f>
        <v>0</v>
      </c>
      <c r="AF27" s="39">
        <f t="shared" si="15"/>
        <v>0</v>
      </c>
      <c r="AH27" s="21" t="str">
        <f t="shared" si="16"/>
        <v>Erick Vicente</v>
      </c>
      <c r="AI27" s="37">
        <f>COUNTIFS(H$91:H422,AH27,E$91:E422,"SAL")</f>
        <v>0</v>
      </c>
      <c r="AJ27" s="38">
        <f t="shared" si="2"/>
        <v>0</v>
      </c>
      <c r="AK27" s="38">
        <f t="shared" si="9"/>
        <v>0</v>
      </c>
      <c r="AL27" s="38">
        <f>COUNTIFS(H$91:H422,AH27,E$91:E422,"SAIL")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COUNTIFS(H$39:H422,U28,K$39:K422,V$4)</f>
        <v>0</v>
      </c>
      <c r="W28" s="14">
        <f>COUNTIFS(H$39:H422,U28,K$39:K422,W$4)</f>
        <v>0</v>
      </c>
      <c r="X28" s="14">
        <f>COUNTIFS(H$39:H422,U28,K$39:K422,X$4)</f>
        <v>0</v>
      </c>
      <c r="Y28" s="15">
        <f t="shared" si="13"/>
        <v>0</v>
      </c>
      <c r="AA28" s="22" t="str">
        <f t="shared" si="14"/>
        <v>Rafaela Sampaio</v>
      </c>
      <c r="AB28" s="30">
        <f>SUMIFS(J$91:J349,H$91:H349,AA28,E$91:E349,"SAL")</f>
        <v>0</v>
      </c>
      <c r="AC28" s="29">
        <f>SUMIFS(J$91:J423,H$91:H423,AA28,E$91:E423,"SAM")</f>
        <v>0</v>
      </c>
      <c r="AD28" s="29">
        <f>SUMIFS(J$91:J423,H$91:H423,AA28,E$91:E423,"NE")</f>
        <v>0</v>
      </c>
      <c r="AE28" s="29">
        <f>SUMIFS(J$91:J423,H$91:H423,AA28,E$91:E423,"SAIL")</f>
        <v>0</v>
      </c>
      <c r="AF28" s="31">
        <f t="shared" si="15"/>
        <v>0</v>
      </c>
      <c r="AH28" s="22" t="str">
        <f t="shared" si="16"/>
        <v>Rafaela Sampaio</v>
      </c>
      <c r="AI28" s="30">
        <f>COUNTIFS(H$91:H423,AH28,E$91:E423,"SAL")</f>
        <v>0</v>
      </c>
      <c r="AJ28" s="29">
        <f t="shared" si="2"/>
        <v>0</v>
      </c>
      <c r="AK28" s="29">
        <f t="shared" si="9"/>
        <v>0</v>
      </c>
      <c r="AL28" s="29">
        <f>COUNTIFS(H$91:H423,AH28,E$91:E423,"SAIL")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COUNTIFS(H$39:H423,U29,K$39:K423,V$4)</f>
        <v>0</v>
      </c>
      <c r="W29" s="98">
        <f>COUNTIFS(H$39:H423,U29,K$39:K423,W$4)</f>
        <v>0</v>
      </c>
      <c r="X29" s="98">
        <f>COUNTIFS(H$39:H423,U29,K$39:K423,X$4)</f>
        <v>0</v>
      </c>
      <c r="Y29" s="99">
        <f t="shared" si="13"/>
        <v>0</v>
      </c>
      <c r="AA29" s="89" t="str">
        <f t="shared" si="14"/>
        <v>Laysa Gabriela</v>
      </c>
      <c r="AB29" s="90">
        <f>SUMIFS(J$91:J350,H$91:H350,AA29,E$91:E350,"SAL")</f>
        <v>0</v>
      </c>
      <c r="AC29" s="91">
        <f>SUMIFS(J$91:J424,H$91:H424,AA29,E$91:E424,"SAM")</f>
        <v>0</v>
      </c>
      <c r="AD29" s="91">
        <f>SUMIFS(J$91:J424,H$91:H424,AA29,E$91:E424,"NE")</f>
        <v>0</v>
      </c>
      <c r="AE29" s="91">
        <f>SUMIFS(J$91:J424,H$91:H424,AA29,E$91:E424,"SAIL")</f>
        <v>0</v>
      </c>
      <c r="AF29" s="92">
        <f t="shared" si="15"/>
        <v>0</v>
      </c>
      <c r="AH29" s="89" t="str">
        <f t="shared" si="16"/>
        <v>Laysa Gabriela</v>
      </c>
      <c r="AI29" s="90">
        <f>COUNTIFS(H$91:H424,AH29,E$91:E424,"SAL")</f>
        <v>0</v>
      </c>
      <c r="AJ29" s="91">
        <f t="shared" si="2"/>
        <v>0</v>
      </c>
      <c r="AK29" s="91">
        <f t="shared" si="9"/>
        <v>0</v>
      </c>
      <c r="AL29" s="91">
        <f>COUNTIFS(H$91:H424,AH29,E$91:E424,"SAIL")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s="174" customFormat="1">
      <c r="A40" s="4"/>
      <c r="B40" s="5"/>
      <c r="C40" s="4"/>
      <c r="D40" s="5"/>
      <c r="E40" s="5"/>
      <c r="F40" s="5"/>
      <c r="G40"/>
      <c r="H40" s="5"/>
      <c r="I40" s="5"/>
      <c r="J40" s="5"/>
      <c r="K40" s="5"/>
      <c r="L40" s="5"/>
      <c r="M40" s="5"/>
      <c r="N40" s="5"/>
      <c r="O40" s="5"/>
      <c r="P40" s="5"/>
      <c r="Q40" s="5"/>
      <c r="R40" s="5"/>
    </row>
    <row r="41" spans="1:18" s="174" customFormat="1">
      <c r="A41" s="4"/>
      <c r="B41" s="5"/>
      <c r="C41" s="4"/>
      <c r="D41" s="5"/>
      <c r="E41" s="5"/>
      <c r="F41" s="5"/>
      <c r="G41"/>
      <c r="H41" s="5"/>
      <c r="I41" s="5"/>
      <c r="J41" s="5"/>
      <c r="K41" s="5"/>
      <c r="L41" s="5"/>
      <c r="M41" s="5"/>
      <c r="N41" s="5"/>
      <c r="O41" s="5"/>
      <c r="P41" s="5"/>
      <c r="Q41" s="5"/>
      <c r="R41" s="5"/>
    </row>
    <row r="42" spans="1:18" s="174" customFormat="1">
      <c r="A42" s="4"/>
      <c r="B42" s="5"/>
      <c r="C42" s="4"/>
      <c r="D42" s="5"/>
      <c r="E42" s="5"/>
      <c r="F42" s="5"/>
      <c r="G42"/>
      <c r="H42" s="5"/>
      <c r="I42" s="5"/>
      <c r="J42" s="5"/>
      <c r="K42" s="5"/>
      <c r="L42" s="5"/>
      <c r="M42" s="5"/>
      <c r="N42" s="5"/>
      <c r="O42" s="5"/>
      <c r="P42" s="5"/>
      <c r="Q42" s="5"/>
      <c r="R42" s="5"/>
    </row>
    <row r="43" spans="1:18" ht="15" customHeight="1">
      <c r="A43" s="4"/>
      <c r="B43" s="5"/>
      <c r="C43" s="4"/>
      <c r="D43" s="159"/>
      <c r="E43" s="5"/>
      <c r="F43" s="5"/>
      <c r="G43" s="168"/>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G56" s="95"/>
      <c r="H56" s="5"/>
      <c r="I56" s="5"/>
      <c r="J56" s="5"/>
      <c r="K56" s="5"/>
      <c r="L56" s="5"/>
      <c r="M56" s="5"/>
      <c r="N56" s="5"/>
      <c r="O56" s="5"/>
      <c r="P56" s="5"/>
      <c r="Q56" s="5"/>
      <c r="R56" s="5"/>
    </row>
    <row r="57" spans="1:18" ht="15" customHeight="1">
      <c r="A57" s="4"/>
      <c r="B57" s="5"/>
      <c r="C57" s="4"/>
      <c r="D57" s="5"/>
      <c r="E57" s="5"/>
      <c r="F57" s="5"/>
      <c r="G57" s="95"/>
      <c r="H57" s="5"/>
      <c r="I57" s="5"/>
      <c r="J57" s="5"/>
      <c r="K57" s="5"/>
      <c r="L57" s="5"/>
      <c r="M57" s="5"/>
      <c r="N57" s="5"/>
      <c r="O57" s="5"/>
      <c r="P57" s="5"/>
      <c r="Q57" s="5"/>
      <c r="R57" s="5"/>
    </row>
    <row r="58" spans="1:18" ht="15" customHeight="1">
      <c r="A58" s="4"/>
      <c r="B58" s="5"/>
      <c r="C58" s="4"/>
      <c r="D58" s="5"/>
      <c r="E58" s="5"/>
      <c r="F58" s="5"/>
      <c r="G58" s="95"/>
      <c r="H58" s="5"/>
      <c r="I58" s="5"/>
      <c r="J58" s="5"/>
      <c r="K58" s="5"/>
      <c r="L58" s="5"/>
      <c r="M58" s="5"/>
      <c r="N58" s="5"/>
      <c r="O58" s="5"/>
      <c r="P58" s="5"/>
      <c r="Q58" s="5"/>
      <c r="R58" s="5"/>
    </row>
    <row r="59" spans="1:18" ht="15" customHeight="1">
      <c r="A59" s="4"/>
      <c r="B59" s="5"/>
      <c r="C59" s="4"/>
      <c r="D59" s="5"/>
      <c r="E59" s="5"/>
      <c r="F59" s="5"/>
      <c r="G59" s="95"/>
      <c r="H59" s="5"/>
      <c r="I59" s="5"/>
      <c r="J59" s="5"/>
      <c r="K59" s="5"/>
      <c r="L59" s="5"/>
      <c r="M59" s="5"/>
      <c r="N59" s="5"/>
      <c r="O59" s="5"/>
      <c r="P59" s="5"/>
      <c r="Q59" s="5"/>
      <c r="R59" s="5"/>
    </row>
    <row r="60" spans="1:18" ht="15" customHeight="1">
      <c r="A60" s="4"/>
      <c r="B60" s="5"/>
      <c r="C60" s="4"/>
      <c r="D60" s="5"/>
      <c r="E60" s="5"/>
      <c r="F60" s="5"/>
      <c r="G60" s="95"/>
      <c r="H60" s="5"/>
      <c r="I60" s="5"/>
      <c r="J60" s="5"/>
      <c r="K60" s="5"/>
      <c r="L60" s="5"/>
      <c r="M60" s="5"/>
      <c r="N60" s="5"/>
      <c r="O60" s="5"/>
      <c r="P60" s="5"/>
      <c r="Q60" s="5"/>
      <c r="R60" s="5"/>
    </row>
    <row r="61" spans="1:18" ht="15" customHeight="1">
      <c r="A61" s="4"/>
      <c r="B61" s="5"/>
      <c r="C61" s="4"/>
      <c r="D61" s="5"/>
      <c r="E61" s="5"/>
      <c r="F61" s="5"/>
      <c r="G61" s="95"/>
      <c r="H61" s="5"/>
      <c r="I61" s="5"/>
      <c r="J61" s="5"/>
      <c r="K61" s="5"/>
      <c r="L61" s="5"/>
      <c r="M61" s="5"/>
      <c r="N61" s="5"/>
      <c r="O61" s="5"/>
      <c r="P61" s="5"/>
      <c r="Q61" s="5"/>
      <c r="R61" s="5"/>
    </row>
    <row r="62" spans="1:18" ht="15" customHeight="1">
      <c r="A62" s="4"/>
      <c r="B62" s="5"/>
      <c r="C62" s="4"/>
      <c r="D62" s="5"/>
      <c r="E62" s="5"/>
      <c r="F62" s="5"/>
      <c r="G62" s="95"/>
      <c r="H62" s="5"/>
      <c r="I62" s="5"/>
      <c r="J62" s="5"/>
      <c r="K62" s="5"/>
      <c r="L62" s="5"/>
      <c r="M62" s="5"/>
      <c r="N62" s="5"/>
      <c r="O62" s="5"/>
      <c r="P62" s="5"/>
      <c r="Q62" s="5"/>
      <c r="R62" s="5"/>
    </row>
    <row r="63" spans="1:18" ht="15" customHeight="1">
      <c r="A63" s="4"/>
      <c r="B63" s="5"/>
      <c r="C63" s="4"/>
      <c r="D63" s="5"/>
      <c r="E63" s="5"/>
      <c r="F63" s="5"/>
      <c r="G63" s="95"/>
      <c r="H63" s="5"/>
      <c r="I63" s="5"/>
      <c r="J63" s="5"/>
      <c r="K63" s="5"/>
      <c r="L63" s="5"/>
      <c r="M63" s="5"/>
      <c r="N63" s="5"/>
      <c r="O63" s="5"/>
      <c r="P63" s="5"/>
      <c r="Q63" s="5"/>
      <c r="R63" s="5"/>
    </row>
    <row r="64" spans="1:18" ht="15" customHeight="1">
      <c r="A64" s="4"/>
      <c r="B64" s="5"/>
      <c r="C64" s="4"/>
      <c r="D64" s="5"/>
      <c r="E64" s="5"/>
      <c r="F64" s="5"/>
      <c r="G64" s="95"/>
      <c r="H64" s="5"/>
      <c r="I64" s="5"/>
      <c r="J64" s="5"/>
      <c r="K64" s="5"/>
      <c r="L64" s="5"/>
      <c r="M64" s="5"/>
      <c r="N64" s="5"/>
      <c r="O64" s="5"/>
      <c r="P64" s="5"/>
      <c r="Q64" s="5"/>
      <c r="R64" s="5"/>
    </row>
    <row r="65" spans="1:18" ht="15" customHeight="1">
      <c r="A65" s="4"/>
      <c r="B65" s="5"/>
      <c r="C65" s="4"/>
      <c r="D65" s="5"/>
      <c r="E65" s="5"/>
      <c r="F65" s="5"/>
      <c r="G65" s="95"/>
      <c r="H65" s="5"/>
      <c r="I65" s="5"/>
      <c r="J65" s="5"/>
      <c r="K65" s="5"/>
      <c r="L65" s="5"/>
      <c r="M65" s="5"/>
      <c r="N65" s="5"/>
      <c r="O65" s="5"/>
      <c r="P65" s="5"/>
      <c r="Q65" s="5"/>
      <c r="R65" s="5"/>
    </row>
    <row r="66" spans="1:18" ht="15" customHeight="1">
      <c r="A66" s="4"/>
      <c r="B66" s="5"/>
      <c r="C66" s="4"/>
      <c r="D66" s="5"/>
      <c r="E66" s="5"/>
      <c r="F66" s="5"/>
      <c r="G66" s="95"/>
      <c r="H66" s="5"/>
      <c r="I66" s="5"/>
      <c r="J66" s="5"/>
      <c r="K66" s="5"/>
      <c r="L66" s="5"/>
      <c r="M66" s="5"/>
      <c r="N66" s="5"/>
      <c r="O66" s="5"/>
      <c r="P66" s="5"/>
      <c r="Q66" s="5"/>
      <c r="R66" s="5"/>
    </row>
    <row r="67" spans="1:18" ht="15" customHeight="1">
      <c r="A67" s="4"/>
      <c r="B67" s="5"/>
      <c r="C67" s="4"/>
      <c r="D67" s="5"/>
      <c r="E67" s="5"/>
      <c r="F67" s="5"/>
      <c r="G67" s="168"/>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G72" s="95"/>
      <c r="H72" s="5"/>
      <c r="I72" s="5"/>
      <c r="J72" s="5"/>
      <c r="K72" s="5"/>
      <c r="L72" s="5"/>
      <c r="M72" s="5"/>
      <c r="N72" s="5"/>
      <c r="O72" s="5"/>
      <c r="P72" s="5"/>
      <c r="Q72" s="5"/>
      <c r="R72" s="5"/>
    </row>
    <row r="73" spans="1:18" ht="15" customHeight="1">
      <c r="A73" s="4"/>
      <c r="B73" s="5"/>
      <c r="C73" s="4"/>
      <c r="D73" s="5"/>
      <c r="E73" s="5"/>
      <c r="F73" s="5"/>
      <c r="G73" s="168"/>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G82" s="168"/>
      <c r="H82" s="5"/>
      <c r="I82" s="5"/>
      <c r="J82" s="5"/>
      <c r="K82" s="5"/>
      <c r="L82" s="5"/>
      <c r="M82" s="5"/>
      <c r="N82" s="5"/>
      <c r="O82" s="5"/>
      <c r="P82" s="5"/>
      <c r="Q82" s="5"/>
      <c r="R82" s="5"/>
    </row>
    <row r="83" spans="1:18" ht="15" customHeight="1">
      <c r="A83" s="4"/>
      <c r="B83" s="5"/>
      <c r="C83" s="4"/>
      <c r="D83" s="5"/>
      <c r="E83" s="5"/>
      <c r="F83" s="5"/>
      <c r="G83" s="95"/>
      <c r="H83" s="5"/>
      <c r="I83" s="5"/>
      <c r="J83" s="5"/>
      <c r="K83" s="5"/>
      <c r="L83" s="5"/>
      <c r="M83" s="5"/>
      <c r="N83" s="5"/>
      <c r="O83" s="5"/>
      <c r="P83" s="5"/>
      <c r="Q83" s="5"/>
      <c r="R83" s="5"/>
    </row>
    <row r="84" spans="1:18" ht="15" customHeight="1">
      <c r="A84" s="4"/>
      <c r="B84" s="5"/>
      <c r="C84" s="4"/>
      <c r="D84" s="5"/>
      <c r="E84" s="5"/>
      <c r="F84" s="5"/>
      <c r="G84" s="95"/>
      <c r="H84" s="5"/>
      <c r="I84" s="5"/>
      <c r="J84" s="5"/>
      <c r="K84" s="5"/>
      <c r="L84" s="5"/>
      <c r="M84" s="5"/>
      <c r="N84" s="5"/>
      <c r="O84" s="5"/>
      <c r="P84" s="5"/>
      <c r="Q84" s="5"/>
      <c r="R84" s="5"/>
    </row>
    <row r="85" spans="1:18" ht="15" customHeight="1">
      <c r="A85" s="4"/>
      <c r="B85" s="5"/>
      <c r="C85" s="4"/>
      <c r="D85" s="5"/>
      <c r="E85" s="5"/>
      <c r="F85" s="5"/>
      <c r="G85" s="95"/>
      <c r="H85" s="5"/>
      <c r="I85" s="5"/>
      <c r="J85" s="5"/>
      <c r="K85" s="5"/>
      <c r="L85" s="5"/>
      <c r="M85" s="5"/>
      <c r="N85" s="5"/>
      <c r="O85" s="5"/>
      <c r="P85" s="5"/>
      <c r="Q85" s="5"/>
      <c r="R85" s="5"/>
    </row>
    <row r="86" spans="1:18" ht="15" customHeight="1">
      <c r="A86" s="4"/>
      <c r="B86" s="5"/>
      <c r="C86" s="4"/>
      <c r="D86" s="5"/>
      <c r="E86" s="5"/>
      <c r="F86" s="5"/>
      <c r="G86" s="95"/>
      <c r="H86" s="5"/>
      <c r="I86" s="5"/>
      <c r="J86" s="5"/>
      <c r="K86" s="5"/>
      <c r="L86" s="5"/>
      <c r="M86" s="5"/>
      <c r="N86" s="5"/>
      <c r="O86" s="5"/>
      <c r="P86" s="5"/>
      <c r="Q86" s="5"/>
      <c r="R86" s="5"/>
    </row>
    <row r="87" spans="1:18" ht="15" customHeight="1">
      <c r="A87" s="4"/>
      <c r="B87" s="5"/>
      <c r="C87" s="4"/>
      <c r="D87" s="5"/>
      <c r="E87" s="5"/>
      <c r="F87" s="5"/>
      <c r="G87" s="168"/>
      <c r="H87" s="5"/>
      <c r="I87" s="5"/>
      <c r="J87" s="5"/>
      <c r="K87" s="5"/>
      <c r="L87" s="5"/>
      <c r="M87" s="5"/>
      <c r="N87" s="5"/>
      <c r="O87" s="5"/>
      <c r="P87" s="5"/>
      <c r="Q87" s="5"/>
      <c r="R87" s="5"/>
    </row>
    <row r="88" spans="1:18" ht="15" customHeight="1">
      <c r="A88" s="4"/>
      <c r="B88" s="5"/>
      <c r="C88" s="4"/>
      <c r="D88" s="5"/>
      <c r="E88" s="5"/>
      <c r="F88" s="5"/>
      <c r="G88" s="168"/>
      <c r="H88" s="5"/>
      <c r="I88" s="5"/>
      <c r="J88" s="5"/>
      <c r="K88" s="5"/>
      <c r="L88" s="5"/>
      <c r="M88" s="5"/>
      <c r="N88" s="5"/>
      <c r="O88" s="5"/>
      <c r="P88" s="5"/>
      <c r="Q88" s="5"/>
      <c r="R88" s="5"/>
    </row>
    <row r="89" spans="1:18" ht="15" customHeight="1">
      <c r="A89" s="4"/>
      <c r="B89" s="5"/>
      <c r="C89" s="4"/>
      <c r="D89" s="159"/>
      <c r="E89" s="5"/>
      <c r="F89" s="5"/>
      <c r="G89" s="168"/>
      <c r="H89" s="5"/>
      <c r="I89" s="5"/>
      <c r="J89" s="5"/>
      <c r="K89" s="5"/>
      <c r="L89" s="5"/>
      <c r="M89" s="5"/>
      <c r="N89" s="5"/>
      <c r="O89" s="5"/>
      <c r="P89" s="5"/>
      <c r="Q89" s="5"/>
      <c r="R89" s="5"/>
    </row>
    <row r="90" spans="1:18" ht="15" customHeight="1">
      <c r="A90" s="4"/>
      <c r="B90" s="5"/>
      <c r="C90" s="4"/>
      <c r="D90" s="159"/>
      <c r="E90" s="5"/>
      <c r="F90" s="5"/>
      <c r="G90" s="136"/>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G92" s="138"/>
      <c r="H92" s="5"/>
      <c r="I92" s="5"/>
      <c r="J92" s="5"/>
      <c r="K92" s="5"/>
      <c r="L92" s="5"/>
      <c r="M92" s="5"/>
      <c r="N92" s="5"/>
      <c r="O92" s="5"/>
      <c r="P92" s="5"/>
      <c r="Q92" s="5"/>
      <c r="R92" s="5"/>
    </row>
    <row r="93" spans="1:18" ht="15" customHeight="1">
      <c r="A93" s="4"/>
      <c r="B93" s="5"/>
      <c r="C93" s="4"/>
      <c r="D93" s="5"/>
      <c r="E93" s="5"/>
      <c r="F93" s="5"/>
      <c r="G93" s="138"/>
      <c r="H93" s="5"/>
      <c r="I93" s="5"/>
      <c r="J93" s="5"/>
      <c r="K93" s="5"/>
      <c r="L93" s="5"/>
      <c r="M93" s="5"/>
      <c r="N93" s="5"/>
      <c r="O93" s="5"/>
      <c r="P93" s="5"/>
      <c r="Q93" s="5"/>
      <c r="R93" s="5"/>
    </row>
    <row r="94" spans="1:18" ht="15" customHeight="1">
      <c r="A94" s="4"/>
      <c r="B94" s="5"/>
      <c r="C94" s="4"/>
      <c r="D94" s="5"/>
      <c r="E94" s="5"/>
      <c r="F94" s="5"/>
      <c r="G94" s="136"/>
      <c r="H94" s="5"/>
      <c r="I94" s="5"/>
      <c r="J94" s="5"/>
      <c r="K94" s="5"/>
      <c r="L94" s="5"/>
      <c r="M94" s="5"/>
      <c r="N94" s="5"/>
      <c r="O94" s="5"/>
      <c r="P94" s="5"/>
      <c r="Q94" s="5"/>
      <c r="R94" s="5"/>
    </row>
    <row r="95" spans="1:18" ht="15" customHeight="1">
      <c r="A95" s="4"/>
      <c r="B95" s="5"/>
      <c r="C95" s="4"/>
      <c r="D95" s="5"/>
      <c r="E95" s="5"/>
      <c r="F95" s="5"/>
      <c r="G95" s="136"/>
      <c r="H95" s="5"/>
      <c r="I95" s="5"/>
      <c r="J95" s="5"/>
      <c r="K95" s="5"/>
      <c r="L95" s="5"/>
      <c r="M95" s="5"/>
      <c r="N95" s="5"/>
      <c r="O95" s="5"/>
      <c r="P95" s="5"/>
      <c r="Q95" s="5"/>
      <c r="R95" s="5"/>
    </row>
    <row r="96" spans="1:18" ht="15" customHeight="1">
      <c r="A96" s="4"/>
      <c r="B96" s="5"/>
      <c r="C96" s="4"/>
      <c r="D96" s="5"/>
      <c r="E96" s="5"/>
      <c r="F96" s="5"/>
      <c r="G96" s="168"/>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H119" s="5"/>
      <c r="I119" s="5"/>
      <c r="J119" s="5"/>
      <c r="K119" s="5"/>
      <c r="L119" s="5"/>
      <c r="M119" s="5"/>
      <c r="N119" s="5"/>
      <c r="O119" s="5"/>
      <c r="P119" s="5"/>
      <c r="Q119" s="5"/>
      <c r="R119" s="5"/>
    </row>
    <row r="120" spans="1:18" ht="15" customHeight="1">
      <c r="A120" s="4"/>
      <c r="B120" s="5"/>
      <c r="C120" s="4"/>
      <c r="D120" s="5"/>
      <c r="E120" s="5"/>
      <c r="F120" s="5"/>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H123" s="5"/>
      <c r="I123" s="5"/>
      <c r="J123" s="5"/>
      <c r="K123" s="5"/>
      <c r="L123" s="5"/>
      <c r="M123" s="5"/>
      <c r="N123" s="5"/>
      <c r="O123" s="5"/>
      <c r="P123" s="5"/>
      <c r="Q123" s="5"/>
      <c r="R123" s="5"/>
    </row>
    <row r="124" spans="1:18" ht="15" customHeight="1">
      <c r="A124" s="4"/>
      <c r="B124" s="5"/>
      <c r="C124" s="4"/>
      <c r="D124" s="5"/>
      <c r="E124" s="5"/>
      <c r="F124" s="5"/>
      <c r="H124" s="5"/>
      <c r="I124" s="5"/>
      <c r="J124" s="5"/>
      <c r="K124" s="5"/>
      <c r="L124" s="5"/>
      <c r="M124" s="5"/>
      <c r="N124" s="5"/>
      <c r="O124" s="5"/>
      <c r="P124" s="5"/>
      <c r="Q124" s="5"/>
      <c r="R124" s="5"/>
    </row>
    <row r="125" spans="1:18" ht="15" customHeight="1">
      <c r="A125" s="4"/>
      <c r="B125" s="5"/>
      <c r="C125" s="4"/>
      <c r="D125" s="5"/>
      <c r="E125" s="5"/>
      <c r="F125" s="5"/>
      <c r="H125" s="5"/>
      <c r="I125" s="5"/>
      <c r="J125" s="5"/>
      <c r="K125" s="5"/>
      <c r="L125" s="5"/>
      <c r="M125" s="5"/>
      <c r="N125" s="5"/>
      <c r="O125" s="5"/>
      <c r="P125" s="5"/>
      <c r="Q125" s="5"/>
      <c r="R125" s="5"/>
    </row>
    <row r="126" spans="1:18" ht="15" customHeight="1">
      <c r="A126" s="4"/>
      <c r="B126" s="5"/>
      <c r="C126" s="4"/>
      <c r="D126" s="5"/>
      <c r="E126" s="5"/>
      <c r="F126" s="5"/>
      <c r="H126" s="5"/>
      <c r="I126" s="5"/>
      <c r="J126" s="5"/>
      <c r="K126" s="5"/>
      <c r="L126" s="5"/>
      <c r="M126" s="5"/>
      <c r="N126" s="5"/>
      <c r="O126" s="5"/>
      <c r="P126" s="5"/>
      <c r="Q126" s="5"/>
      <c r="R126" s="5"/>
    </row>
    <row r="127" spans="1:18" ht="15" customHeight="1">
      <c r="A127" s="4"/>
      <c r="B127" s="5"/>
      <c r="C127" s="4"/>
      <c r="D127" s="5"/>
      <c r="E127" s="5"/>
      <c r="F127" s="5"/>
      <c r="H127" s="5"/>
      <c r="I127" s="5"/>
      <c r="J127" s="5"/>
      <c r="K127" s="5"/>
      <c r="L127" s="5"/>
      <c r="M127" s="5"/>
      <c r="N127" s="5"/>
      <c r="O127" s="5"/>
      <c r="P127" s="5"/>
      <c r="Q127" s="5"/>
      <c r="R127" s="5"/>
    </row>
    <row r="128" spans="1:18" ht="15" customHeight="1">
      <c r="A128" s="4"/>
      <c r="B128" s="5"/>
      <c r="C128" s="4"/>
      <c r="D128" s="5"/>
      <c r="E128" s="5"/>
      <c r="F128" s="5"/>
      <c r="H128" s="5"/>
      <c r="I128" s="5"/>
      <c r="J128" s="5"/>
      <c r="K128" s="5"/>
      <c r="L128" s="5"/>
      <c r="M128" s="5"/>
      <c r="N128" s="5"/>
      <c r="O128" s="5"/>
      <c r="P128" s="5"/>
      <c r="Q128" s="5"/>
      <c r="R128" s="5"/>
    </row>
    <row r="129" spans="1:18" ht="15" customHeight="1">
      <c r="A129" s="4"/>
      <c r="B129" s="5"/>
      <c r="C129" s="4"/>
      <c r="D129" s="5"/>
      <c r="E129" s="5"/>
      <c r="F129" s="5"/>
      <c r="H129" s="5"/>
      <c r="I129" s="5"/>
      <c r="J129" s="5"/>
      <c r="K129" s="5"/>
      <c r="L129" s="5"/>
      <c r="M129" s="5"/>
      <c r="N129" s="5"/>
      <c r="O129" s="5"/>
      <c r="P129" s="5"/>
      <c r="Q129" s="5"/>
      <c r="R129" s="5"/>
    </row>
    <row r="130" spans="1:18" ht="15" customHeight="1">
      <c r="A130" s="4"/>
      <c r="B130" s="5"/>
      <c r="C130" s="4"/>
      <c r="D130" s="5"/>
      <c r="E130" s="5"/>
      <c r="F130" s="5"/>
      <c r="H130" s="5"/>
      <c r="I130" s="5"/>
      <c r="J130" s="5"/>
      <c r="K130" s="5"/>
      <c r="L130" s="5"/>
      <c r="M130" s="5"/>
      <c r="N130" s="5"/>
      <c r="O130" s="5"/>
      <c r="P130" s="5"/>
      <c r="Q130" s="5"/>
      <c r="R130" s="5"/>
    </row>
    <row r="131" spans="1:18" ht="15" customHeight="1">
      <c r="A131" s="4"/>
      <c r="B131" s="5"/>
      <c r="C131" s="4"/>
      <c r="D131" s="5"/>
      <c r="E131" s="5"/>
      <c r="F131" s="5"/>
      <c r="H131" s="5"/>
      <c r="I131" s="5"/>
      <c r="J131" s="5"/>
      <c r="K131" s="5"/>
      <c r="L131" s="5"/>
      <c r="M131" s="5"/>
      <c r="N131" s="5"/>
      <c r="O131" s="5"/>
      <c r="P131" s="5"/>
      <c r="Q131" s="5"/>
      <c r="R131" s="5"/>
    </row>
    <row r="132" spans="1:18" ht="15" customHeight="1">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sheetData>
  <autoFilter ref="A39:R135" xr:uid="{8A1F0AC5-156A-4D89-9E64-BD81954B5987}"/>
  <mergeCells count="5">
    <mergeCell ref="AO3:AT3"/>
    <mergeCell ref="U1:X1"/>
    <mergeCell ref="U3:Y3"/>
    <mergeCell ref="AA3:AF3"/>
    <mergeCell ref="AH3:AM3"/>
  </mergeCells>
  <dataValidations count="6">
    <dataValidation showInputMessage="1" showErrorMessage="1" sqref="F33:F35 K33 P40:R135" xr:uid="{10C6218A-3818-48E5-9878-A503F64B4820}"/>
    <dataValidation type="custom" showInputMessage="1" showErrorMessage="1" sqref="K34:K35" xr:uid="{C21C30A7-4496-47E7-8BBE-A895C5BE1743}">
      <formula1>_xlfn.DAYS(H203,F203)</formula1>
    </dataValidation>
    <dataValidation type="custom" allowBlank="1" showInputMessage="1" showErrorMessage="1" sqref="AE38" xr:uid="{66B5F122-A3E5-434A-9B1C-DF42A05BAADC}">
      <formula1>_xlfn.DAYS(AB203,Z203)</formula1>
    </dataValidation>
    <dataValidation type="custom" showInputMessage="1" showErrorMessage="1" sqref="AF38" xr:uid="{9DACACDA-54ED-4F78-A67C-3914B65EF8EB}">
      <formula1>_xlfn.DAYS(AC202,AA202)</formula1>
    </dataValidation>
    <dataValidation type="custom" allowBlank="1" showInputMessage="1" showErrorMessage="1" sqref="O38" xr:uid="{FC73AB9E-BD05-45AA-8500-FD77B5F34814}">
      <formula1>_xlfn.DAYS(L206,J206)</formula1>
    </dataValidation>
    <dataValidation type="custom" showInputMessage="1" showErrorMessage="1" sqref="P38" xr:uid="{AEA9FF34-3660-4DEF-B6B4-2EDEB94E40EE}">
      <formula1>_xlfn.DAYS(M205,K205)</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AEB09D1-89CA-4416-BDA6-9BE836C7E810}">
          <x14:formula1>
            <xm:f>Cadastros!$F$12:$F$25</xm:f>
          </x14:formula1>
          <xm:sqref>G38 K24 AM38 F23 F40:F135</xm:sqref>
        </x14:dataValidation>
        <x14:dataValidation type="list" allowBlank="1" showInputMessage="1" showErrorMessage="1" xr:uid="{65AAA5FE-7B42-47B3-B686-916E76E0AFE9}">
          <x14:formula1>
            <xm:f>Cadastros!$Q$12:$Q$17</xm:f>
          </x14:formula1>
          <xm:sqref>K38 AA38 K28 F28 K40:K135</xm:sqref>
        </x14:dataValidation>
        <x14:dataValidation type="list" allowBlank="1" showInputMessage="1" showErrorMessage="1" xr:uid="{59E45382-B01F-49C5-9D5D-05913E82477A}">
          <x14:formula1>
            <xm:f>Cadastros!$N$12:$N$16</xm:f>
          </x14:formula1>
          <xm:sqref>I38 Y38 K26</xm:sqref>
        </x14:dataValidation>
        <x14:dataValidation type="list" errorStyle="information" allowBlank="1" showInputMessage="1" showErrorMessage="1" xr:uid="{8EA64E14-D481-482F-B861-C89551ECCD3B}">
          <x14:formula1>
            <xm:f>Cadastros!$I$12:$I$21</xm:f>
          </x14:formula1>
          <xm:sqref>H38 K25</xm:sqref>
        </x14:dataValidation>
        <x14:dataValidation type="list" allowBlank="1" showInputMessage="1" showErrorMessage="1" xr:uid="{2A63F202-073F-4E0E-ADB9-46F9A7CF5AEF}">
          <x14:formula1>
            <xm:f>Cadastros!$S$12:$S$13</xm:f>
          </x14:formula1>
          <xm:sqref>M38:N38 AC38:AD38 K30:K31 F30:F31 M40:N135</xm:sqref>
        </x14:dataValidation>
        <x14:dataValidation type="list" showInputMessage="1" showErrorMessage="1" xr:uid="{A35D15CB-8A62-4C0C-8D27-A4D78745387F}">
          <x14:formula1>
            <xm:f>Cadastros!$C$12:$C$16</xm:f>
          </x14:formula1>
          <xm:sqref>K22 AK38 F22 E38 E40:E135</xm:sqref>
        </x14:dataValidation>
        <x14:dataValidation type="list" errorStyle="information" allowBlank="1" showInputMessage="1" showErrorMessage="1" xr:uid="{BEAC61E6-BFE0-4737-8812-830202C4BE31}">
          <x14:formula1>
            <xm:f>Cadastros!$I$12:$I$36</xm:f>
          </x14:formula1>
          <xm:sqref>F25 H40:H135</xm:sqref>
        </x14:dataValidation>
        <x14:dataValidation type="list" allowBlank="1" showInputMessage="1" showErrorMessage="1" xr:uid="{073CEB8E-DCB7-4FC6-818A-D3F9ACDB0D97}">
          <x14:formula1>
            <xm:f>Cadastros!$N$12:$N$19</xm:f>
          </x14:formula1>
          <xm:sqref>F26 I40:I135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D992-7E75-40BF-8BAC-ECB0E7B62348}">
  <sheetPr codeName="Planilha15"/>
  <dimension ref="A1:AT154"/>
  <sheetViews>
    <sheetView topLeftCell="A28" workbookViewId="0">
      <selection activeCell="A40" sqref="A40:AT154"/>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8554687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COUNTA(B$40:B306)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16" si="4">SUMIFS(Q$40:Q$344,H$40:H$344,AO5,E$40:E$344,"SAL")</f>
        <v>0</v>
      </c>
      <c r="AQ5" s="34">
        <f t="shared" ref="AQ5:AQ12" si="5">SUMIFS(Q$40:Q$344,H$40:H$344,AO5,E$40:E$344,"SAM")</f>
        <v>0</v>
      </c>
      <c r="AR5" s="34">
        <f t="shared" ref="AR5:AR13"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ref="AQ13:AQ29" si="17">SUMIFS(Q$40:Q$344,H$40:H$344,AO13,E$40:E$344,"SAM")</f>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17"/>
        <v>0</v>
      </c>
      <c r="AR14" s="38">
        <f t="shared" ref="AR14:AR29" si="18">SUMIFS(Q$40:Q$344,H$40:H$344,AO14,E$40:E$344,"NE")</f>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17"/>
        <v>0</v>
      </c>
      <c r="AR15" s="38">
        <f t="shared" si="18"/>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17"/>
        <v>0</v>
      </c>
      <c r="AR16" s="29">
        <f t="shared" si="18"/>
        <v>0</v>
      </c>
      <c r="AS16" s="29">
        <f t="shared" si="7"/>
        <v>0</v>
      </c>
      <c r="AT16" s="31">
        <f t="shared" si="8"/>
        <v>0</v>
      </c>
    </row>
    <row r="17" spans="2: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ref="AP17:AP29" si="19">SUMIFS(Q$40:Q$344,H$40:H$344,AO17,E$40:E$344,"SAL")</f>
        <v>0</v>
      </c>
      <c r="AQ17" s="139">
        <f t="shared" si="17"/>
        <v>0</v>
      </c>
      <c r="AR17" s="38">
        <f t="shared" si="18"/>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19"/>
        <v>0</v>
      </c>
      <c r="AQ18" s="29">
        <f t="shared" si="17"/>
        <v>0</v>
      </c>
      <c r="AR18" s="29">
        <f t="shared" si="18"/>
        <v>0</v>
      </c>
      <c r="AS18" s="29">
        <f t="shared" si="7"/>
        <v>0</v>
      </c>
      <c r="AT18" s="31">
        <f t="shared" si="8"/>
        <v>0</v>
      </c>
    </row>
    <row r="19" spans="2:46" ht="15.75" thickBot="1">
      <c r="B19" s="23" t="e">
        <f>VLOOKUP(F19,B40:B40,1,0)</f>
        <v>#N/A</v>
      </c>
      <c r="C19" s="45" t="e">
        <f>VLOOKUP(F21,D40:D40,1,0)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19"/>
        <v>0</v>
      </c>
      <c r="AQ19" s="139">
        <f t="shared" si="17"/>
        <v>0</v>
      </c>
      <c r="AR19" s="38">
        <f t="shared" si="18"/>
        <v>0</v>
      </c>
      <c r="AS19" s="38">
        <f t="shared" si="7"/>
        <v>0</v>
      </c>
      <c r="AT19" s="39">
        <f t="shared" si="8"/>
        <v>0</v>
      </c>
    </row>
    <row r="20" spans="2: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19"/>
        <v>0</v>
      </c>
      <c r="AQ20" s="29">
        <f t="shared" si="17"/>
        <v>0</v>
      </c>
      <c r="AR20" s="29">
        <f t="shared" si="18"/>
        <v>0</v>
      </c>
      <c r="AS20" s="29">
        <f t="shared" si="7"/>
        <v>0</v>
      </c>
      <c r="AT20" s="31">
        <f t="shared" si="8"/>
        <v>0</v>
      </c>
    </row>
    <row r="21" spans="2:46" ht="15.75" thickBot="1">
      <c r="D21" s="10"/>
      <c r="E21" s="74" t="s">
        <v>77</v>
      </c>
      <c r="F21" s="178"/>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19"/>
        <v>0</v>
      </c>
      <c r="AQ21" s="139">
        <f t="shared" si="17"/>
        <v>0</v>
      </c>
      <c r="AR21" s="38">
        <f t="shared" si="18"/>
        <v>0</v>
      </c>
      <c r="AS21" s="38">
        <f t="shared" si="7"/>
        <v>0</v>
      </c>
      <c r="AT21" s="39">
        <f t="shared" si="8"/>
        <v>0</v>
      </c>
    </row>
    <row r="22" spans="2: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19"/>
        <v>0</v>
      </c>
      <c r="AQ22" s="29">
        <f t="shared" si="17"/>
        <v>0</v>
      </c>
      <c r="AR22" s="29">
        <f t="shared" si="18"/>
        <v>0</v>
      </c>
      <c r="AS22" s="29">
        <f t="shared" si="7"/>
        <v>0</v>
      </c>
      <c r="AT22" s="31">
        <f t="shared" si="8"/>
        <v>0</v>
      </c>
    </row>
    <row r="23" spans="2: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19"/>
        <v>0</v>
      </c>
      <c r="AQ23" s="139">
        <f t="shared" si="17"/>
        <v>0</v>
      </c>
      <c r="AR23" s="38">
        <f t="shared" si="18"/>
        <v>0</v>
      </c>
      <c r="AS23" s="38">
        <f t="shared" si="7"/>
        <v>0</v>
      </c>
      <c r="AT23" s="39">
        <f t="shared" si="8"/>
        <v>0</v>
      </c>
    </row>
    <row r="24" spans="2: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19"/>
        <v>0</v>
      </c>
      <c r="AQ24" s="29">
        <f t="shared" si="17"/>
        <v>0</v>
      </c>
      <c r="AR24" s="29">
        <f t="shared" si="18"/>
        <v>0</v>
      </c>
      <c r="AS24" s="29">
        <f t="shared" si="7"/>
        <v>0</v>
      </c>
      <c r="AT24" s="31">
        <f t="shared" si="8"/>
        <v>0</v>
      </c>
    </row>
    <row r="25" spans="2: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19"/>
        <v>0</v>
      </c>
      <c r="AQ25" s="139">
        <f t="shared" si="17"/>
        <v>0</v>
      </c>
      <c r="AR25" s="38">
        <f t="shared" si="18"/>
        <v>0</v>
      </c>
      <c r="AS25" s="38">
        <f t="shared" si="7"/>
        <v>0</v>
      </c>
      <c r="AT25" s="39">
        <f t="shared" si="8"/>
        <v>0</v>
      </c>
    </row>
    <row r="26" spans="2: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19"/>
        <v>0</v>
      </c>
      <c r="AQ26" s="29">
        <f t="shared" si="17"/>
        <v>0</v>
      </c>
      <c r="AR26" s="29">
        <f t="shared" si="18"/>
        <v>0</v>
      </c>
      <c r="AS26" s="29">
        <f t="shared" si="7"/>
        <v>0</v>
      </c>
      <c r="AT26" s="31">
        <f t="shared" si="8"/>
        <v>0</v>
      </c>
    </row>
    <row r="27" spans="2: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19"/>
        <v>0</v>
      </c>
      <c r="AQ27" s="139">
        <f t="shared" si="17"/>
        <v>0</v>
      </c>
      <c r="AR27" s="38">
        <f t="shared" si="18"/>
        <v>0</v>
      </c>
      <c r="AS27" s="38">
        <f t="shared" si="7"/>
        <v>0</v>
      </c>
      <c r="AT27" s="39">
        <f t="shared" si="8"/>
        <v>0</v>
      </c>
    </row>
    <row r="28" spans="2: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19"/>
        <v>0</v>
      </c>
      <c r="AQ28" s="29">
        <f t="shared" si="17"/>
        <v>0</v>
      </c>
      <c r="AR28" s="29">
        <f t="shared" si="18"/>
        <v>0</v>
      </c>
      <c r="AS28" s="29">
        <f t="shared" si="7"/>
        <v>0</v>
      </c>
      <c r="AT28" s="31">
        <f t="shared" si="8"/>
        <v>0</v>
      </c>
    </row>
    <row r="29" spans="2: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19"/>
        <v>0</v>
      </c>
      <c r="AQ29" s="142">
        <f t="shared" si="17"/>
        <v>0</v>
      </c>
      <c r="AR29" s="142">
        <f t="shared" si="18"/>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c r="B41" s="5"/>
      <c r="C41" s="4"/>
      <c r="D41" s="178"/>
      <c r="E41" s="5"/>
      <c r="F41" s="5"/>
      <c r="G41" s="168"/>
      <c r="H41" s="5"/>
      <c r="I41" s="5"/>
      <c r="J41" s="5"/>
      <c r="K41" s="5"/>
      <c r="L41" s="5"/>
      <c r="M41" s="5"/>
      <c r="N41" s="5"/>
      <c r="O41" s="5"/>
      <c r="P41" s="5"/>
      <c r="Q41" s="5"/>
      <c r="R41" s="5"/>
    </row>
    <row r="42" spans="1:18">
      <c r="A42" s="4"/>
      <c r="B42" s="5"/>
      <c r="C42" s="4"/>
      <c r="D42" s="5"/>
      <c r="E42" s="5"/>
      <c r="F42" s="5"/>
      <c r="G42" s="168"/>
      <c r="H42" s="5"/>
      <c r="I42" s="5"/>
      <c r="J42" s="5"/>
      <c r="K42" s="5"/>
      <c r="L42" s="5"/>
      <c r="M42" s="5"/>
      <c r="N42" s="5"/>
      <c r="O42" s="5"/>
      <c r="P42" s="5"/>
      <c r="Q42" s="5"/>
      <c r="R42"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G73" s="168"/>
      <c r="H73" s="5"/>
      <c r="I73" s="5"/>
      <c r="J73" s="5"/>
      <c r="K73" s="5"/>
      <c r="L73" s="5"/>
      <c r="M73" s="5"/>
      <c r="N73" s="5"/>
      <c r="O73" s="5"/>
      <c r="P73" s="5"/>
      <c r="Q73" s="5"/>
      <c r="R73" s="5"/>
    </row>
    <row r="74" spans="1:18">
      <c r="A74" s="4"/>
      <c r="B74" s="5"/>
      <c r="C74" s="4"/>
      <c r="D74" s="5"/>
      <c r="E74" s="5"/>
      <c r="F74" s="5"/>
      <c r="G74" s="168"/>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G88" s="168"/>
      <c r="H88" s="5"/>
      <c r="I88" s="5"/>
      <c r="J88" s="5"/>
      <c r="K88" s="5"/>
      <c r="L88" s="5"/>
      <c r="M88" s="5"/>
      <c r="N88" s="5"/>
      <c r="O88" s="5"/>
      <c r="P88" s="5"/>
      <c r="Q88" s="5"/>
      <c r="R88" s="5"/>
    </row>
    <row r="89" spans="1:18">
      <c r="A89" s="4"/>
      <c r="B89" s="5"/>
      <c r="C89" s="4"/>
      <c r="D89" s="5"/>
      <c r="E89" s="5"/>
      <c r="F89" s="5"/>
      <c r="G89" s="168"/>
      <c r="H89" s="5"/>
      <c r="I89" s="5"/>
      <c r="J89" s="5"/>
      <c r="K89" s="5"/>
      <c r="L89" s="5"/>
      <c r="M89" s="5"/>
      <c r="N89" s="5"/>
      <c r="O89" s="5"/>
      <c r="P89" s="5"/>
      <c r="Q89" s="5"/>
      <c r="R89" s="5"/>
    </row>
    <row r="90" spans="1:18">
      <c r="A90" s="4"/>
      <c r="B90" s="5"/>
      <c r="C90" s="4"/>
      <c r="D90" s="5"/>
      <c r="E90" s="5"/>
      <c r="F90" s="5"/>
      <c r="G90" s="168"/>
      <c r="H90" s="5"/>
      <c r="I90" s="5"/>
      <c r="J90" s="5"/>
      <c r="K90" s="5"/>
      <c r="L90" s="5"/>
      <c r="M90" s="5"/>
      <c r="N90" s="5"/>
      <c r="O90" s="5"/>
      <c r="P90" s="5"/>
      <c r="Q90" s="5"/>
      <c r="R90" s="5"/>
    </row>
    <row r="91" spans="1:18">
      <c r="A91" s="4"/>
      <c r="B91" s="5"/>
      <c r="C91" s="4"/>
      <c r="D91" s="5"/>
      <c r="E91" s="5"/>
      <c r="F91" s="5"/>
      <c r="G91" s="168"/>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G96" s="191"/>
      <c r="H96" s="5"/>
      <c r="I96" s="5"/>
      <c r="J96" s="5"/>
      <c r="K96" s="5"/>
      <c r="L96" s="5"/>
      <c r="M96" s="5"/>
      <c r="N96" s="5"/>
      <c r="O96" s="5"/>
      <c r="P96" s="5"/>
      <c r="Q96" s="5"/>
      <c r="R96" s="5"/>
    </row>
    <row r="97" spans="1:18">
      <c r="A97" s="4"/>
      <c r="B97" s="5"/>
      <c r="C97" s="4"/>
      <c r="D97" s="5"/>
      <c r="E97" s="5"/>
      <c r="F97" s="5"/>
      <c r="G97" s="191"/>
      <c r="H97" s="5"/>
      <c r="I97" s="5"/>
      <c r="J97" s="5"/>
      <c r="K97" s="5"/>
      <c r="L97" s="5"/>
      <c r="M97" s="5"/>
      <c r="N97" s="5"/>
      <c r="O97" s="5"/>
      <c r="P97" s="5"/>
      <c r="Q97" s="5"/>
      <c r="R97" s="5"/>
    </row>
    <row r="98" spans="1:18">
      <c r="A98" s="4"/>
      <c r="B98" s="5"/>
      <c r="C98" s="4"/>
      <c r="D98" s="5"/>
      <c r="E98" s="5"/>
      <c r="F98" s="5"/>
      <c r="G98" s="168"/>
      <c r="H98" s="5"/>
      <c r="I98" s="5"/>
      <c r="J98" s="5"/>
      <c r="K98" s="5"/>
      <c r="L98" s="5"/>
      <c r="M98" s="5"/>
      <c r="N98" s="5"/>
      <c r="O98" s="5"/>
      <c r="P98" s="5"/>
      <c r="Q98" s="5"/>
      <c r="R98" s="5"/>
    </row>
    <row r="99" spans="1:18">
      <c r="A99" s="4"/>
      <c r="B99" s="5"/>
      <c r="C99" s="4"/>
      <c r="D99" s="5"/>
      <c r="E99" s="5"/>
      <c r="F99" s="5"/>
      <c r="G99" s="168"/>
      <c r="H99" s="5"/>
      <c r="I99" s="5"/>
      <c r="J99" s="5"/>
      <c r="K99" s="5"/>
      <c r="L99" s="5"/>
      <c r="M99" s="5"/>
      <c r="N99" s="5"/>
      <c r="O99" s="5"/>
      <c r="P99" s="5"/>
      <c r="Q99" s="5"/>
      <c r="R99" s="5"/>
    </row>
    <row r="100" spans="1:18">
      <c r="A100" s="4"/>
      <c r="B100" s="5"/>
      <c r="C100" s="4"/>
      <c r="D100" s="5"/>
      <c r="E100" s="5"/>
      <c r="F100" s="5"/>
      <c r="G100" s="168"/>
      <c r="H100" s="5"/>
      <c r="I100" s="5"/>
      <c r="J100" s="5"/>
      <c r="K100" s="5"/>
      <c r="L100" s="5"/>
      <c r="M100" s="5"/>
      <c r="N100" s="5"/>
      <c r="O100" s="5"/>
      <c r="P100" s="5"/>
      <c r="Q100" s="5"/>
      <c r="R100" s="5"/>
    </row>
    <row r="101" spans="1:18">
      <c r="A101" s="4"/>
      <c r="B101" s="5"/>
      <c r="C101" s="4"/>
      <c r="D101" s="5"/>
      <c r="E101" s="5"/>
      <c r="F101" s="5"/>
      <c r="G101" s="168"/>
      <c r="H101" s="5"/>
      <c r="I101" s="5"/>
      <c r="J101" s="5"/>
      <c r="K101" s="5"/>
      <c r="L101" s="5"/>
      <c r="M101" s="5"/>
      <c r="N101" s="5"/>
      <c r="O101" s="5"/>
      <c r="P101" s="5"/>
      <c r="Q101" s="5"/>
      <c r="R101" s="5"/>
    </row>
    <row r="102" spans="1:18">
      <c r="A102" s="4"/>
      <c r="B102" s="5"/>
      <c r="C102" s="4"/>
      <c r="D102" s="5"/>
      <c r="E102" s="5"/>
      <c r="F102" s="5"/>
      <c r="G102" s="168"/>
      <c r="H102" s="5"/>
      <c r="I102" s="5"/>
      <c r="J102" s="5"/>
      <c r="K102" s="5"/>
      <c r="L102" s="5"/>
      <c r="M102" s="5"/>
      <c r="N102" s="5"/>
      <c r="O102" s="5"/>
      <c r="P102" s="5"/>
      <c r="Q102" s="5"/>
      <c r="R102" s="5"/>
    </row>
    <row r="103" spans="1:18">
      <c r="A103" s="4"/>
      <c r="B103" s="5"/>
      <c r="C103" s="4"/>
      <c r="D103" s="5"/>
      <c r="E103" s="5"/>
      <c r="F103" s="5"/>
      <c r="G103" s="168"/>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H109" s="5"/>
      <c r="I109" s="5"/>
      <c r="J109" s="5"/>
      <c r="K109" s="5"/>
      <c r="L109" s="5"/>
      <c r="M109" s="5"/>
      <c r="N109" s="5"/>
      <c r="O109" s="5"/>
      <c r="P109" s="5"/>
      <c r="Q109" s="5"/>
      <c r="R109" s="5"/>
    </row>
    <row r="110" spans="1:18">
      <c r="A110" s="4"/>
      <c r="B110" s="5"/>
      <c r="C110" s="4"/>
      <c r="D110" s="5"/>
      <c r="E110" s="5"/>
      <c r="F110" s="5"/>
      <c r="H110" s="5"/>
      <c r="I110" s="5"/>
      <c r="J110" s="5"/>
      <c r="K110" s="5"/>
      <c r="L110" s="5"/>
      <c r="M110" s="5"/>
      <c r="N110" s="5"/>
      <c r="O110" s="5"/>
      <c r="P110" s="5"/>
      <c r="Q110" s="5"/>
      <c r="R110" s="5"/>
    </row>
    <row r="111" spans="1:18">
      <c r="A111" s="4"/>
      <c r="B111" s="5"/>
      <c r="C111" s="4"/>
      <c r="D111" s="5"/>
      <c r="E111" s="5"/>
      <c r="F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G131" s="190"/>
      <c r="H131" s="5"/>
      <c r="I131" s="5"/>
      <c r="J131" s="5"/>
      <c r="K131" s="5"/>
      <c r="L131" s="5"/>
      <c r="M131" s="5"/>
      <c r="N131" s="5"/>
      <c r="O131" s="5"/>
      <c r="P131" s="5"/>
      <c r="Q131" s="5"/>
      <c r="R131" s="5"/>
    </row>
    <row r="132" spans="1:18">
      <c r="A132" s="4"/>
      <c r="B132" s="5"/>
      <c r="C132" s="4"/>
      <c r="D132" s="5"/>
      <c r="E132" s="5"/>
      <c r="F132" s="5"/>
      <c r="G132" s="168"/>
      <c r="H132" s="5"/>
      <c r="I132" s="5"/>
      <c r="J132" s="5"/>
      <c r="K132" s="5"/>
      <c r="L132" s="5"/>
      <c r="M132" s="5"/>
      <c r="N132" s="5"/>
      <c r="O132" s="5"/>
      <c r="P132" s="5"/>
      <c r="Q132" s="5"/>
      <c r="R132" s="5"/>
    </row>
    <row r="133" spans="1:18">
      <c r="A133" s="4"/>
      <c r="B133" s="5"/>
      <c r="C133" s="4"/>
      <c r="D133" s="5"/>
      <c r="E133" s="5"/>
      <c r="F133" s="5"/>
      <c r="G133" s="168"/>
      <c r="H133" s="5"/>
      <c r="I133" s="5"/>
      <c r="J133" s="5"/>
      <c r="K133" s="5"/>
      <c r="L133" s="5"/>
      <c r="M133" s="5"/>
      <c r="N133" s="5"/>
      <c r="O133" s="5"/>
      <c r="P133" s="5"/>
      <c r="Q133" s="5"/>
      <c r="R133" s="5"/>
    </row>
    <row r="134" spans="1:18">
      <c r="A134" s="4"/>
      <c r="B134" s="5"/>
      <c r="C134" s="4"/>
      <c r="D134" s="5"/>
      <c r="E134" s="5"/>
      <c r="F134" s="5"/>
      <c r="G134" s="168"/>
      <c r="H134" s="5"/>
      <c r="I134" s="5"/>
      <c r="J134" s="5"/>
      <c r="K134" s="5"/>
      <c r="L134" s="5"/>
      <c r="M134" s="5"/>
      <c r="N134" s="5"/>
      <c r="O134" s="5"/>
      <c r="P134" s="5"/>
      <c r="Q134" s="5"/>
      <c r="R134" s="5"/>
    </row>
    <row r="135" spans="1:18">
      <c r="A135" s="4"/>
      <c r="B135" s="5"/>
      <c r="C135" s="4"/>
      <c r="D135" s="5"/>
      <c r="E135" s="5"/>
      <c r="F135" s="5"/>
      <c r="G135" s="168"/>
      <c r="H135" s="5"/>
      <c r="I135" s="5"/>
      <c r="J135" s="5"/>
      <c r="K135" s="5"/>
      <c r="L135" s="5"/>
      <c r="M135" s="5"/>
      <c r="N135" s="5"/>
      <c r="O135" s="5"/>
      <c r="P135" s="5"/>
      <c r="Q135" s="5"/>
      <c r="R135" s="5"/>
    </row>
    <row r="136" spans="1:18">
      <c r="A136" s="4"/>
      <c r="B136" s="5"/>
      <c r="C136" s="4"/>
      <c r="D136" s="5"/>
      <c r="E136" s="5"/>
      <c r="F136" s="5"/>
      <c r="G136" s="168"/>
      <c r="H136" s="5"/>
      <c r="I136" s="5"/>
      <c r="J136" s="5"/>
      <c r="K136" s="5"/>
      <c r="L136" s="5"/>
      <c r="M136" s="5"/>
      <c r="N136" s="5"/>
      <c r="O136" s="5"/>
      <c r="P136" s="5"/>
      <c r="Q136" s="5"/>
      <c r="R136" s="5"/>
    </row>
    <row r="137" spans="1:18">
      <c r="A137" s="4"/>
      <c r="B137" s="5"/>
      <c r="C137" s="4"/>
      <c r="D137" s="5"/>
      <c r="E137" s="5"/>
      <c r="F137" s="5"/>
      <c r="G137" s="168"/>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sheetData>
  <autoFilter ref="A39:R154" xr:uid="{4EBFD992-7E75-40BF-8BAC-ECB0E7B62348}"/>
  <mergeCells count="5">
    <mergeCell ref="AO3:AT3"/>
    <mergeCell ref="U1:X1"/>
    <mergeCell ref="U3:Y3"/>
    <mergeCell ref="AA3:AF3"/>
    <mergeCell ref="AH3:AM3"/>
  </mergeCells>
  <dataValidations count="3">
    <dataValidation showInputMessage="1" showErrorMessage="1" sqref="F33:F35 K33 P41:R154" xr:uid="{34774061-C898-45DC-A4DC-7BDBF0C850FD}"/>
    <dataValidation type="custom" allowBlank="1" showInputMessage="1" showErrorMessage="1" sqref="AE38 O38" xr:uid="{1322C246-A045-477B-B3AC-9724D8641C71}">
      <formula1>_xlfn.DAYS(L225,J225)</formula1>
    </dataValidation>
    <dataValidation type="custom" showInputMessage="1" showErrorMessage="1" sqref="AF38 P38" xr:uid="{DED2C471-4E18-45C6-9841-F31FC312A616}">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7CE31175-F921-4B3F-B7B6-E5AB773B8524}">
          <x14:formula1>
            <xm:f>Cadastros!$N$12:$N$16</xm:f>
          </x14:formula1>
          <xm:sqref>I38 Y38 K26</xm:sqref>
        </x14:dataValidation>
        <x14:dataValidation type="list" allowBlank="1" showInputMessage="1" showErrorMessage="1" xr:uid="{AD1378FC-0B24-46EF-9A41-622BAA2246C9}">
          <x14:formula1>
            <xm:f>Cadastros!$Q$12:$Q$17</xm:f>
          </x14:formula1>
          <xm:sqref>K38 AA38 K28 F28 K41:K154</xm:sqref>
        </x14:dataValidation>
        <x14:dataValidation type="list" allowBlank="1" showInputMessage="1" showErrorMessage="1" xr:uid="{DAEFF615-4623-4576-BD19-A93B1EE64C35}">
          <x14:formula1>
            <xm:f>Cadastros!$F$12:$F$25</xm:f>
          </x14:formula1>
          <xm:sqref>G38 K24 AM38 F23 F41:F154</xm:sqref>
        </x14:dataValidation>
        <x14:dataValidation type="list" errorStyle="information" allowBlank="1" showInputMessage="1" showErrorMessage="1" xr:uid="{20F08AB7-6431-4197-A319-6CA1E62664E6}">
          <x14:formula1>
            <xm:f>Cadastros!$I$12:$I$21</xm:f>
          </x14:formula1>
          <xm:sqref>H38 K25</xm:sqref>
        </x14:dataValidation>
        <x14:dataValidation type="list" allowBlank="1" showInputMessage="1" showErrorMessage="1" xr:uid="{D12ADC43-B681-4EEE-909C-1AE164CB04BF}">
          <x14:formula1>
            <xm:f>Cadastros!$S$12:$S$13</xm:f>
          </x14:formula1>
          <xm:sqref>M38:N38 AC38:AD38 K30:K31 F30:F31 M41:N154</xm:sqref>
        </x14:dataValidation>
        <x14:dataValidation type="list" showInputMessage="1" showErrorMessage="1" xr:uid="{D593D088-D1F5-4888-BE71-B414108B26DB}">
          <x14:formula1>
            <xm:f>Cadastros!$C$12:$C$16</xm:f>
          </x14:formula1>
          <xm:sqref>K22 AK38 F22 E38 E41:E154</xm:sqref>
        </x14:dataValidation>
        <x14:dataValidation type="list" errorStyle="information" allowBlank="1" showInputMessage="1" showErrorMessage="1" xr:uid="{70413F3C-72B3-4808-BA8C-C1190A98AC79}">
          <x14:formula1>
            <xm:f>Cadastros!$I$12:$I$36</xm:f>
          </x14:formula1>
          <xm:sqref>F25 H41:H154</xm:sqref>
        </x14:dataValidation>
        <x14:dataValidation type="list" allowBlank="1" showInputMessage="1" showErrorMessage="1" xr:uid="{3C462AF9-08EA-4797-91EC-0FA833F61723}">
          <x14:formula1>
            <xm:f>Cadastros!$N$12:$N$19</xm:f>
          </x14:formula1>
          <xm:sqref>F26 I41:I154</xm:sqref>
        </x14:dataValidation>
        <x14:dataValidation type="custom" showInputMessage="1" showErrorMessage="1" xr:uid="{A9A4DE33-2D8B-436C-A3B3-1FD6A076711C}">
          <x14:formula1>
            <xm:f>_xlfn.DAYS(H222,Janeiro!F325)</xm:f>
          </x14:formula1>
          <xm:sqref>K34:K35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7620-B095-487D-94E5-12E252C83105}">
  <sheetPr codeName="Planilha3"/>
  <dimension ref="A3:E35"/>
  <sheetViews>
    <sheetView workbookViewId="0">
      <selection activeCell="B26" sqref="B26"/>
    </sheetView>
  </sheetViews>
  <sheetFormatPr defaultRowHeight="15"/>
  <cols>
    <col min="1" max="1" width="10.28515625" bestFit="1" customWidth="1"/>
    <col min="2" max="4" width="10.28515625" customWidth="1"/>
    <col min="5" max="5" width="12.28515625" customWidth="1"/>
  </cols>
  <sheetData>
    <row r="3" spans="1:5" ht="15.75" thickBot="1">
      <c r="B3" s="208" t="s">
        <v>616</v>
      </c>
      <c r="C3" s="209"/>
      <c r="D3" s="210"/>
    </row>
    <row r="4" spans="1:5" ht="15.75" thickBot="1">
      <c r="B4" s="47" t="s">
        <v>617</v>
      </c>
      <c r="C4" s="48" t="s">
        <v>618</v>
      </c>
      <c r="D4" s="49" t="s">
        <v>619</v>
      </c>
      <c r="E4" t="s">
        <v>75</v>
      </c>
    </row>
    <row r="5" spans="1:5">
      <c r="A5" s="25" t="s">
        <v>620</v>
      </c>
      <c r="B5" s="25">
        <f>Janeiro!V30</f>
        <v>90</v>
      </c>
      <c r="C5" s="26">
        <f>Janeiro!W30</f>
        <v>11</v>
      </c>
      <c r="D5" s="1">
        <f>Janeiro!X30</f>
        <v>0</v>
      </c>
      <c r="E5" s="6">
        <f>SUM(B5:D5)</f>
        <v>101</v>
      </c>
    </row>
    <row r="6" spans="1:5">
      <c r="A6" s="27" t="s">
        <v>621</v>
      </c>
      <c r="B6" s="27">
        <f>Fevereiro!V30</f>
        <v>105</v>
      </c>
      <c r="C6">
        <f>Fevereiro!W30</f>
        <v>8</v>
      </c>
      <c r="D6" s="2">
        <f>Fevereiro!X30</f>
        <v>2</v>
      </c>
      <c r="E6" s="7">
        <f>SUM(B6:D6)</f>
        <v>115</v>
      </c>
    </row>
    <row r="7" spans="1:5">
      <c r="A7" s="27" t="s">
        <v>622</v>
      </c>
      <c r="B7" s="27">
        <f>Março!V30</f>
        <v>94</v>
      </c>
      <c r="C7">
        <f>Março!W30</f>
        <v>11</v>
      </c>
      <c r="D7" s="2">
        <f>Março!X30</f>
        <v>0</v>
      </c>
      <c r="E7" s="7">
        <f t="shared" ref="E7:E16" si="0">SUM(B7:D7)</f>
        <v>105</v>
      </c>
    </row>
    <row r="8" spans="1:5">
      <c r="A8" s="27" t="s">
        <v>623</v>
      </c>
      <c r="B8" s="27">
        <f>Abril!V30</f>
        <v>87</v>
      </c>
      <c r="C8">
        <f>Abril!W30</f>
        <v>12</v>
      </c>
      <c r="D8" s="2">
        <f>Abril!X30</f>
        <v>1</v>
      </c>
      <c r="E8" s="7">
        <f t="shared" si="0"/>
        <v>100</v>
      </c>
    </row>
    <row r="9" spans="1:5">
      <c r="A9" s="27" t="s">
        <v>624</v>
      </c>
      <c r="B9" s="27">
        <f>Maio!V30</f>
        <v>6</v>
      </c>
      <c r="C9">
        <f>Maio!W30</f>
        <v>0</v>
      </c>
      <c r="D9" s="2">
        <f>Maio!X30</f>
        <v>0</v>
      </c>
      <c r="E9" s="7">
        <f t="shared" si="0"/>
        <v>6</v>
      </c>
    </row>
    <row r="10" spans="1:5">
      <c r="A10" s="27" t="s">
        <v>625</v>
      </c>
      <c r="B10" s="27">
        <f>Junho!V30</f>
        <v>91</v>
      </c>
      <c r="C10">
        <f>Junho!W30</f>
        <v>9</v>
      </c>
      <c r="D10" s="2">
        <f>Junho!X30</f>
        <v>0</v>
      </c>
      <c r="E10" s="7">
        <f t="shared" si="0"/>
        <v>100</v>
      </c>
    </row>
    <row r="11" spans="1:5">
      <c r="A11" s="27" t="s">
        <v>626</v>
      </c>
      <c r="B11" s="27">
        <f>Julho!V30</f>
        <v>0</v>
      </c>
      <c r="C11">
        <f>Julho!W30</f>
        <v>0</v>
      </c>
      <c r="D11" s="2">
        <f>Julho!X30</f>
        <v>0</v>
      </c>
      <c r="E11" s="7">
        <f t="shared" si="0"/>
        <v>0</v>
      </c>
    </row>
    <row r="12" spans="1:5">
      <c r="A12" s="27" t="s">
        <v>627</v>
      </c>
      <c r="B12" s="27">
        <f>Agosto!V30</f>
        <v>0</v>
      </c>
      <c r="C12">
        <f>Agosto!W30</f>
        <v>0</v>
      </c>
      <c r="D12" s="2">
        <f>Agosto!X30</f>
        <v>0</v>
      </c>
      <c r="E12" s="7">
        <f t="shared" si="0"/>
        <v>0</v>
      </c>
    </row>
    <row r="13" spans="1:5">
      <c r="A13" s="27" t="s">
        <v>628</v>
      </c>
      <c r="B13" s="27">
        <f>Setembro!V30</f>
        <v>0</v>
      </c>
      <c r="C13">
        <f>Setembro!W30</f>
        <v>0</v>
      </c>
      <c r="D13" s="2">
        <f>Setembro!X30</f>
        <v>0</v>
      </c>
      <c r="E13" s="7">
        <f t="shared" si="0"/>
        <v>0</v>
      </c>
    </row>
    <row r="14" spans="1:5">
      <c r="A14" s="27" t="s">
        <v>629</v>
      </c>
      <c r="B14" s="27">
        <f>Outubro!V30</f>
        <v>0</v>
      </c>
      <c r="C14">
        <f>Outubro!W30</f>
        <v>0</v>
      </c>
      <c r="D14" s="2">
        <f>Outubro!X30</f>
        <v>0</v>
      </c>
      <c r="E14" s="7">
        <f t="shared" si="0"/>
        <v>0</v>
      </c>
    </row>
    <row r="15" spans="1:5">
      <c r="A15" s="27" t="s">
        <v>630</v>
      </c>
      <c r="B15" s="27">
        <f>Novembro!V30</f>
        <v>0</v>
      </c>
      <c r="C15">
        <f>Novembro!W30</f>
        <v>0</v>
      </c>
      <c r="D15" s="2">
        <f>Novembro!X30</f>
        <v>0</v>
      </c>
      <c r="E15" s="7">
        <f t="shared" si="0"/>
        <v>0</v>
      </c>
    </row>
    <row r="16" spans="1:5" ht="15.75" thickBot="1">
      <c r="A16" s="28" t="s">
        <v>631</v>
      </c>
      <c r="B16" s="28">
        <f>Dezembro!V30</f>
        <v>0</v>
      </c>
      <c r="C16" s="46">
        <f>Dezembro!W30</f>
        <v>0</v>
      </c>
      <c r="D16" s="3">
        <f>Dezembro!X30</f>
        <v>0</v>
      </c>
      <c r="E16" s="8">
        <f t="shared" si="0"/>
        <v>0</v>
      </c>
    </row>
    <row r="17" spans="1:5" ht="15.75" thickBot="1">
      <c r="A17" s="45" t="s">
        <v>75</v>
      </c>
      <c r="B17" s="16">
        <f>SUM(B5:B16)</f>
        <v>473</v>
      </c>
      <c r="C17" s="16">
        <f>SUM(C5:C16)</f>
        <v>51</v>
      </c>
      <c r="D17" s="17">
        <f>SUM(D5:D16)</f>
        <v>3</v>
      </c>
      <c r="E17" s="50"/>
    </row>
    <row r="18" spans="1:5" ht="15.75" thickBot="1">
      <c r="A18" s="51" t="s">
        <v>11</v>
      </c>
      <c r="B18" s="52">
        <f>AVERAGEIF(B5:B16,"&gt; 0")</f>
        <v>78.833333333333329</v>
      </c>
      <c r="C18" s="52">
        <f>AVERAGEIF(C5:C16,"&gt; 0")</f>
        <v>10.199999999999999</v>
      </c>
      <c r="D18" s="53">
        <f>AVERAGEIF(D5:D16,"&gt; 0")</f>
        <v>1.5</v>
      </c>
      <c r="E18" s="70">
        <f>AVERAGEIF(E5:E16,"&gt; 0")</f>
        <v>87.833333333333329</v>
      </c>
    </row>
    <row r="19" spans="1:5" ht="15.75" thickBot="1"/>
    <row r="20" spans="1:5" ht="15.75" thickBot="1">
      <c r="B20" s="198" t="s">
        <v>616</v>
      </c>
      <c r="C20" s="199"/>
      <c r="D20" s="199"/>
      <c r="E20" s="211"/>
    </row>
    <row r="21" spans="1:5" ht="15.75" thickBot="1">
      <c r="B21" s="47" t="s">
        <v>9</v>
      </c>
      <c r="C21" s="48" t="s">
        <v>18</v>
      </c>
      <c r="D21" s="49" t="s">
        <v>16</v>
      </c>
      <c r="E21" s="50" t="s">
        <v>17</v>
      </c>
    </row>
    <row r="22" spans="1:5">
      <c r="A22" s="25" t="s">
        <v>620</v>
      </c>
      <c r="B22" s="25">
        <f>Janeiro!AI30</f>
        <v>4</v>
      </c>
      <c r="C22" s="26">
        <f>Janeiro!AJ30</f>
        <v>4</v>
      </c>
      <c r="D22" s="1">
        <f>Janeiro!AK30</f>
        <v>3</v>
      </c>
      <c r="E22" s="6">
        <f>Janeiro!AL30</f>
        <v>1</v>
      </c>
    </row>
    <row r="23" spans="1:5">
      <c r="A23" s="27" t="s">
        <v>621</v>
      </c>
      <c r="B23" s="27">
        <f>Fevereiro!AI30</f>
        <v>20</v>
      </c>
      <c r="C23">
        <f>Fevereiro!AJ30</f>
        <v>46</v>
      </c>
      <c r="D23" s="2">
        <f>Fevereiro!AK30</f>
        <v>45</v>
      </c>
      <c r="E23" s="2">
        <f>Fevereiro!AL30</f>
        <v>5</v>
      </c>
    </row>
    <row r="24" spans="1:5">
      <c r="A24" s="27" t="s">
        <v>622</v>
      </c>
      <c r="B24" s="27">
        <f>Março!AI30</f>
        <v>16</v>
      </c>
      <c r="C24">
        <f>Março!AJ30</f>
        <v>36</v>
      </c>
      <c r="D24" s="2">
        <f>Março!AK30</f>
        <v>50</v>
      </c>
      <c r="E24" s="2">
        <f>Março!AL30</f>
        <v>3</v>
      </c>
    </row>
    <row r="25" spans="1:5">
      <c r="A25" s="27" t="s">
        <v>623</v>
      </c>
      <c r="B25" s="27">
        <f>Abril!AI30</f>
        <v>7</v>
      </c>
      <c r="C25">
        <f>Abril!AJ30</f>
        <v>20</v>
      </c>
      <c r="D25" s="2">
        <f>Abril!AK30</f>
        <v>62</v>
      </c>
      <c r="E25" s="2">
        <f>Abril!AL30</f>
        <v>12</v>
      </c>
    </row>
    <row r="26" spans="1:5">
      <c r="A26" s="27" t="s">
        <v>624</v>
      </c>
      <c r="B26" s="27">
        <f>Maio!AI30</f>
        <v>2</v>
      </c>
      <c r="C26">
        <f>Maio!AJ30</f>
        <v>1</v>
      </c>
      <c r="D26" s="2">
        <f>Maio!AK30</f>
        <v>3</v>
      </c>
      <c r="E26" s="2">
        <f>Maio!AL30</f>
        <v>0</v>
      </c>
    </row>
    <row r="27" spans="1:5">
      <c r="A27" s="27" t="s">
        <v>625</v>
      </c>
      <c r="B27" s="27">
        <f>Junho!AI30</f>
        <v>4</v>
      </c>
      <c r="C27">
        <f>Junho!AJ30</f>
        <v>16</v>
      </c>
      <c r="D27" s="2">
        <f>Junho!AK30</f>
        <v>18</v>
      </c>
      <c r="E27" s="2">
        <f>Junho!AL30</f>
        <v>1</v>
      </c>
    </row>
    <row r="28" spans="1:5">
      <c r="A28" s="27" t="s">
        <v>626</v>
      </c>
      <c r="B28" s="27">
        <f>Julho!AI30</f>
        <v>0</v>
      </c>
      <c r="C28">
        <f>Julho!AJ30</f>
        <v>0</v>
      </c>
      <c r="D28" s="2">
        <f>Julho!AK30</f>
        <v>0</v>
      </c>
      <c r="E28" s="2">
        <f>Julho!AL30</f>
        <v>0</v>
      </c>
    </row>
    <row r="29" spans="1:5">
      <c r="A29" s="27" t="s">
        <v>627</v>
      </c>
      <c r="B29" s="27">
        <f>Agosto!AI30</f>
        <v>0</v>
      </c>
      <c r="C29">
        <f>Agosto!AJ30</f>
        <v>0</v>
      </c>
      <c r="D29" s="2">
        <f>Agosto!AK30</f>
        <v>0</v>
      </c>
      <c r="E29" s="2">
        <f>Agosto!AL30</f>
        <v>0</v>
      </c>
    </row>
    <row r="30" spans="1:5">
      <c r="A30" s="27" t="s">
        <v>628</v>
      </c>
      <c r="B30" s="27">
        <f>Setembro!AI30</f>
        <v>0</v>
      </c>
      <c r="C30">
        <f>Setembro!AJ30</f>
        <v>0</v>
      </c>
      <c r="D30" s="2">
        <f>Setembro!AK30</f>
        <v>0</v>
      </c>
      <c r="E30" s="2">
        <f>Setembro!AL30</f>
        <v>0</v>
      </c>
    </row>
    <row r="31" spans="1:5">
      <c r="A31" s="27" t="s">
        <v>629</v>
      </c>
      <c r="B31" s="27">
        <f>Outubro!AI30</f>
        <v>0</v>
      </c>
      <c r="C31">
        <f>Outubro!AJ30</f>
        <v>0</v>
      </c>
      <c r="D31" s="2">
        <f>Outubro!AK30</f>
        <v>0</v>
      </c>
      <c r="E31" s="2">
        <f>Outubro!AL30</f>
        <v>0</v>
      </c>
    </row>
    <row r="32" spans="1:5">
      <c r="A32" s="27" t="s">
        <v>630</v>
      </c>
      <c r="B32" s="27">
        <f>Novembro!AI30</f>
        <v>0</v>
      </c>
      <c r="C32">
        <f>Novembro!AJ30</f>
        <v>0</v>
      </c>
      <c r="D32" s="2">
        <f>Novembro!AK30</f>
        <v>0</v>
      </c>
      <c r="E32" s="2">
        <f>Novembro!AL30</f>
        <v>0</v>
      </c>
    </row>
    <row r="33" spans="1:5" ht="15.75" thickBot="1">
      <c r="A33" s="28" t="s">
        <v>631</v>
      </c>
      <c r="B33" s="28">
        <f>Dezembro!AI30</f>
        <v>0</v>
      </c>
      <c r="C33" s="46">
        <f>Dezembro!AJ30</f>
        <v>0</v>
      </c>
      <c r="D33" s="3">
        <f>Dezembro!AK30</f>
        <v>0</v>
      </c>
      <c r="E33" s="3">
        <f>Dezembro!AL30</f>
        <v>0</v>
      </c>
    </row>
    <row r="34" spans="1:5" ht="15.75" thickBot="1">
      <c r="A34" s="45" t="s">
        <v>75</v>
      </c>
      <c r="B34" s="16">
        <f>SUM(B22:B33)</f>
        <v>53</v>
      </c>
      <c r="C34" s="16">
        <f>SUM(C22:C33)</f>
        <v>123</v>
      </c>
      <c r="D34" s="17">
        <f>SUM(D22:D33)</f>
        <v>181</v>
      </c>
      <c r="E34" s="23">
        <f>SUM(E22:E33)</f>
        <v>22</v>
      </c>
    </row>
    <row r="35" spans="1:5" ht="15.75" thickBot="1">
      <c r="A35" s="51" t="s">
        <v>11</v>
      </c>
      <c r="B35" s="52">
        <f>AVERAGEIF(B22:B33,"&gt;0")</f>
        <v>8.8333333333333339</v>
      </c>
      <c r="C35" s="52">
        <f>AVERAGEIF(C22:C33,"&gt;0")</f>
        <v>20.5</v>
      </c>
      <c r="D35" s="52">
        <f>AVERAGEIF(D22:D33,"&gt;0")</f>
        <v>30.166666666666668</v>
      </c>
      <c r="E35" s="53">
        <f>AVERAGEIF(E22:E33,"&gt;0")</f>
        <v>4.4000000000000004</v>
      </c>
    </row>
  </sheetData>
  <mergeCells count="2">
    <mergeCell ref="B3:D3"/>
    <mergeCell ref="B20:E20"/>
  </mergeCells>
  <phoneticPr fontId="4" type="noConversion"/>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6A48-304E-43ED-8505-A6C130291745}">
  <sheetPr codeName="Planilha2"/>
  <dimension ref="B3:AQ111"/>
  <sheetViews>
    <sheetView zoomScale="85" zoomScaleNormal="85" workbookViewId="0">
      <selection activeCell="F16" sqref="F16"/>
    </sheetView>
  </sheetViews>
  <sheetFormatPr defaultRowHeight="15"/>
  <cols>
    <col min="1" max="1" width="9.140625" customWidth="1"/>
    <col min="2" max="2" width="11.28515625" customWidth="1"/>
    <col min="3" max="3" width="9.28515625" customWidth="1"/>
    <col min="6" max="6" width="14.28515625" customWidth="1"/>
  </cols>
  <sheetData>
    <row r="3" spans="2:43" ht="24" thickBot="1">
      <c r="B3" s="212" t="s">
        <v>632</v>
      </c>
      <c r="C3" s="213"/>
      <c r="D3" s="214" t="s">
        <v>46</v>
      </c>
      <c r="E3" s="214"/>
      <c r="F3" s="214"/>
      <c r="G3" s="214"/>
      <c r="H3" s="214"/>
      <c r="I3" s="214"/>
      <c r="J3" s="215"/>
    </row>
    <row r="5" spans="2:43" ht="15.75" thickBot="1"/>
    <row r="6" spans="2:43" ht="15.75" thickBot="1">
      <c r="C6" s="57" t="s">
        <v>9</v>
      </c>
      <c r="D6" s="58" t="s">
        <v>17</v>
      </c>
      <c r="E6" s="58" t="s">
        <v>18</v>
      </c>
      <c r="F6" s="58" t="s">
        <v>16</v>
      </c>
      <c r="G6" s="59" t="s">
        <v>75</v>
      </c>
      <c r="AM6" t="s">
        <v>9</v>
      </c>
      <c r="AN6" t="s">
        <v>17</v>
      </c>
      <c r="AO6" t="s">
        <v>18</v>
      </c>
      <c r="AP6" t="s">
        <v>16</v>
      </c>
      <c r="AQ6" t="s">
        <v>75</v>
      </c>
    </row>
    <row r="7" spans="2:43">
      <c r="B7" s="54" t="s">
        <v>620</v>
      </c>
      <c r="C7" s="25">
        <f>VLOOKUP(D3,Janeiro!AH5:AL29,2,0)</f>
        <v>0</v>
      </c>
      <c r="D7" s="26">
        <f>VLOOKUP(D3,Janeiro!AH5:AL29,5,0)</f>
        <v>0</v>
      </c>
      <c r="E7" s="26">
        <f>VLOOKUP(D3,Janeiro!AH5:AL29,3,0)</f>
        <v>0</v>
      </c>
      <c r="F7" s="1">
        <f>VLOOKUP(D3,Janeiro!AH5:AL29,4,0)</f>
        <v>0</v>
      </c>
      <c r="G7" s="9">
        <f>SUM(C7:F7)</f>
        <v>0</v>
      </c>
      <c r="AL7" s="40">
        <v>44927</v>
      </c>
      <c r="AM7" t="e">
        <f>IF( C7=0,NA(),C7)</f>
        <v>#N/A</v>
      </c>
      <c r="AN7" t="e">
        <f t="shared" ref="AN7:AP7" si="0">IF( D7=0,NA(),D7)</f>
        <v>#N/A</v>
      </c>
      <c r="AO7" t="e">
        <f t="shared" si="0"/>
        <v>#N/A</v>
      </c>
      <c r="AP7" t="e">
        <f t="shared" si="0"/>
        <v>#N/A</v>
      </c>
      <c r="AQ7" t="e">
        <f>IF( G7=0,NA(),G7)</f>
        <v>#N/A</v>
      </c>
    </row>
    <row r="8" spans="2:43">
      <c r="B8" s="55" t="s">
        <v>621</v>
      </c>
      <c r="C8" s="27">
        <f>VLOOKUP(D3,Fevereiro!AH5:AL29,2,0)</f>
        <v>4</v>
      </c>
      <c r="D8">
        <f>VLOOKUP(D3,Fevereiro!AH5:AL29,5,0)</f>
        <v>0</v>
      </c>
      <c r="E8">
        <f>VLOOKUP(D3,Fevereiro!AH5:AL29,3,0)</f>
        <v>2</v>
      </c>
      <c r="F8" s="2">
        <f>VLOOKUP(D3,Fevereiro!AH5:AL29,4,0)</f>
        <v>0</v>
      </c>
      <c r="G8" s="11">
        <f t="shared" ref="G8:G18" si="1">SUM(C8:F8)</f>
        <v>6</v>
      </c>
      <c r="AL8" s="40">
        <v>44958</v>
      </c>
      <c r="AM8">
        <f t="shared" ref="AM8:AM18" si="2">IF( C8=0,NA(),C8)</f>
        <v>4</v>
      </c>
      <c r="AN8" t="e">
        <f t="shared" ref="AN8:AN18" si="3">IF( D8=0,NA(),D8)</f>
        <v>#N/A</v>
      </c>
      <c r="AO8">
        <f t="shared" ref="AO8:AO18" si="4">IF( E8=0,NA(),E8)</f>
        <v>2</v>
      </c>
      <c r="AP8" t="e">
        <f t="shared" ref="AP8:AP18" si="5">IF( F8=0,NA(),F8)</f>
        <v>#N/A</v>
      </c>
      <c r="AQ8">
        <f t="shared" ref="AQ8:AQ18" si="6">IF( G8=0,NA(),G8)</f>
        <v>6</v>
      </c>
    </row>
    <row r="9" spans="2:43">
      <c r="B9" s="55" t="s">
        <v>622</v>
      </c>
      <c r="C9" s="27">
        <f>VLOOKUP(D3,Março!AH5:AL29,2,0)</f>
        <v>2</v>
      </c>
      <c r="D9">
        <f>VLOOKUP(D3,Março!AH5:AL29,5,0)</f>
        <v>0</v>
      </c>
      <c r="E9">
        <f>VLOOKUP(D3,Março!AH5:AL29,3,0)</f>
        <v>0</v>
      </c>
      <c r="F9" s="2">
        <f>VLOOKUP(D3,Março!AH5:AL29,4,0)</f>
        <v>0</v>
      </c>
      <c r="G9" s="11">
        <f t="shared" si="1"/>
        <v>2</v>
      </c>
      <c r="AL9" s="40">
        <v>44986</v>
      </c>
      <c r="AM9">
        <f t="shared" si="2"/>
        <v>2</v>
      </c>
      <c r="AN9" t="e">
        <f t="shared" si="3"/>
        <v>#N/A</v>
      </c>
      <c r="AO9" t="e">
        <f t="shared" si="4"/>
        <v>#N/A</v>
      </c>
      <c r="AP9" t="e">
        <f t="shared" si="5"/>
        <v>#N/A</v>
      </c>
      <c r="AQ9">
        <f t="shared" si="6"/>
        <v>2</v>
      </c>
    </row>
    <row r="10" spans="2:43">
      <c r="B10" s="55" t="s">
        <v>623</v>
      </c>
      <c r="C10" s="27">
        <f>VLOOKUP(D3,Abril!AH5:AL29,2,0)</f>
        <v>1</v>
      </c>
      <c r="D10">
        <f>VLOOKUP(D3,Abril!AH5:AL29,5,0)</f>
        <v>0</v>
      </c>
      <c r="E10">
        <f>VLOOKUP(D3,Abril!AH5:AL29,3,0)</f>
        <v>1</v>
      </c>
      <c r="F10" s="2">
        <f>VLOOKUP(D3,Abril!AH5:AL29,4,0)</f>
        <v>0</v>
      </c>
      <c r="G10" s="11">
        <f t="shared" si="1"/>
        <v>2</v>
      </c>
      <c r="AL10" s="40">
        <v>45017</v>
      </c>
      <c r="AM10">
        <f t="shared" si="2"/>
        <v>1</v>
      </c>
      <c r="AN10" t="e">
        <f t="shared" si="3"/>
        <v>#N/A</v>
      </c>
      <c r="AO10">
        <f t="shared" si="4"/>
        <v>1</v>
      </c>
      <c r="AP10" t="e">
        <f t="shared" si="5"/>
        <v>#N/A</v>
      </c>
      <c r="AQ10">
        <f t="shared" si="6"/>
        <v>2</v>
      </c>
    </row>
    <row r="11" spans="2:43">
      <c r="B11" s="55" t="s">
        <v>624</v>
      </c>
      <c r="C11" s="27">
        <f>VLOOKUP(D3,Maio!AH5:AL29,2,0)</f>
        <v>1</v>
      </c>
      <c r="D11">
        <f>VLOOKUP(D3,Maio!AH5:AL29,5,0)</f>
        <v>0</v>
      </c>
      <c r="E11">
        <f>VLOOKUP(D3,Maio!AH5:AL29,3,0)</f>
        <v>1</v>
      </c>
      <c r="F11" s="2">
        <f>VLOOKUP(D3,Maio!AH5:AL29,4,0)</f>
        <v>0</v>
      </c>
      <c r="G11" s="11">
        <f t="shared" si="1"/>
        <v>2</v>
      </c>
      <c r="AL11" s="40">
        <v>45047</v>
      </c>
      <c r="AM11">
        <f t="shared" si="2"/>
        <v>1</v>
      </c>
      <c r="AN11" t="e">
        <f t="shared" si="3"/>
        <v>#N/A</v>
      </c>
      <c r="AO11">
        <f t="shared" si="4"/>
        <v>1</v>
      </c>
      <c r="AP11" t="e">
        <f t="shared" si="5"/>
        <v>#N/A</v>
      </c>
      <c r="AQ11">
        <f t="shared" si="6"/>
        <v>2</v>
      </c>
    </row>
    <row r="12" spans="2:43">
      <c r="B12" s="55" t="s">
        <v>625</v>
      </c>
      <c r="C12" s="27">
        <f>VLOOKUP(D$3,Junho!AH5:AL29,2,0)</f>
        <v>0</v>
      </c>
      <c r="D12">
        <f>VLOOKUP(D3,Junho!AH5:AL29,5,0)</f>
        <v>0</v>
      </c>
      <c r="E12">
        <f>VLOOKUP(D3,Junho!AH5:AL29,3,0)</f>
        <v>0</v>
      </c>
      <c r="F12" s="2">
        <f>VLOOKUP(D3,Junho!AH5:AL29,4,0)</f>
        <v>0</v>
      </c>
      <c r="G12" s="11">
        <f t="shared" si="1"/>
        <v>0</v>
      </c>
      <c r="AL12" s="40">
        <v>45078</v>
      </c>
      <c r="AM12" t="e">
        <f t="shared" si="2"/>
        <v>#N/A</v>
      </c>
      <c r="AN12" t="e">
        <f t="shared" si="3"/>
        <v>#N/A</v>
      </c>
      <c r="AO12" t="e">
        <f t="shared" si="4"/>
        <v>#N/A</v>
      </c>
      <c r="AP12" t="e">
        <f t="shared" si="5"/>
        <v>#N/A</v>
      </c>
      <c r="AQ12" t="e">
        <f t="shared" si="6"/>
        <v>#N/A</v>
      </c>
    </row>
    <row r="13" spans="2:43">
      <c r="B13" s="55" t="s">
        <v>626</v>
      </c>
      <c r="C13" s="27">
        <f>VLOOKUP(D$3,Julho!AH5:AL29,2,0)</f>
        <v>0</v>
      </c>
      <c r="D13">
        <f>VLOOKUP(D3,Julho!AH5:AL29,5,0)</f>
        <v>0</v>
      </c>
      <c r="E13">
        <f>VLOOKUP(D3,Julho!AH5:AL29,3,0)</f>
        <v>0</v>
      </c>
      <c r="F13" s="2">
        <f>VLOOKUP(D3,Julho!AH5:AL29,4,0)</f>
        <v>0</v>
      </c>
      <c r="G13" s="11">
        <f t="shared" si="1"/>
        <v>0</v>
      </c>
      <c r="AL13" s="40">
        <v>45108</v>
      </c>
      <c r="AM13" t="e">
        <f t="shared" si="2"/>
        <v>#N/A</v>
      </c>
      <c r="AN13" t="e">
        <f t="shared" si="3"/>
        <v>#N/A</v>
      </c>
      <c r="AO13" t="e">
        <f t="shared" si="4"/>
        <v>#N/A</v>
      </c>
      <c r="AP13" t="e">
        <f t="shared" si="5"/>
        <v>#N/A</v>
      </c>
      <c r="AQ13" t="e">
        <f t="shared" si="6"/>
        <v>#N/A</v>
      </c>
    </row>
    <row r="14" spans="2:43">
      <c r="B14" s="55" t="s">
        <v>627</v>
      </c>
      <c r="C14" s="27">
        <f>VLOOKUP(D$3,Agosto!AH5:AL29,2,0)</f>
        <v>0</v>
      </c>
      <c r="D14">
        <f>VLOOKUP(D3,Agosto!AH5:AL29,5,0)</f>
        <v>0</v>
      </c>
      <c r="E14">
        <f>VLOOKUP(D3,Agosto!AH5:AL29,3,0)</f>
        <v>0</v>
      </c>
      <c r="F14" s="2">
        <f>VLOOKUP(D3,Agosto!AH5:AL29,4,0)</f>
        <v>0</v>
      </c>
      <c r="G14" s="11">
        <f t="shared" si="1"/>
        <v>0</v>
      </c>
      <c r="AL14" s="40">
        <v>45139</v>
      </c>
      <c r="AM14" t="e">
        <f t="shared" si="2"/>
        <v>#N/A</v>
      </c>
      <c r="AN14" t="e">
        <f t="shared" si="3"/>
        <v>#N/A</v>
      </c>
      <c r="AO14" t="e">
        <f t="shared" si="4"/>
        <v>#N/A</v>
      </c>
      <c r="AP14" t="e">
        <f t="shared" si="5"/>
        <v>#N/A</v>
      </c>
      <c r="AQ14" t="e">
        <f t="shared" si="6"/>
        <v>#N/A</v>
      </c>
    </row>
    <row r="15" spans="2:43">
      <c r="B15" s="55" t="s">
        <v>628</v>
      </c>
      <c r="C15" s="27">
        <f>VLOOKUP(D$3,Setembro!AH5:AL29,2,0)</f>
        <v>0</v>
      </c>
      <c r="D15">
        <f>VLOOKUP(D3,Setembro!AH5:AL29,5,0)</f>
        <v>0</v>
      </c>
      <c r="E15">
        <f>VLOOKUP(D3,Setembro!AH5:AL29,3,0)</f>
        <v>0</v>
      </c>
      <c r="F15" s="2">
        <f>VLOOKUP(D3,Setembro!AH5:AL29,4,0)</f>
        <v>0</v>
      </c>
      <c r="G15" s="11">
        <f t="shared" si="1"/>
        <v>0</v>
      </c>
      <c r="AL15" s="40">
        <v>45170</v>
      </c>
      <c r="AM15" t="e">
        <f t="shared" si="2"/>
        <v>#N/A</v>
      </c>
      <c r="AN15" t="e">
        <f t="shared" si="3"/>
        <v>#N/A</v>
      </c>
      <c r="AO15" t="e">
        <f t="shared" si="4"/>
        <v>#N/A</v>
      </c>
      <c r="AP15" t="e">
        <f t="shared" si="5"/>
        <v>#N/A</v>
      </c>
      <c r="AQ15" t="e">
        <f t="shared" si="6"/>
        <v>#N/A</v>
      </c>
    </row>
    <row r="16" spans="2:43">
      <c r="B16" s="55" t="s">
        <v>629</v>
      </c>
      <c r="C16" s="27">
        <f>VLOOKUP(D$3,Outubro!AH5:AL29,2,0)</f>
        <v>0</v>
      </c>
      <c r="D16">
        <f>VLOOKUP(D3,Outubro!AH5:AL29,5,0)</f>
        <v>0</v>
      </c>
      <c r="E16">
        <f>VLOOKUP(D3,Outubro!AH5:AL29,3,0)</f>
        <v>0</v>
      </c>
      <c r="F16" s="2">
        <f>VLOOKUP(D3,Outubro!AH5:AL29,4,0)</f>
        <v>0</v>
      </c>
      <c r="G16" s="11">
        <f t="shared" si="1"/>
        <v>0</v>
      </c>
      <c r="AL16" s="40">
        <v>45200</v>
      </c>
      <c r="AM16" t="e">
        <f t="shared" si="2"/>
        <v>#N/A</v>
      </c>
      <c r="AN16" t="e">
        <f t="shared" si="3"/>
        <v>#N/A</v>
      </c>
      <c r="AO16" t="e">
        <f t="shared" si="4"/>
        <v>#N/A</v>
      </c>
      <c r="AP16" t="e">
        <f t="shared" si="5"/>
        <v>#N/A</v>
      </c>
      <c r="AQ16" t="e">
        <f t="shared" si="6"/>
        <v>#N/A</v>
      </c>
    </row>
    <row r="17" spans="2:43">
      <c r="B17" s="55" t="s">
        <v>630</v>
      </c>
      <c r="C17" s="27">
        <f>VLOOKUP(D$3,Novembro!AH5:AL29,2,0)</f>
        <v>0</v>
      </c>
      <c r="D17">
        <f>VLOOKUP(D3,Novembro!AH5:AL29,5,0)</f>
        <v>0</v>
      </c>
      <c r="E17">
        <f>VLOOKUP(D3,Novembro!AH5:AL29,3,0)</f>
        <v>0</v>
      </c>
      <c r="F17" s="2">
        <f>VLOOKUP(D3,Novembro!AH5:AL29,4,0)</f>
        <v>0</v>
      </c>
      <c r="G17" s="11">
        <f t="shared" si="1"/>
        <v>0</v>
      </c>
      <c r="AL17" s="40">
        <v>45231</v>
      </c>
      <c r="AM17" t="e">
        <f t="shared" si="2"/>
        <v>#N/A</v>
      </c>
      <c r="AN17" t="e">
        <f t="shared" si="3"/>
        <v>#N/A</v>
      </c>
      <c r="AO17" t="e">
        <f t="shared" si="4"/>
        <v>#N/A</v>
      </c>
      <c r="AP17" t="e">
        <f t="shared" si="5"/>
        <v>#N/A</v>
      </c>
      <c r="AQ17" t="e">
        <f t="shared" si="6"/>
        <v>#N/A</v>
      </c>
    </row>
    <row r="18" spans="2:43" ht="15.75" thickBot="1">
      <c r="B18" s="56" t="s">
        <v>631</v>
      </c>
      <c r="C18" s="28">
        <f>VLOOKUP(D$3,Dezembro!AH5:AL29,2,0)</f>
        <v>0</v>
      </c>
      <c r="D18" s="46">
        <f>VLOOKUP(D3,Dezembro!AH5:AL29,5,0)</f>
        <v>0</v>
      </c>
      <c r="E18" s="46">
        <f>VLOOKUP(D3,Dezembro!AH5:AL29,3,0)</f>
        <v>0</v>
      </c>
      <c r="F18" s="3">
        <f>VLOOKUP(D3,Dezembro!AH5:AL29,4,0)</f>
        <v>0</v>
      </c>
      <c r="G18" s="12">
        <f t="shared" si="1"/>
        <v>0</v>
      </c>
      <c r="AL18" s="40">
        <v>45261</v>
      </c>
      <c r="AM18" t="e">
        <f t="shared" si="2"/>
        <v>#N/A</v>
      </c>
      <c r="AN18" t="e">
        <f t="shared" si="3"/>
        <v>#N/A</v>
      </c>
      <c r="AO18" t="e">
        <f t="shared" si="4"/>
        <v>#N/A</v>
      </c>
      <c r="AP18" t="e">
        <f t="shared" si="5"/>
        <v>#N/A</v>
      </c>
      <c r="AQ18" t="e">
        <f t="shared" si="6"/>
        <v>#N/A</v>
      </c>
    </row>
    <row r="19" spans="2:43" ht="15.75" thickBot="1">
      <c r="B19" s="60" t="s">
        <v>75</v>
      </c>
      <c r="C19" s="45">
        <f>SUM(C7:C18)</f>
        <v>8</v>
      </c>
      <c r="D19" s="16">
        <f t="shared" ref="D19:F19" si="7">SUM(D7:D18)</f>
        <v>0</v>
      </c>
      <c r="E19" s="16">
        <f t="shared" si="7"/>
        <v>4</v>
      </c>
      <c r="F19" s="17">
        <f t="shared" si="7"/>
        <v>0</v>
      </c>
    </row>
    <row r="20" spans="2:43" ht="15.75" thickBot="1">
      <c r="F20" s="50" t="s">
        <v>11</v>
      </c>
      <c r="G20" s="61">
        <f>AVERAGEIF(G7:G18,"&gt;0")</f>
        <v>3</v>
      </c>
    </row>
    <row r="21" spans="2:43" ht="15.75" thickBot="1">
      <c r="F21" s="69" t="s">
        <v>633</v>
      </c>
      <c r="G21" s="70">
        <f>AVERAGEIF('Graficos Totais'!E5:E16,"&gt;0")</f>
        <v>87.833333333333329</v>
      </c>
    </row>
    <row r="22" spans="2:43" ht="15.75" thickBot="1"/>
    <row r="23" spans="2:43">
      <c r="B23" s="54" t="s">
        <v>620</v>
      </c>
      <c r="C23" s="6">
        <f>G7</f>
        <v>0</v>
      </c>
      <c r="AL23" s="40">
        <v>44927</v>
      </c>
      <c r="AM23" t="e">
        <f>AQ7</f>
        <v>#N/A</v>
      </c>
    </row>
    <row r="24" spans="2:43">
      <c r="B24" s="55" t="s">
        <v>621</v>
      </c>
      <c r="C24" s="7">
        <f t="shared" ref="C24:C34" si="8">G8</f>
        <v>6</v>
      </c>
      <c r="AL24" s="40">
        <v>44958</v>
      </c>
      <c r="AM24">
        <f t="shared" ref="AM24:AM34" si="9">AQ8</f>
        <v>6</v>
      </c>
    </row>
    <row r="25" spans="2:43">
      <c r="B25" s="55" t="s">
        <v>622</v>
      </c>
      <c r="C25" s="7">
        <f t="shared" si="8"/>
        <v>2</v>
      </c>
      <c r="AL25" s="40">
        <v>44986</v>
      </c>
      <c r="AM25">
        <f t="shared" si="9"/>
        <v>2</v>
      </c>
    </row>
    <row r="26" spans="2:43">
      <c r="B26" s="55" t="s">
        <v>623</v>
      </c>
      <c r="C26" s="7">
        <f t="shared" si="8"/>
        <v>2</v>
      </c>
      <c r="AL26" s="40">
        <v>45017</v>
      </c>
      <c r="AM26">
        <f t="shared" si="9"/>
        <v>2</v>
      </c>
    </row>
    <row r="27" spans="2:43">
      <c r="B27" s="55" t="s">
        <v>624</v>
      </c>
      <c r="C27" s="7">
        <f t="shared" si="8"/>
        <v>2</v>
      </c>
      <c r="AL27" s="40">
        <v>45047</v>
      </c>
      <c r="AM27">
        <f t="shared" si="9"/>
        <v>2</v>
      </c>
    </row>
    <row r="28" spans="2:43">
      <c r="B28" s="55" t="s">
        <v>625</v>
      </c>
      <c r="C28" s="7">
        <f t="shared" si="8"/>
        <v>0</v>
      </c>
      <c r="AL28" s="40">
        <v>45078</v>
      </c>
      <c r="AM28" t="e">
        <f t="shared" si="9"/>
        <v>#N/A</v>
      </c>
    </row>
    <row r="29" spans="2:43">
      <c r="B29" s="55" t="s">
        <v>626</v>
      </c>
      <c r="C29" s="7">
        <f t="shared" si="8"/>
        <v>0</v>
      </c>
      <c r="D29" s="44" t="s">
        <v>634</v>
      </c>
      <c r="AL29" s="40">
        <v>45108</v>
      </c>
      <c r="AM29" t="e">
        <f t="shared" si="9"/>
        <v>#N/A</v>
      </c>
    </row>
    <row r="30" spans="2:43">
      <c r="B30" s="55" t="s">
        <v>627</v>
      </c>
      <c r="C30" s="7">
        <f t="shared" si="8"/>
        <v>0</v>
      </c>
      <c r="AL30" s="40">
        <v>45139</v>
      </c>
      <c r="AM30" t="e">
        <f t="shared" si="9"/>
        <v>#N/A</v>
      </c>
    </row>
    <row r="31" spans="2:43">
      <c r="B31" s="55" t="s">
        <v>628</v>
      </c>
      <c r="C31" s="7">
        <f t="shared" si="8"/>
        <v>0</v>
      </c>
      <c r="AL31" s="40">
        <v>45170</v>
      </c>
      <c r="AM31" t="e">
        <f t="shared" si="9"/>
        <v>#N/A</v>
      </c>
    </row>
    <row r="32" spans="2:43">
      <c r="B32" s="55" t="s">
        <v>629</v>
      </c>
      <c r="C32" s="7">
        <f t="shared" si="8"/>
        <v>0</v>
      </c>
      <c r="AL32" s="40">
        <v>45200</v>
      </c>
      <c r="AM32" t="e">
        <f t="shared" si="9"/>
        <v>#N/A</v>
      </c>
    </row>
    <row r="33" spans="2:39">
      <c r="B33" s="55" t="s">
        <v>630</v>
      </c>
      <c r="C33" s="7">
        <f t="shared" si="8"/>
        <v>0</v>
      </c>
      <c r="AL33" s="40">
        <v>45231</v>
      </c>
      <c r="AM33" t="e">
        <f t="shared" si="9"/>
        <v>#N/A</v>
      </c>
    </row>
    <row r="34" spans="2:39" ht="15.75" thickBot="1">
      <c r="B34" s="56" t="s">
        <v>631</v>
      </c>
      <c r="C34" s="8">
        <f t="shared" si="8"/>
        <v>0</v>
      </c>
      <c r="AL34" s="40">
        <v>45261</v>
      </c>
      <c r="AM34" t="e">
        <f t="shared" si="9"/>
        <v>#N/A</v>
      </c>
    </row>
    <row r="36" spans="2:39" ht="15.75" thickBot="1"/>
    <row r="37" spans="2:39" ht="15.75" thickBot="1">
      <c r="C37" s="198" t="s">
        <v>72</v>
      </c>
      <c r="D37" s="199"/>
      <c r="E37" s="199"/>
      <c r="F37" s="199"/>
      <c r="G37" s="211"/>
    </row>
    <row r="38" spans="2:39" ht="15.75" thickBot="1">
      <c r="C38" s="25" t="s">
        <v>9</v>
      </c>
      <c r="D38" s="26" t="s">
        <v>18</v>
      </c>
      <c r="E38" s="26" t="s">
        <v>16</v>
      </c>
      <c r="F38" s="26" t="s">
        <v>17</v>
      </c>
      <c r="G38" s="1" t="s">
        <v>75</v>
      </c>
    </row>
    <row r="39" spans="2:39">
      <c r="B39" s="32" t="s">
        <v>620</v>
      </c>
      <c r="C39" s="32">
        <f>VLOOKUP(D3,Janeiro!AA5:AE29,2,0)</f>
        <v>0</v>
      </c>
      <c r="D39" s="64">
        <f>VLOOKUP(D3,Janeiro!AA5:AE29,3,0)</f>
        <v>0</v>
      </c>
      <c r="E39" s="64">
        <f>VLOOKUP(D3,Janeiro!AA5:AE29,4,0)</f>
        <v>0</v>
      </c>
      <c r="F39" s="65">
        <f>VLOOKUP(D3,Janeiro!AA5:AE29,5,0)</f>
        <v>0</v>
      </c>
      <c r="G39" s="65">
        <f>SUM(C39:F39)</f>
        <v>0</v>
      </c>
    </row>
    <row r="40" spans="2:39">
      <c r="B40" s="27" t="s">
        <v>621</v>
      </c>
      <c r="C40" s="27">
        <f>VLOOKUP(D3,Fevereiro!AA5:AE29,2,0)</f>
        <v>6419</v>
      </c>
      <c r="D40">
        <f>VLOOKUP(D3,Fevereiro!AA5:AE29,3,0)</f>
        <v>928</v>
      </c>
      <c r="E40">
        <f>VLOOKUP(D3,Fevereiro!AA5:AE29,4,0)</f>
        <v>0</v>
      </c>
      <c r="F40" s="2">
        <f>VLOOKUP(D3,Fevereiro!AA5:AE29,5,0)</f>
        <v>0</v>
      </c>
      <c r="G40" s="2">
        <f>SUM(C40:F40)</f>
        <v>7347</v>
      </c>
    </row>
    <row r="41" spans="2:39">
      <c r="B41" s="36" t="s">
        <v>622</v>
      </c>
      <c r="C41" s="36">
        <f>VLOOKUP(D3,Março!AA5:AE29,2,0)</f>
        <v>1453</v>
      </c>
      <c r="D41" s="63">
        <f>VLOOKUP(D3,Março!AA5:AE29,3,0)</f>
        <v>0</v>
      </c>
      <c r="E41" s="63">
        <f>VLOOKUP(D3,Março!AA5:AE29,4,0)</f>
        <v>0</v>
      </c>
      <c r="F41" s="66">
        <f>VLOOKUP(D3,Março!AA5:AE29,5,0)</f>
        <v>0</v>
      </c>
      <c r="G41" s="2">
        <f t="shared" ref="G41:G50" si="10">SUM(C41:F41)</f>
        <v>1453</v>
      </c>
    </row>
    <row r="42" spans="2:39">
      <c r="B42" s="27" t="s">
        <v>623</v>
      </c>
      <c r="C42" s="27">
        <f>VLOOKUP(D3,Abril!AA5:AE29,2,0)</f>
        <v>1615</v>
      </c>
      <c r="D42">
        <f>VLOOKUP(D3,Abril!AA5:AE29,3,0)</f>
        <v>135</v>
      </c>
      <c r="E42">
        <f>VLOOKUP(D3,Abril!AA5:AE29,4,0)</f>
        <v>0</v>
      </c>
      <c r="F42" s="2">
        <f>VLOOKUP(D3,Abril!AA5:AE29,5,0)</f>
        <v>0</v>
      </c>
      <c r="G42" s="2">
        <f t="shared" si="10"/>
        <v>1750</v>
      </c>
    </row>
    <row r="43" spans="2:39">
      <c r="B43" s="36" t="s">
        <v>624</v>
      </c>
      <c r="C43" s="36">
        <f>VLOOKUP(D3,Maio!AA5:AE29,2,0)</f>
        <v>2274</v>
      </c>
      <c r="D43" s="63">
        <f>VLOOKUP(D3,Maio!AA5:AE29,3,0)</f>
        <v>256</v>
      </c>
      <c r="E43" s="63">
        <f>VLOOKUP(D3,Maio!AA5:AE29,4,0)</f>
        <v>0</v>
      </c>
      <c r="F43" s="66">
        <f>VLOOKUP(D3,Maio!AA5:AE29,5,0)</f>
        <v>0</v>
      </c>
      <c r="G43" s="2">
        <f t="shared" si="10"/>
        <v>2530</v>
      </c>
    </row>
    <row r="44" spans="2:39">
      <c r="B44" s="27" t="s">
        <v>625</v>
      </c>
      <c r="C44" s="27">
        <f>VLOOKUP(D3,Junho!AA5:AE29,2,0)</f>
        <v>0</v>
      </c>
      <c r="D44">
        <f>VLOOKUP(D3,Junho!AA5:AE29,3,0)</f>
        <v>0</v>
      </c>
      <c r="E44">
        <f>VLOOKUP(D3,Junho!AA5:AE29,4,0)</f>
        <v>0</v>
      </c>
      <c r="F44" s="2">
        <f>VLOOKUP(D3,Junho!AA5:AE29,5,0)</f>
        <v>0</v>
      </c>
      <c r="G44" s="2">
        <f t="shared" si="10"/>
        <v>0</v>
      </c>
    </row>
    <row r="45" spans="2:39">
      <c r="B45" s="36" t="s">
        <v>626</v>
      </c>
      <c r="C45" s="36">
        <f>VLOOKUP(D3,Julho!AA5:AE29,2,0)</f>
        <v>0</v>
      </c>
      <c r="D45" s="63">
        <f>VLOOKUP(D3,Julho!AA5:AE29,3,0)</f>
        <v>0</v>
      </c>
      <c r="E45" s="63">
        <f>VLOOKUP(D3,Julho!AA5:AE29,4,0)</f>
        <v>0</v>
      </c>
      <c r="F45" s="66">
        <f>VLOOKUP(D3,Julho!AA5:AE29,5,0)</f>
        <v>0</v>
      </c>
      <c r="G45" s="2">
        <f t="shared" si="10"/>
        <v>0</v>
      </c>
    </row>
    <row r="46" spans="2:39">
      <c r="B46" s="27" t="s">
        <v>627</v>
      </c>
      <c r="C46" s="27">
        <f>VLOOKUP(D3,Agosto!AA5:AE29,2,0)</f>
        <v>0</v>
      </c>
      <c r="D46">
        <f>VLOOKUP(D3,Agosto!AA5:AE29,3,0)</f>
        <v>0</v>
      </c>
      <c r="E46">
        <f>VLOOKUP(D3,Agosto!AA5:AE29,4,0)</f>
        <v>0</v>
      </c>
      <c r="F46" s="2">
        <f>VLOOKUP(D3,Agosto!AA5:AE29,5,0)</f>
        <v>0</v>
      </c>
      <c r="G46" s="2">
        <f t="shared" si="10"/>
        <v>0</v>
      </c>
    </row>
    <row r="47" spans="2:39">
      <c r="B47" s="36" t="s">
        <v>628</v>
      </c>
      <c r="C47" s="36">
        <f>VLOOKUP(D3,Setembro!AA5:AE29,2,0)</f>
        <v>0</v>
      </c>
      <c r="D47" s="63">
        <f>VLOOKUP(D3,Setembro!AA5:AE29,3,0)</f>
        <v>0</v>
      </c>
      <c r="E47" s="63">
        <f>VLOOKUP(D3,Setembro!AA5:AE29,4,0)</f>
        <v>0</v>
      </c>
      <c r="F47" s="66">
        <f>VLOOKUP(D3,Setembro!AA5:AE29,5,0)</f>
        <v>0</v>
      </c>
      <c r="G47" s="2">
        <f t="shared" si="10"/>
        <v>0</v>
      </c>
    </row>
    <row r="48" spans="2:39">
      <c r="B48" s="27" t="s">
        <v>629</v>
      </c>
      <c r="C48" s="27">
        <f>VLOOKUP(D3,Outubro!AA5:AE29,2,0)</f>
        <v>0</v>
      </c>
      <c r="D48">
        <f>VLOOKUP(D3,Outubro!AA5:AE29,3,0)</f>
        <v>0</v>
      </c>
      <c r="E48">
        <f>VLOOKUP(D3,Outubro!AA5:AE29,4,0)</f>
        <v>0</v>
      </c>
      <c r="F48" s="2">
        <f>VLOOKUP(D3,Outubro!AA5:AE29,5,0)</f>
        <v>0</v>
      </c>
      <c r="G48" s="2">
        <f t="shared" si="10"/>
        <v>0</v>
      </c>
    </row>
    <row r="49" spans="2:7">
      <c r="B49" s="36" t="s">
        <v>630</v>
      </c>
      <c r="C49" s="36">
        <f>VLOOKUP(D3,Novembro!AA5:AE29,2,0)</f>
        <v>0</v>
      </c>
      <c r="D49" s="63">
        <f>VLOOKUP(D3,Novembro!AA5:AE29,3,0)</f>
        <v>0</v>
      </c>
      <c r="E49" s="63">
        <f>VLOOKUP(D3,Novembro!AA5:AE29,4,0)</f>
        <v>0</v>
      </c>
      <c r="F49" s="66">
        <f>VLOOKUP(D3,Novembro!AA5:AE29,5,0)</f>
        <v>0</v>
      </c>
      <c r="G49" s="2">
        <f t="shared" si="10"/>
        <v>0</v>
      </c>
    </row>
    <row r="50" spans="2:7" ht="15.75" thickBot="1">
      <c r="B50" s="28" t="s">
        <v>631</v>
      </c>
      <c r="C50" s="28">
        <f>VLOOKUP(D3,Dezembro!AA5:AE29,2,0)</f>
        <v>0</v>
      </c>
      <c r="D50" s="46">
        <f>VLOOKUP(D3,Dezembro!AA5:AE29,3,0)</f>
        <v>0</v>
      </c>
      <c r="E50" s="46">
        <f>VLOOKUP(D3,Dezembro!AA5:AE29,4,0)</f>
        <v>0</v>
      </c>
      <c r="F50" s="3">
        <f>VLOOKUP(D3,Dezembro!AA5:AE29,5,0)</f>
        <v>0</v>
      </c>
      <c r="G50" s="2">
        <f t="shared" si="10"/>
        <v>0</v>
      </c>
    </row>
    <row r="51" spans="2:7" ht="15.75" thickBot="1">
      <c r="B51" s="62" t="s">
        <v>88</v>
      </c>
      <c r="C51" s="41">
        <f>SUM(C39:C46)</f>
        <v>11761</v>
      </c>
      <c r="D51" s="42">
        <f>SUM(D39:D46)</f>
        <v>1319</v>
      </c>
      <c r="E51" s="42">
        <f>SUM(E39:E46)</f>
        <v>0</v>
      </c>
      <c r="F51" s="43">
        <f>SUM(F39:F46)</f>
        <v>0</v>
      </c>
      <c r="G51" s="67">
        <f>SUM(G39:G46)</f>
        <v>13080</v>
      </c>
    </row>
    <row r="53" spans="2:7">
      <c r="F53" t="s">
        <v>11</v>
      </c>
      <c r="G53">
        <f>AVERAGEIF(G39:G50,"&gt;0")</f>
        <v>3270</v>
      </c>
    </row>
    <row r="68" spans="2:7" ht="15.75" thickBot="1">
      <c r="C68" s="198" t="s">
        <v>635</v>
      </c>
      <c r="D68" s="199"/>
      <c r="E68" s="199"/>
      <c r="F68" s="199"/>
      <c r="G68" s="211"/>
    </row>
    <row r="69" spans="2:7" ht="15.75" thickBot="1">
      <c r="C69" s="25" t="s">
        <v>9</v>
      </c>
      <c r="D69" s="26" t="s">
        <v>18</v>
      </c>
      <c r="E69" s="26" t="s">
        <v>16</v>
      </c>
      <c r="F69" s="26" t="s">
        <v>17</v>
      </c>
      <c r="G69" s="1" t="s">
        <v>75</v>
      </c>
    </row>
    <row r="70" spans="2:7">
      <c r="B70" s="32" t="s">
        <v>620</v>
      </c>
      <c r="C70" s="101">
        <f>VLOOKUP(D3,Janeiro!AO5:AS29,2,0)</f>
        <v>0</v>
      </c>
      <c r="D70" s="101">
        <f>VLOOKUP(D3,Janeiro!AO5:AS29,3,0)</f>
        <v>0</v>
      </c>
      <c r="E70" s="64">
        <f>VLOOKUP(D3,Janeiro!AO5:AS29,4,0)</f>
        <v>0</v>
      </c>
      <c r="F70" s="101">
        <f>VLOOKUP(D3,Janeiro!AO5:AS29,5,0)</f>
        <v>0</v>
      </c>
      <c r="G70" s="65">
        <f>SUM(C70:F70)</f>
        <v>0</v>
      </c>
    </row>
    <row r="71" spans="2:7">
      <c r="B71" s="27" t="s">
        <v>621</v>
      </c>
      <c r="C71" s="7">
        <f>VLOOKUP(D$3,Fevereiro!AO5:AS29,2,0)</f>
        <v>40</v>
      </c>
      <c r="D71" s="7">
        <f>VLOOKUP(D$3,Fevereiro!AO5:AS29,3,0)</f>
        <v>23</v>
      </c>
      <c r="E71">
        <f>VLOOKUP(D$3,Fevereiro!AO5:AS29,4,0)</f>
        <v>0</v>
      </c>
      <c r="F71" s="7">
        <f>VLOOKUP(D$3,Fevereiro!AO5:AS29,5,0)</f>
        <v>0</v>
      </c>
      <c r="G71" s="2">
        <f>SUM(C71:F71)</f>
        <v>63</v>
      </c>
    </row>
    <row r="72" spans="2:7">
      <c r="B72" s="36" t="s">
        <v>622</v>
      </c>
      <c r="C72" s="102">
        <f>VLOOKUP(D$3,Março!AO5:AS29,2,0)</f>
        <v>20</v>
      </c>
      <c r="D72" s="102">
        <f>VLOOKUP(D$3,Março!AO5:AS29,3,0)</f>
        <v>0</v>
      </c>
      <c r="E72" s="63">
        <f>VLOOKUP(D$3,Março!AO5:AS29,4,0)</f>
        <v>0</v>
      </c>
      <c r="F72" s="102">
        <f>VLOOKUP(D$3,Março!AO5:AS29,5,0)</f>
        <v>0</v>
      </c>
      <c r="G72" s="2">
        <f t="shared" ref="G72:G81" si="11">SUM(C72:F72)</f>
        <v>20</v>
      </c>
    </row>
    <row r="73" spans="2:7">
      <c r="B73" s="27" t="s">
        <v>623</v>
      </c>
      <c r="C73" s="7">
        <f>VLOOKUP(D$3,Abril!AO5:AS29,2,0)</f>
        <v>10</v>
      </c>
      <c r="D73" s="7">
        <f>VLOOKUP(D$3,Abril!AO5:AS29,3,0)</f>
        <v>11.5</v>
      </c>
      <c r="E73">
        <f>VLOOKUP(D$3,Abril!AO5:AS29,4,0)</f>
        <v>0</v>
      </c>
      <c r="F73" s="7">
        <f>VLOOKUP(D$3,Abril!AO5:AS29,5,0)</f>
        <v>0</v>
      </c>
      <c r="G73" s="2">
        <f t="shared" si="11"/>
        <v>21.5</v>
      </c>
    </row>
    <row r="74" spans="2:7">
      <c r="B74" s="36" t="s">
        <v>624</v>
      </c>
      <c r="C74" s="102">
        <f>VLOOKUP(D$3,Maio!AO5:AS29,2,0)</f>
        <v>10</v>
      </c>
      <c r="D74" s="102">
        <f>VLOOKUP(D$3,Maio!AO5:AS29,3,0)</f>
        <v>11.5</v>
      </c>
      <c r="E74" s="63">
        <f>VLOOKUP(D$3,Maio!AO5:AS29,4,0)</f>
        <v>0</v>
      </c>
      <c r="F74" s="102">
        <f>VLOOKUP(D$3,Maio!AO5:AS29,5,0)</f>
        <v>0</v>
      </c>
      <c r="G74" s="2">
        <f t="shared" si="11"/>
        <v>21.5</v>
      </c>
    </row>
    <row r="75" spans="2:7">
      <c r="B75" s="27" t="s">
        <v>625</v>
      </c>
      <c r="C75" s="7">
        <f>VLOOKUP(D$3,Junho!AO5:AS29,2,0)</f>
        <v>0</v>
      </c>
      <c r="D75" s="7">
        <f>VLOOKUP(D$3,Junho!AO5:AS29,3,0)</f>
        <v>0</v>
      </c>
      <c r="E75">
        <f>VLOOKUP(D$3,Junho!AO5:AS29,4,0)</f>
        <v>0</v>
      </c>
      <c r="F75" s="7">
        <f>VLOOKUP(D$3,Junho!AO5:AS29,5,0)</f>
        <v>0</v>
      </c>
      <c r="G75" s="2">
        <f t="shared" si="11"/>
        <v>0</v>
      </c>
    </row>
    <row r="76" spans="2:7">
      <c r="B76" s="36" t="s">
        <v>626</v>
      </c>
      <c r="C76" s="102">
        <f>VLOOKUP(D3,Julho!AO5:AS29,2,0)</f>
        <v>0</v>
      </c>
      <c r="D76" s="102">
        <f>VLOOKUP(D3,Julho!AO5:AS29,3,0)</f>
        <v>0</v>
      </c>
      <c r="E76" s="63">
        <f>VLOOKUP(D3,Julho!AO5:AS29,4,0)</f>
        <v>0</v>
      </c>
      <c r="F76" s="102">
        <f>VLOOKUP(D3,Julho!AO5:AS29,5,0)</f>
        <v>0</v>
      </c>
      <c r="G76" s="2">
        <f t="shared" si="11"/>
        <v>0</v>
      </c>
    </row>
    <row r="77" spans="2:7">
      <c r="B77" s="27" t="s">
        <v>627</v>
      </c>
      <c r="C77" s="7">
        <f>VLOOKUP(D3,Agosto!AO5:AS29,2,0)</f>
        <v>0</v>
      </c>
      <c r="D77" s="7">
        <f>VLOOKUP(D3,Agosto!AO5:AS29,3,0)</f>
        <v>0</v>
      </c>
      <c r="E77">
        <f>VLOOKUP(D3,Agosto!AO5:AS29,4,0)</f>
        <v>0</v>
      </c>
      <c r="F77" s="7">
        <f>VLOOKUP(D3,Agosto!AO5:AS29,5,0)</f>
        <v>0</v>
      </c>
      <c r="G77" s="2">
        <f t="shared" si="11"/>
        <v>0</v>
      </c>
    </row>
    <row r="78" spans="2:7">
      <c r="B78" s="36" t="s">
        <v>628</v>
      </c>
      <c r="C78" s="102">
        <f>VLOOKUP(D3,Setembro!AO5:AS29,2,0)</f>
        <v>0</v>
      </c>
      <c r="D78" s="102">
        <f>VLOOKUP(D3,Setembro!AO5:AS29,3,0)</f>
        <v>0</v>
      </c>
      <c r="E78" s="63">
        <f>VLOOKUP(D3,Setembro!AO5:AS29,4,0)</f>
        <v>0</v>
      </c>
      <c r="F78" s="102">
        <f>VLOOKUP(D3,Setembro!AO5:AS29,5,0)</f>
        <v>0</v>
      </c>
      <c r="G78" s="2">
        <f t="shared" si="11"/>
        <v>0</v>
      </c>
    </row>
    <row r="79" spans="2:7">
      <c r="B79" s="27" t="s">
        <v>629</v>
      </c>
      <c r="C79" s="7">
        <f>VLOOKUP(D3,Outubro!AO5:AS29,2,0)</f>
        <v>0</v>
      </c>
      <c r="D79" s="7">
        <f>VLOOKUP(D3,Outubro!AO5:AS29,3,0)</f>
        <v>0</v>
      </c>
      <c r="E79">
        <f>VLOOKUP(D3,Outubro!AO5:AS29,4,0)</f>
        <v>0</v>
      </c>
      <c r="F79" s="7">
        <f>VLOOKUP(D3,Outubro!AO5:AS29,5,0)</f>
        <v>0</v>
      </c>
      <c r="G79" s="2">
        <f t="shared" si="11"/>
        <v>0</v>
      </c>
    </row>
    <row r="80" spans="2:7">
      <c r="B80" s="36" t="s">
        <v>630</v>
      </c>
      <c r="C80" s="102">
        <f>VLOOKUP(D3,Novembro!AO5:AS29,2,0)</f>
        <v>0</v>
      </c>
      <c r="D80" s="102">
        <f>VLOOKUP(D3,Novembro!AO5:AS29,3,0)</f>
        <v>0</v>
      </c>
      <c r="E80" s="63">
        <f>VLOOKUP(D3,Novembro!AO5:AS29,4,0)</f>
        <v>0</v>
      </c>
      <c r="F80" s="102">
        <f>VLOOKUP(D3,Novembro!AO5:AS29,5,0)</f>
        <v>0</v>
      </c>
      <c r="G80" s="2">
        <f t="shared" si="11"/>
        <v>0</v>
      </c>
    </row>
    <row r="81" spans="2:7" ht="15.75" thickBot="1">
      <c r="B81" s="28" t="s">
        <v>631</v>
      </c>
      <c r="C81" s="8">
        <f>VLOOKUP(D3,Dezembro!AO5:AS29,2,0)</f>
        <v>0</v>
      </c>
      <c r="D81" s="8">
        <f>VLOOKUP(D3,Dezembro!AO5:AS29,3,0)</f>
        <v>0</v>
      </c>
      <c r="E81" s="46">
        <f>VLOOKUP(D3,Dezembro!AO5:AS29,4,0)</f>
        <v>0</v>
      </c>
      <c r="F81" s="8">
        <f>VLOOKUP(D3,Dezembro!AO5:AS29,5,0)</f>
        <v>0</v>
      </c>
      <c r="G81" s="2">
        <f t="shared" si="11"/>
        <v>0</v>
      </c>
    </row>
    <row r="82" spans="2:7" ht="15.75" thickBot="1">
      <c r="B82" s="62" t="s">
        <v>88</v>
      </c>
      <c r="C82" s="41">
        <f>SUM(C70:C77)</f>
        <v>80</v>
      </c>
      <c r="D82" s="42">
        <f>SUM(D70:D77)</f>
        <v>46</v>
      </c>
      <c r="E82" s="42">
        <f>SUM(E70:E77)</f>
        <v>0</v>
      </c>
      <c r="F82" s="43">
        <f>SUM(F70:F77)</f>
        <v>0</v>
      </c>
      <c r="G82" s="67">
        <f>SUM(G70:G77)</f>
        <v>126</v>
      </c>
    </row>
    <row r="98" spans="2:7" ht="15.75" thickBot="1">
      <c r="C98" s="57" t="str">
        <f>Cadastros!Q12</f>
        <v>Baixa</v>
      </c>
      <c r="D98" s="58" t="str">
        <f>Cadastros!Q13</f>
        <v>Média</v>
      </c>
      <c r="E98" s="58" t="str">
        <f>Cadastros!Q14</f>
        <v xml:space="preserve">Alta </v>
      </c>
      <c r="F98" s="58" t="str">
        <f>Cadastros!Q15</f>
        <v>Extra Alta</v>
      </c>
      <c r="G98" s="59" t="s">
        <v>75</v>
      </c>
    </row>
    <row r="99" spans="2:7">
      <c r="B99" s="54" t="s">
        <v>620</v>
      </c>
      <c r="C99" s="25" t="e">
        <f>VLOOKUP(D66,Janeiro!#REF!,2,0)</f>
        <v>#REF!</v>
      </c>
      <c r="D99" s="26" t="e">
        <f>VLOOKUP(D66,Janeiro!#REF!,5,0)</f>
        <v>#REF!</v>
      </c>
      <c r="E99" s="26" t="e">
        <f>VLOOKUP(D66,Janeiro!#REF!,3,0)</f>
        <v>#REF!</v>
      </c>
      <c r="F99" s="1" t="e">
        <f>VLOOKUP(D66,Janeiro!#REF!,4,0)</f>
        <v>#REF!</v>
      </c>
      <c r="G99" s="9" t="e">
        <f>SUM(C99:F99)</f>
        <v>#REF!</v>
      </c>
    </row>
    <row r="100" spans="2:7">
      <c r="B100" s="55" t="s">
        <v>621</v>
      </c>
      <c r="C100" s="27" t="e">
        <f>VLOOKUP(D66,Fevereiro!#REF!,2,0)</f>
        <v>#REF!</v>
      </c>
      <c r="D100" t="e">
        <f>VLOOKUP(D66,Fevereiro!#REF!,5,0)</f>
        <v>#REF!</v>
      </c>
      <c r="E100" t="e">
        <f>VLOOKUP(D66,Fevereiro!#REF!,3,0)</f>
        <v>#REF!</v>
      </c>
      <c r="F100" s="2" t="e">
        <f>VLOOKUP(D66,Fevereiro!#REF!,4,0)</f>
        <v>#REF!</v>
      </c>
      <c r="G100" s="11" t="e">
        <f t="shared" ref="G100:G110" si="12">SUM(C100:F100)</f>
        <v>#REF!</v>
      </c>
    </row>
    <row r="101" spans="2:7">
      <c r="B101" s="55" t="s">
        <v>622</v>
      </c>
      <c r="C101" s="27" t="e">
        <f>VLOOKUP(D66,Março!#REF!,2,0)</f>
        <v>#REF!</v>
      </c>
      <c r="D101" t="e">
        <f>VLOOKUP(D66,Março!#REF!,5,0)</f>
        <v>#REF!</v>
      </c>
      <c r="E101" t="e">
        <f>VLOOKUP(D66,Março!#REF!,3,0)</f>
        <v>#REF!</v>
      </c>
      <c r="F101" s="2" t="e">
        <f>VLOOKUP(D66,Março!#REF!,4,0)</f>
        <v>#REF!</v>
      </c>
      <c r="G101" s="11" t="e">
        <f t="shared" si="12"/>
        <v>#REF!</v>
      </c>
    </row>
    <row r="102" spans="2:7">
      <c r="B102" s="55" t="s">
        <v>623</v>
      </c>
      <c r="C102" s="27" t="e">
        <f>VLOOKUP(D66,Abril!#REF!,2,0)</f>
        <v>#REF!</v>
      </c>
      <c r="D102" t="e">
        <f>VLOOKUP(D66,Abril!#REF!,5,0)</f>
        <v>#REF!</v>
      </c>
      <c r="E102" t="e">
        <f>VLOOKUP(D66,Abril!#REF!,3,0)</f>
        <v>#REF!</v>
      </c>
      <c r="F102" s="2" t="e">
        <f>VLOOKUP(D66,Abril!#REF!,4,0)</f>
        <v>#REF!</v>
      </c>
      <c r="G102" s="11" t="e">
        <f t="shared" si="12"/>
        <v>#REF!</v>
      </c>
    </row>
    <row r="103" spans="2:7">
      <c r="B103" s="55" t="s">
        <v>624</v>
      </c>
      <c r="C103" s="27" t="e">
        <f>VLOOKUP(D66,Maio!#REF!,2,0)</f>
        <v>#REF!</v>
      </c>
      <c r="D103" t="e">
        <f>VLOOKUP(D66,Maio!#REF!,5,0)</f>
        <v>#REF!</v>
      </c>
      <c r="E103" t="e">
        <f>VLOOKUP(D66,Maio!#REF!,3,0)</f>
        <v>#REF!</v>
      </c>
      <c r="F103" s="2" t="e">
        <f>VLOOKUP(D66,Maio!#REF!,4,0)</f>
        <v>#REF!</v>
      </c>
      <c r="G103" s="11" t="e">
        <f t="shared" si="12"/>
        <v>#REF!</v>
      </c>
    </row>
    <row r="104" spans="2:7">
      <c r="B104" s="55" t="s">
        <v>625</v>
      </c>
      <c r="C104" s="27" t="e">
        <f>VLOOKUP(D$3,Junho!Z$6:AE$13,2,0)</f>
        <v>#N/A</v>
      </c>
      <c r="D104" t="e">
        <f>VLOOKUP(D66,Junho!#REF!,5,0)</f>
        <v>#REF!</v>
      </c>
      <c r="E104" t="e">
        <f>VLOOKUP(D66,Junho!#REF!,3,0)</f>
        <v>#REF!</v>
      </c>
      <c r="F104" s="2" t="e">
        <f>VLOOKUP(D66,Junho!#REF!,4,0)</f>
        <v>#REF!</v>
      </c>
      <c r="G104" s="11" t="e">
        <f t="shared" si="12"/>
        <v>#N/A</v>
      </c>
    </row>
    <row r="105" spans="2:7">
      <c r="B105" s="55" t="s">
        <v>626</v>
      </c>
      <c r="C105" s="27" t="e">
        <f>VLOOKUP(D$3,Julho!Z$6:AE$13,2,0)</f>
        <v>#N/A</v>
      </c>
      <c r="D105" t="e">
        <f>VLOOKUP(D66,Julho!Z31:AE38,5,0)</f>
        <v>#N/A</v>
      </c>
      <c r="E105" t="e">
        <f>VLOOKUP(D66,Julho!Z31:AE38,3,0)</f>
        <v>#N/A</v>
      </c>
      <c r="F105" s="2" t="e">
        <f>VLOOKUP(D66,Julho!Z31:AE38,4,0)</f>
        <v>#N/A</v>
      </c>
      <c r="G105" s="11" t="e">
        <f t="shared" si="12"/>
        <v>#N/A</v>
      </c>
    </row>
    <row r="106" spans="2:7">
      <c r="B106" s="55" t="s">
        <v>627</v>
      </c>
      <c r="C106" s="27" t="e">
        <f>VLOOKUP(D$3,Agosto!Z$13:AE162,2,0)</f>
        <v>#N/A</v>
      </c>
      <c r="D106" t="e">
        <f>VLOOKUP(D66,Agosto!Z162:AE169,5,0)</f>
        <v>#N/A</v>
      </c>
      <c r="E106" t="e">
        <f>VLOOKUP(D66,Agosto!Z162:AE169,3,0)</f>
        <v>#N/A</v>
      </c>
      <c r="F106" s="2" t="e">
        <f>VLOOKUP(D66,Agosto!Z162:AE169,4,0)</f>
        <v>#N/A</v>
      </c>
      <c r="G106" s="11" t="e">
        <f t="shared" si="12"/>
        <v>#N/A</v>
      </c>
    </row>
    <row r="107" spans="2:7">
      <c r="B107" s="55" t="s">
        <v>628</v>
      </c>
      <c r="C107" s="27" t="e">
        <f>VLOOKUP(D$3,Setembro!Z$13:AE170,2,0)</f>
        <v>#N/A</v>
      </c>
      <c r="D107" t="e">
        <f>VLOOKUP(D66,Setembro!Z170:AE177,5,0)</f>
        <v>#N/A</v>
      </c>
      <c r="E107" t="e">
        <f>VLOOKUP(D66,Setembro!Z170:AE177,3,0)</f>
        <v>#N/A</v>
      </c>
      <c r="F107" s="2" t="e">
        <f>VLOOKUP(D66,Setembro!Z170:AE177,4,0)</f>
        <v>#N/A</v>
      </c>
      <c r="G107" s="11" t="e">
        <f t="shared" si="12"/>
        <v>#N/A</v>
      </c>
    </row>
    <row r="108" spans="2:7">
      <c r="B108" s="55" t="s">
        <v>629</v>
      </c>
      <c r="C108" s="27" t="e">
        <f>VLOOKUP(D$3,Outubro!Z$13:AE40,2,0)</f>
        <v>#N/A</v>
      </c>
      <c r="D108" t="e">
        <f>VLOOKUP(D66,Outubro!#REF!,5,0)</f>
        <v>#REF!</v>
      </c>
      <c r="E108" t="e">
        <f>VLOOKUP(D66,Outubro!#REF!,3,0)</f>
        <v>#REF!</v>
      </c>
      <c r="F108" s="2" t="e">
        <f>VLOOKUP(D66,Outubro!#REF!,4,0)</f>
        <v>#REF!</v>
      </c>
      <c r="G108" s="11" t="e">
        <f t="shared" si="12"/>
        <v>#N/A</v>
      </c>
    </row>
    <row r="109" spans="2:7">
      <c r="B109" s="55" t="s">
        <v>630</v>
      </c>
      <c r="C109" s="27" t="e">
        <f>VLOOKUP(D$3,Novembro!Z$13:AE149,2,0)</f>
        <v>#N/A</v>
      </c>
      <c r="D109" t="e">
        <f>VLOOKUP(D66,Novembro!Z149:AE156,5,0)</f>
        <v>#N/A</v>
      </c>
      <c r="E109" t="e">
        <f>VLOOKUP(D66,Novembro!Z149:AE156,3,0)</f>
        <v>#N/A</v>
      </c>
      <c r="F109" s="2" t="e">
        <f>VLOOKUP(D66,Novembro!Z149:AE156,4,0)</f>
        <v>#N/A</v>
      </c>
      <c r="G109" s="11" t="e">
        <f t="shared" si="12"/>
        <v>#N/A</v>
      </c>
    </row>
    <row r="110" spans="2:7" ht="15.75" thickBot="1">
      <c r="B110" s="56" t="s">
        <v>631</v>
      </c>
      <c r="C110" s="28" t="e">
        <f>VLOOKUP(D$3,Dezembro!Z$13:AE171,2,0)</f>
        <v>#N/A</v>
      </c>
      <c r="D110" s="46" t="e">
        <f>VLOOKUP(D66,Dezembro!Z171:AE178,5,0)</f>
        <v>#N/A</v>
      </c>
      <c r="E110" s="46" t="e">
        <f>VLOOKUP(D66,Dezembro!Z171:AE178,3,0)</f>
        <v>#N/A</v>
      </c>
      <c r="F110" s="3" t="e">
        <f>VLOOKUP(D66,Dezembro!Z171:AE178,4,0)</f>
        <v>#N/A</v>
      </c>
      <c r="G110" s="12" t="e">
        <f t="shared" si="12"/>
        <v>#N/A</v>
      </c>
    </row>
    <row r="111" spans="2:7" ht="15.75" thickBot="1">
      <c r="B111" s="60" t="s">
        <v>75</v>
      </c>
      <c r="C111" s="45" t="e">
        <f>SUM(C99:C110)</f>
        <v>#REF!</v>
      </c>
      <c r="D111" s="16" t="e">
        <f t="shared" ref="D111:F111" si="13">SUM(D99:D110)</f>
        <v>#REF!</v>
      </c>
      <c r="E111" s="16" t="e">
        <f t="shared" si="13"/>
        <v>#REF!</v>
      </c>
      <c r="F111" s="17" t="e">
        <f t="shared" si="13"/>
        <v>#REF!</v>
      </c>
    </row>
  </sheetData>
  <mergeCells count="4">
    <mergeCell ref="B3:C3"/>
    <mergeCell ref="D3:J3"/>
    <mergeCell ref="C37:G37"/>
    <mergeCell ref="C68:G68"/>
  </mergeCells>
  <phoneticPr fontId="4" type="noConversion"/>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32B68E4-D805-488A-BDA7-67469DCAF9B8}">
          <x14:formula1>
            <xm:f>Cadastros!$I$12:$I$35</xm:f>
          </x14:formula1>
          <xm:sqref>D3:J3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ba5c805-5194-455d-8f0a-d587d3fdb5d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D70C10185DA024C85D1C618146BD369" ma:contentTypeVersion="12" ma:contentTypeDescription="Create a new document." ma:contentTypeScope="" ma:versionID="de2381a4f1739eeb0a5d47affd789bdf">
  <xsd:schema xmlns:xsd="http://www.w3.org/2001/XMLSchema" xmlns:xs="http://www.w3.org/2001/XMLSchema" xmlns:p="http://schemas.microsoft.com/office/2006/metadata/properties" xmlns:ns3="332d4202-4cc5-40f0-9d43-2cf565c80d2d" xmlns:ns4="bba5c805-5194-455d-8f0a-d587d3fdb5d1" targetNamespace="http://schemas.microsoft.com/office/2006/metadata/properties" ma:root="true" ma:fieldsID="d8665edb6d163010d11ade78b99fd426" ns3:_="" ns4:_="">
    <xsd:import namespace="332d4202-4cc5-40f0-9d43-2cf565c80d2d"/>
    <xsd:import namespace="bba5c805-5194-455d-8f0a-d587d3fdb5d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2d4202-4cc5-40f0-9d43-2cf565c80d2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a5c805-5194-455d-8f0a-d587d3fdb5d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307A66-9E8F-4B42-A36D-D12F21F3DD1A}"/>
</file>

<file path=customXml/itemProps2.xml><?xml version="1.0" encoding="utf-8"?>
<ds:datastoreItem xmlns:ds="http://schemas.openxmlformats.org/officeDocument/2006/customXml" ds:itemID="{100C1111-489A-41CF-8ACE-81E5FDA2D558}"/>
</file>

<file path=customXml/itemProps3.xml><?xml version="1.0" encoding="utf-8"?>
<ds:datastoreItem xmlns:ds="http://schemas.openxmlformats.org/officeDocument/2006/customXml" ds:itemID="{967DC544-5F38-4B5B-9C4D-54CC5A6AFC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Correia, Richardson (TR Product)</dc:creator>
  <cp:keywords/>
  <dc:description/>
  <cp:lastModifiedBy/>
  <cp:revision/>
  <dcterms:created xsi:type="dcterms:W3CDTF">2023-03-10T11:25:21Z</dcterms:created>
  <dcterms:modified xsi:type="dcterms:W3CDTF">2026-05-04T22:51:36Z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0x0101005D70C10185DA024C85D1C618146BD369</vt:lpwstr>
  </property>
</Properties>
</file>